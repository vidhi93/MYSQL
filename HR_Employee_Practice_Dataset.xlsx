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vidhi\Downloads\"/>
    </mc:Choice>
  </mc:AlternateContent>
  <xr:revisionPtr revIDLastSave="0" documentId="13_ncr:1_{D8C4366B-D15C-4223-A59A-7C9436E91CB7}"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HR Dashboard" sheetId="6" r:id="rId2"/>
    <sheet name="Raw_Employee_Data" sheetId="2" r:id="rId3"/>
    <sheet name="PivotTables" sheetId="5" r:id="rId4"/>
    <sheet name="Lookup_Tables" sheetId="3" r:id="rId5"/>
    <sheet name="Clean Data" sheetId="4" r:id="rId6"/>
  </sheets>
  <definedNames>
    <definedName name="_xlnm._FilterDatabase" localSheetId="5" hidden="1">'Clean Data'!$A$1:$R$344</definedName>
    <definedName name="_xlnm._FilterDatabase" localSheetId="2" hidden="1">Raw_Employee_Data!$A$1:$AP$1</definedName>
    <definedName name="Slicer_Department">#N/A</definedName>
    <definedName name="Slicer_Employee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4" l="1"/>
  <c r="V31" i="4"/>
  <c r="V30" i="4"/>
  <c r="X3" i="4"/>
  <c r="AC12" i="4"/>
  <c r="AD12" i="4" s="1"/>
  <c r="Z5" i="4"/>
  <c r="Z2" i="4"/>
  <c r="AC10" i="4" s="1"/>
  <c r="V17" i="4"/>
  <c r="W17" i="4" s="1"/>
  <c r="V16" i="4"/>
  <c r="W16" i="4" s="1"/>
  <c r="V15" i="4"/>
  <c r="W15" i="4" s="1"/>
  <c r="V14" i="4"/>
  <c r="W14" i="4" s="1"/>
  <c r="V13" i="4"/>
  <c r="W13" i="4" s="1"/>
  <c r="V12" i="4"/>
  <c r="W12" i="4" s="1"/>
  <c r="V3" i="2"/>
  <c r="V4" i="2"/>
  <c r="V5" i="2"/>
  <c r="V12" i="2"/>
  <c r="V13" i="2"/>
  <c r="V14" i="2"/>
  <c r="V15" i="2"/>
  <c r="V20" i="2"/>
  <c r="V21" i="2"/>
  <c r="V22" i="2"/>
  <c r="V23" i="2"/>
  <c r="V24" i="2"/>
  <c r="V28" i="2"/>
  <c r="V29" i="2"/>
  <c r="V31" i="2"/>
  <c r="V32" i="2"/>
  <c r="V33" i="2"/>
  <c r="V36" i="2"/>
  <c r="V37" i="2"/>
  <c r="V38" i="2"/>
  <c r="V40" i="2"/>
  <c r="V41" i="2"/>
  <c r="V44" i="2"/>
  <c r="V45" i="2"/>
  <c r="V46" i="2"/>
  <c r="V52" i="2"/>
  <c r="V53" i="2"/>
  <c r="V54" i="2"/>
  <c r="V55" i="2"/>
  <c r="V56" i="2"/>
  <c r="V57" i="2"/>
  <c r="V60" i="2"/>
  <c r="V64" i="2"/>
  <c r="V65" i="2"/>
  <c r="V68" i="2"/>
  <c r="V69" i="2"/>
  <c r="V73" i="2"/>
  <c r="V76" i="2"/>
  <c r="V78" i="2"/>
  <c r="V79" i="2"/>
  <c r="V87" i="2"/>
  <c r="V89" i="2"/>
  <c r="V93" i="2"/>
  <c r="V94" i="2"/>
  <c r="V102" i="2"/>
  <c r="V103" i="2"/>
  <c r="V105" i="2"/>
  <c r="V109" i="2"/>
  <c r="V110" i="2"/>
  <c r="V111" i="2"/>
  <c r="V112" i="2"/>
  <c r="V113" i="2"/>
  <c r="V117" i="2"/>
  <c r="V118" i="2"/>
  <c r="V119" i="2"/>
  <c r="V120" i="2"/>
  <c r="V125" i="2"/>
  <c r="V126" i="2"/>
  <c r="V127" i="2"/>
  <c r="V129" i="2"/>
  <c r="V133" i="2"/>
  <c r="V134" i="2"/>
  <c r="V136" i="2"/>
  <c r="V137" i="2"/>
  <c r="V141" i="2"/>
  <c r="V142" i="2"/>
  <c r="V143" i="2"/>
  <c r="V145" i="2"/>
  <c r="V149" i="2"/>
  <c r="V151" i="2"/>
  <c r="V156" i="2"/>
  <c r="V165" i="2"/>
  <c r="V166" i="2"/>
  <c r="V167" i="2"/>
  <c r="V168" i="2"/>
  <c r="V176" i="2"/>
  <c r="V177" i="2"/>
  <c r="V181" i="2"/>
  <c r="V184" i="2"/>
  <c r="V185" i="2"/>
  <c r="V189" i="2"/>
  <c r="V190" i="2"/>
  <c r="V191" i="2"/>
  <c r="V193" i="2"/>
  <c r="V197" i="2"/>
  <c r="V198" i="2"/>
  <c r="V199" i="2"/>
  <c r="V200" i="2"/>
  <c r="V201" i="2"/>
  <c r="V205" i="2"/>
  <c r="V206" i="2"/>
  <c r="V207" i="2"/>
  <c r="V213" i="2"/>
  <c r="V214" i="2"/>
  <c r="V215" i="2"/>
  <c r="V224" i="2"/>
  <c r="V229" i="2"/>
  <c r="V230" i="2"/>
  <c r="V232" i="2"/>
  <c r="V236" i="2"/>
  <c r="V238" i="2"/>
  <c r="V239" i="2"/>
  <c r="V241" i="2"/>
  <c r="V245" i="2"/>
  <c r="V247" i="2"/>
  <c r="V248" i="2"/>
  <c r="V249" i="2"/>
  <c r="V253" i="2"/>
  <c r="V254" i="2"/>
  <c r="V256" i="2"/>
  <c r="V257" i="2"/>
  <c r="V261" i="2"/>
  <c r="V262" i="2"/>
  <c r="V263" i="2"/>
  <c r="V265" i="2"/>
  <c r="V270" i="2"/>
  <c r="V271" i="2"/>
  <c r="V272" i="2"/>
  <c r="V273" i="2"/>
  <c r="V277" i="2"/>
  <c r="V281" i="2"/>
  <c r="V284" i="2"/>
  <c r="V286" i="2"/>
  <c r="V287" i="2"/>
  <c r="V301" i="2"/>
  <c r="V302" i="2"/>
  <c r="V303" i="2"/>
  <c r="V304" i="2"/>
  <c r="V305" i="2"/>
  <c r="V308" i="2"/>
  <c r="V311" i="2"/>
  <c r="V317" i="2"/>
  <c r="V319" i="2"/>
  <c r="V320" i="2"/>
  <c r="V321" i="2"/>
  <c r="V325" i="2"/>
  <c r="V326" i="2"/>
  <c r="V329" i="2"/>
  <c r="V334" i="2"/>
  <c r="V2" i="2"/>
  <c r="U54" i="4"/>
  <c r="V26" i="4"/>
  <c r="V25" i="4"/>
  <c r="V24" i="4"/>
  <c r="V23" i="4"/>
  <c r="V22" i="4"/>
  <c r="V21" i="4"/>
  <c r="U21" i="4" a="1"/>
  <c r="U21" i="4" s="1"/>
  <c r="Q49" i="2"/>
  <c r="R49" i="2" s="1" a="1"/>
  <c r="R49" i="2" s="1"/>
  <c r="S49" i="2" s="1"/>
  <c r="T49" i="2" s="1"/>
  <c r="AO8" i="2"/>
  <c r="AP6" i="2"/>
  <c r="AP4" i="2"/>
  <c r="AI13" i="2" a="1"/>
  <c r="AI13" i="2" s="1"/>
  <c r="AJ9" i="2"/>
  <c r="AJ8" i="2"/>
  <c r="AJ7" i="2"/>
  <c r="AJ6" i="2"/>
  <c r="AJ5" i="2"/>
  <c r="AJ4" i="2"/>
  <c r="AJ3" i="2"/>
  <c r="AI2" i="2" a="1"/>
  <c r="AI2"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2" i="2"/>
  <c r="AL21" i="2"/>
  <c r="AL24" i="2" s="1"/>
  <c r="AK21" i="2"/>
  <c r="AN19" i="2"/>
  <c r="AM19" i="2"/>
  <c r="AL19" i="2"/>
  <c r="AL17" i="2"/>
  <c r="AL14" i="2"/>
  <c r="Q3" i="2"/>
  <c r="R3" i="2" s="1" a="1"/>
  <c r="R3" i="2" s="1"/>
  <c r="U3" i="2" s="1" a="1"/>
  <c r="U3" i="2" s="1"/>
  <c r="Q4" i="2"/>
  <c r="R4" i="2" s="1" a="1"/>
  <c r="R4" i="2" s="1"/>
  <c r="U4" i="2" s="1" a="1"/>
  <c r="U4" i="2" s="1"/>
  <c r="Q5" i="2"/>
  <c r="R5" i="2" s="1" a="1"/>
  <c r="R5" i="2" s="1"/>
  <c r="U5" i="2" s="1" a="1"/>
  <c r="U5" i="2" s="1"/>
  <c r="Q6" i="2"/>
  <c r="R6" i="2" s="1" a="1"/>
  <c r="R6" i="2" s="1"/>
  <c r="S6" i="2" s="1"/>
  <c r="T6" i="2" s="1"/>
  <c r="Q7" i="2"/>
  <c r="R7" i="2" s="1" a="1"/>
  <c r="R7" i="2" s="1"/>
  <c r="S7" i="2" s="1"/>
  <c r="T7" i="2" s="1"/>
  <c r="Q8" i="2"/>
  <c r="R8" i="2" s="1" a="1"/>
  <c r="R8" i="2" s="1"/>
  <c r="W8" i="2" s="1"/>
  <c r="Q9" i="2"/>
  <c r="R9" i="2" s="1" a="1"/>
  <c r="R9" i="2" s="1"/>
  <c r="U9" i="2" s="1" a="1"/>
  <c r="U9" i="2" s="1"/>
  <c r="V9" i="2" s="1"/>
  <c r="Q10" i="2"/>
  <c r="R10" i="2" s="1" a="1"/>
  <c r="R10" i="2" s="1"/>
  <c r="U10" i="2" s="1" a="1"/>
  <c r="U10" i="2" s="1"/>
  <c r="V10" i="2" s="1"/>
  <c r="Q11" i="2"/>
  <c r="R11" i="2" s="1" a="1"/>
  <c r="R11" i="2" s="1"/>
  <c r="S11" i="2" s="1"/>
  <c r="T11" i="2" s="1"/>
  <c r="Q12" i="2"/>
  <c r="R12" i="2" s="1" a="1"/>
  <c r="R12" i="2" s="1"/>
  <c r="U12" i="2" s="1" a="1"/>
  <c r="U12" i="2" s="1"/>
  <c r="Q13" i="2"/>
  <c r="R13" i="2" s="1" a="1"/>
  <c r="R13" i="2" s="1"/>
  <c r="U13" i="2" s="1" a="1"/>
  <c r="U13" i="2" s="1"/>
  <c r="Q14" i="2"/>
  <c r="R14" i="2" s="1" a="1"/>
  <c r="R14" i="2" s="1"/>
  <c r="U14" i="2" s="1" a="1"/>
  <c r="U14" i="2" s="1"/>
  <c r="Q15" i="2"/>
  <c r="R15" i="2" s="1" a="1"/>
  <c r="R15" i="2" s="1"/>
  <c r="U15" i="2" s="1" a="1"/>
  <c r="U15" i="2" s="1"/>
  <c r="Q16" i="2"/>
  <c r="R16" i="2" s="1" a="1"/>
  <c r="R16" i="2" s="1"/>
  <c r="U16" i="2" s="1" a="1"/>
  <c r="U16" i="2" s="1"/>
  <c r="V16" i="2" s="1"/>
  <c r="Q17" i="2"/>
  <c r="R17" i="2" s="1" a="1"/>
  <c r="R17" i="2" s="1"/>
  <c r="U17" i="2" s="1" a="1"/>
  <c r="U17" i="2" s="1"/>
  <c r="V17" i="2" s="1"/>
  <c r="Q18" i="2"/>
  <c r="R18" i="2" s="1" a="1"/>
  <c r="R18" i="2" s="1"/>
  <c r="S18" i="2" s="1"/>
  <c r="T18" i="2" s="1"/>
  <c r="Q19" i="2"/>
  <c r="R19" i="2" s="1" a="1"/>
  <c r="R19" i="2" s="1"/>
  <c r="W19" i="2" s="1"/>
  <c r="Q20" i="2"/>
  <c r="R20" i="2" s="1" a="1"/>
  <c r="R20" i="2" s="1"/>
  <c r="U20" i="2" s="1" a="1"/>
  <c r="U20" i="2" s="1"/>
  <c r="Q21" i="2"/>
  <c r="R21" i="2" s="1" a="1"/>
  <c r="R21" i="2" s="1"/>
  <c r="U21" i="2" s="1" a="1"/>
  <c r="U21" i="2" s="1"/>
  <c r="Q22" i="2"/>
  <c r="R22" i="2" s="1" a="1"/>
  <c r="R22" i="2" s="1"/>
  <c r="U22" i="2" s="1" a="1"/>
  <c r="U22" i="2" s="1"/>
  <c r="Q23" i="2"/>
  <c r="R23" i="2" s="1" a="1"/>
  <c r="R23" i="2" s="1"/>
  <c r="U23" i="2" s="1" a="1"/>
  <c r="U23" i="2" s="1"/>
  <c r="Q24" i="2"/>
  <c r="R24" i="2" s="1" a="1"/>
  <c r="R24" i="2" s="1"/>
  <c r="U24" i="2" s="1" a="1"/>
  <c r="U24" i="2" s="1"/>
  <c r="Q25" i="2"/>
  <c r="R25" i="2" s="1" a="1"/>
  <c r="R25" i="2" s="1"/>
  <c r="S25" i="2" s="1"/>
  <c r="T25" i="2" s="1"/>
  <c r="Q26" i="2"/>
  <c r="R26" i="2" s="1" a="1"/>
  <c r="R26" i="2" s="1"/>
  <c r="W26" i="2" s="1"/>
  <c r="Q27" i="2"/>
  <c r="R27" i="2" s="1" a="1"/>
  <c r="R27" i="2" s="1"/>
  <c r="W27" i="2" s="1"/>
  <c r="Q28" i="2"/>
  <c r="R28" i="2" s="1" a="1"/>
  <c r="R28" i="2" s="1"/>
  <c r="U28" i="2" s="1" a="1"/>
  <c r="U28" i="2" s="1"/>
  <c r="Q29" i="2"/>
  <c r="R29" i="2" s="1" a="1"/>
  <c r="R29" i="2" s="1"/>
  <c r="U29" i="2" s="1" a="1"/>
  <c r="U29" i="2" s="1"/>
  <c r="Q30" i="2"/>
  <c r="R30" i="2" s="1" a="1"/>
  <c r="R30" i="2" s="1"/>
  <c r="S30" i="2" s="1"/>
  <c r="T30" i="2" s="1"/>
  <c r="Q31" i="2"/>
  <c r="R31" i="2" s="1" a="1"/>
  <c r="R31" i="2" s="1"/>
  <c r="U31" i="2" s="1" a="1"/>
  <c r="U31" i="2" s="1"/>
  <c r="Q32" i="2"/>
  <c r="R32" i="2" s="1" a="1"/>
  <c r="R32" i="2" s="1"/>
  <c r="U32" i="2" s="1" a="1"/>
  <c r="U32" i="2" s="1"/>
  <c r="Q33" i="2"/>
  <c r="R33" i="2" s="1" a="1"/>
  <c r="R33" i="2" s="1"/>
  <c r="U33" i="2" s="1" a="1"/>
  <c r="U33" i="2" s="1"/>
  <c r="Q34" i="2"/>
  <c r="R34" i="2" s="1" a="1"/>
  <c r="R34" i="2" s="1"/>
  <c r="U34" i="2" s="1" a="1"/>
  <c r="U34" i="2" s="1"/>
  <c r="V34" i="2" s="1"/>
  <c r="Q35" i="2"/>
  <c r="R35" i="2" s="1" a="1"/>
  <c r="R35" i="2" s="1"/>
  <c r="S35" i="2" s="1"/>
  <c r="T35" i="2" s="1"/>
  <c r="Q36" i="2"/>
  <c r="R36" i="2" s="1" a="1"/>
  <c r="R36" i="2" s="1"/>
  <c r="U36" i="2" s="1" a="1"/>
  <c r="U36" i="2" s="1"/>
  <c r="Q37" i="2"/>
  <c r="R37" i="2" s="1" a="1"/>
  <c r="R37" i="2" s="1"/>
  <c r="U37" i="2" s="1" a="1"/>
  <c r="U37" i="2" s="1"/>
  <c r="Q38" i="2"/>
  <c r="R38" i="2" s="1" a="1"/>
  <c r="R38" i="2" s="1"/>
  <c r="U38" i="2" s="1" a="1"/>
  <c r="U38" i="2" s="1"/>
  <c r="Q39" i="2"/>
  <c r="R39" i="2" s="1" a="1"/>
  <c r="R39" i="2" s="1"/>
  <c r="W39" i="2" s="1"/>
  <c r="Q40" i="2"/>
  <c r="R40" i="2" s="1" a="1"/>
  <c r="R40" i="2" s="1"/>
  <c r="U40" i="2" s="1" a="1"/>
  <c r="U40" i="2" s="1"/>
  <c r="Q41" i="2"/>
  <c r="R41" i="2" s="1" a="1"/>
  <c r="R41" i="2" s="1"/>
  <c r="U41" i="2" s="1" a="1"/>
  <c r="U41" i="2" s="1"/>
  <c r="Q42" i="2"/>
  <c r="R42" i="2" s="1" a="1"/>
  <c r="R42" i="2" s="1"/>
  <c r="S42" i="2" s="1"/>
  <c r="T42" i="2" s="1"/>
  <c r="Q43" i="2"/>
  <c r="R43" i="2" s="1" a="1"/>
  <c r="R43" i="2" s="1"/>
  <c r="S43" i="2" s="1"/>
  <c r="T43" i="2" s="1"/>
  <c r="Q44" i="2"/>
  <c r="R44" i="2" s="1" a="1"/>
  <c r="R44" i="2" s="1"/>
  <c r="U44" i="2" s="1" a="1"/>
  <c r="U44" i="2" s="1"/>
  <c r="Q45" i="2"/>
  <c r="R45" i="2" s="1" a="1"/>
  <c r="R45" i="2" s="1"/>
  <c r="U45" i="2" s="1" a="1"/>
  <c r="U45" i="2" s="1"/>
  <c r="Q46" i="2"/>
  <c r="R46" i="2" s="1" a="1"/>
  <c r="R46" i="2" s="1"/>
  <c r="U46" i="2" s="1" a="1"/>
  <c r="U46" i="2" s="1"/>
  <c r="Q47" i="2"/>
  <c r="R47" i="2" s="1" a="1"/>
  <c r="R47" i="2" s="1"/>
  <c r="W47" i="2" s="1"/>
  <c r="Q48" i="2"/>
  <c r="R48" i="2" s="1" a="1"/>
  <c r="R48" i="2" s="1"/>
  <c r="W48" i="2" s="1"/>
  <c r="Q50" i="2"/>
  <c r="R50" i="2" s="1" a="1"/>
  <c r="R50" i="2" s="1"/>
  <c r="W50" i="2" s="1"/>
  <c r="Q51" i="2"/>
  <c r="R51" i="2" s="1" a="1"/>
  <c r="R51" i="2" s="1"/>
  <c r="U51" i="2" s="1" a="1"/>
  <c r="U51" i="2" s="1"/>
  <c r="V51" i="2" s="1"/>
  <c r="Q52" i="2"/>
  <c r="R52" i="2" s="1" a="1"/>
  <c r="R52" i="2" s="1"/>
  <c r="U52" i="2" s="1" a="1"/>
  <c r="U52" i="2" s="1"/>
  <c r="Q53" i="2"/>
  <c r="R53" i="2" s="1" a="1"/>
  <c r="R53" i="2" s="1"/>
  <c r="U53" i="2" s="1" a="1"/>
  <c r="U53" i="2" s="1"/>
  <c r="Q54" i="2"/>
  <c r="R54" i="2" s="1" a="1"/>
  <c r="R54" i="2" s="1"/>
  <c r="U54" i="2" s="1" a="1"/>
  <c r="U54" i="2" s="1"/>
  <c r="Q55" i="2"/>
  <c r="R55" i="2" s="1" a="1"/>
  <c r="R55" i="2" s="1"/>
  <c r="U55" i="2" s="1" a="1"/>
  <c r="U55" i="2" s="1"/>
  <c r="Q56" i="2"/>
  <c r="R56" i="2" s="1" a="1"/>
  <c r="R56" i="2" s="1"/>
  <c r="U56" i="2" s="1" a="1"/>
  <c r="U56" i="2" s="1"/>
  <c r="Q57" i="2"/>
  <c r="R57" i="2" s="1" a="1"/>
  <c r="R57" i="2" s="1"/>
  <c r="U57" i="2" s="1" a="1"/>
  <c r="U57" i="2" s="1"/>
  <c r="Q58" i="2"/>
  <c r="R58" i="2" s="1" a="1"/>
  <c r="R58" i="2" s="1"/>
  <c r="U58" i="2" s="1" a="1"/>
  <c r="U58" i="2" s="1"/>
  <c r="V58" i="2" s="1"/>
  <c r="Q59" i="2"/>
  <c r="R59" i="2" s="1" a="1"/>
  <c r="R59" i="2" s="1"/>
  <c r="U59" i="2" s="1" a="1"/>
  <c r="U59" i="2" s="1"/>
  <c r="V59" i="2" s="1"/>
  <c r="Q60" i="2"/>
  <c r="R60" i="2" s="1" a="1"/>
  <c r="R60" i="2" s="1"/>
  <c r="U60" i="2" s="1" a="1"/>
  <c r="U60" i="2" s="1"/>
  <c r="Q61" i="2"/>
  <c r="R61" i="2" s="1" a="1"/>
  <c r="R61" i="2" s="1"/>
  <c r="S61" i="2" s="1"/>
  <c r="T61" i="2" s="1"/>
  <c r="Q62" i="2"/>
  <c r="R62" i="2" s="1" a="1"/>
  <c r="R62" i="2" s="1"/>
  <c r="W62" i="2" s="1"/>
  <c r="Q63" i="2"/>
  <c r="R63" i="2" s="1" a="1"/>
  <c r="R63" i="2" s="1"/>
  <c r="W63" i="2" s="1"/>
  <c r="Q64" i="2"/>
  <c r="R64" i="2" s="1" a="1"/>
  <c r="R64" i="2" s="1"/>
  <c r="U64" i="2" s="1" a="1"/>
  <c r="U64" i="2" s="1"/>
  <c r="Q65" i="2"/>
  <c r="R65" i="2" s="1" a="1"/>
  <c r="R65" i="2" s="1"/>
  <c r="U65" i="2" s="1" a="1"/>
  <c r="U65" i="2" s="1"/>
  <c r="Q66" i="2"/>
  <c r="R66" i="2" s="1" a="1"/>
  <c r="R66" i="2" s="1"/>
  <c r="U66" i="2" s="1" a="1"/>
  <c r="U66" i="2" s="1"/>
  <c r="V66" i="2" s="1"/>
  <c r="Q67" i="2"/>
  <c r="R67" i="2" s="1" a="1"/>
  <c r="R67" i="2" s="1"/>
  <c r="U67" i="2" s="1" a="1"/>
  <c r="U67" i="2" s="1"/>
  <c r="V67" i="2" s="1"/>
  <c r="Q68" i="2"/>
  <c r="R68" i="2" s="1" a="1"/>
  <c r="R68" i="2" s="1"/>
  <c r="U68" i="2" s="1" a="1"/>
  <c r="U68" i="2" s="1"/>
  <c r="Q69" i="2"/>
  <c r="R69" i="2" s="1" a="1"/>
  <c r="R69" i="2" s="1"/>
  <c r="U69" i="2" s="1" a="1"/>
  <c r="U69" i="2" s="1"/>
  <c r="Q70" i="2"/>
  <c r="R70" i="2" s="1" a="1"/>
  <c r="R70" i="2" s="1"/>
  <c r="W70" i="2" s="1"/>
  <c r="Q71" i="2"/>
  <c r="R71" i="2" s="1" a="1"/>
  <c r="R71" i="2" s="1"/>
  <c r="W71" i="2" s="1"/>
  <c r="Q72" i="2"/>
  <c r="R72" i="2" s="1" a="1"/>
  <c r="R72" i="2" s="1"/>
  <c r="W72" i="2" s="1"/>
  <c r="Q73" i="2"/>
  <c r="R73" i="2" s="1" a="1"/>
  <c r="R73" i="2" s="1"/>
  <c r="U73" i="2" s="1" a="1"/>
  <c r="U73" i="2" s="1"/>
  <c r="Q74" i="2"/>
  <c r="R74" i="2" s="1" a="1"/>
  <c r="R74" i="2" s="1"/>
  <c r="U74" i="2" s="1" a="1"/>
  <c r="U74" i="2" s="1"/>
  <c r="V74" i="2" s="1"/>
  <c r="Q75" i="2"/>
  <c r="R75" i="2" s="1" a="1"/>
  <c r="R75" i="2" s="1"/>
  <c r="S75" i="2" s="1"/>
  <c r="T75" i="2" s="1"/>
  <c r="Q76" i="2"/>
  <c r="R76" i="2" s="1" a="1"/>
  <c r="R76" i="2" s="1"/>
  <c r="U76" i="2" s="1" a="1"/>
  <c r="U76" i="2" s="1"/>
  <c r="Q77" i="2"/>
  <c r="R77" i="2" s="1" a="1"/>
  <c r="R77" i="2" s="1"/>
  <c r="W77" i="2" s="1"/>
  <c r="Q78" i="2"/>
  <c r="R78" i="2" s="1" a="1"/>
  <c r="R78" i="2" s="1"/>
  <c r="U78" i="2" s="1" a="1"/>
  <c r="U78" i="2" s="1"/>
  <c r="Q79" i="2"/>
  <c r="R79" i="2" s="1" a="1"/>
  <c r="R79" i="2" s="1"/>
  <c r="U79" i="2" s="1" a="1"/>
  <c r="U79" i="2" s="1"/>
  <c r="Q80" i="2"/>
  <c r="R80" i="2" s="1" a="1"/>
  <c r="R80" i="2" s="1"/>
  <c r="S80" i="2" s="1"/>
  <c r="T80" i="2" s="1"/>
  <c r="Q81" i="2"/>
  <c r="R81" i="2" s="1" a="1"/>
  <c r="R81" i="2" s="1"/>
  <c r="W81" i="2" s="1"/>
  <c r="Q82" i="2"/>
  <c r="R82" i="2" s="1" a="1"/>
  <c r="R82" i="2" s="1"/>
  <c r="U82" i="2" s="1" a="1"/>
  <c r="U82" i="2" s="1"/>
  <c r="V82" i="2" s="1"/>
  <c r="Q83" i="2"/>
  <c r="R83" i="2" s="1" a="1"/>
  <c r="R83" i="2" s="1"/>
  <c r="U83" i="2" s="1" a="1"/>
  <c r="U83" i="2" s="1"/>
  <c r="V83" i="2" s="1"/>
  <c r="Q84" i="2"/>
  <c r="R84" i="2" s="1" a="1"/>
  <c r="R84" i="2" s="1"/>
  <c r="W84" i="2" s="1"/>
  <c r="Q85" i="2"/>
  <c r="R85" i="2" s="1" a="1"/>
  <c r="R85" i="2" s="1"/>
  <c r="W85" i="2" s="1"/>
  <c r="Q86" i="2"/>
  <c r="R86" i="2" s="1" a="1"/>
  <c r="R86" i="2" s="1"/>
  <c r="S86" i="2" s="1"/>
  <c r="T86" i="2" s="1"/>
  <c r="Q87" i="2"/>
  <c r="R87" i="2" s="1" a="1"/>
  <c r="R87" i="2" s="1"/>
  <c r="U87" i="2" s="1" a="1"/>
  <c r="U87" i="2" s="1"/>
  <c r="Q88" i="2"/>
  <c r="R88" i="2" s="1" a="1"/>
  <c r="R88" i="2" s="1"/>
  <c r="W88" i="2" s="1"/>
  <c r="Q89" i="2"/>
  <c r="R89" i="2" s="1" a="1"/>
  <c r="R89" i="2" s="1"/>
  <c r="U89" i="2" s="1" a="1"/>
  <c r="U89" i="2" s="1"/>
  <c r="Q90" i="2"/>
  <c r="R90" i="2" s="1" a="1"/>
  <c r="R90" i="2" s="1"/>
  <c r="U90" i="2" s="1" a="1"/>
  <c r="U90" i="2" s="1"/>
  <c r="V90" i="2" s="1"/>
  <c r="Q91" i="2"/>
  <c r="R91" i="2" s="1" a="1"/>
  <c r="R91" i="2" s="1"/>
  <c r="S91" i="2" s="1"/>
  <c r="T91" i="2" s="1"/>
  <c r="Q92" i="2"/>
  <c r="R92" i="2" s="1" a="1"/>
  <c r="R92" i="2" s="1"/>
  <c r="S92" i="2" s="1"/>
  <c r="T92" i="2" s="1"/>
  <c r="Q93" i="2"/>
  <c r="R93" i="2" s="1" a="1"/>
  <c r="R93" i="2" s="1"/>
  <c r="U93" i="2" s="1" a="1"/>
  <c r="U93" i="2" s="1"/>
  <c r="Q94" i="2"/>
  <c r="R94" i="2" s="1" a="1"/>
  <c r="R94" i="2" s="1"/>
  <c r="U94" i="2" s="1" a="1"/>
  <c r="U94" i="2" s="1"/>
  <c r="Q95" i="2"/>
  <c r="R95" i="2" s="1" a="1"/>
  <c r="R95" i="2" s="1"/>
  <c r="S95" i="2" s="1"/>
  <c r="T95" i="2" s="1"/>
  <c r="Q96" i="2"/>
  <c r="R96" i="2" s="1" a="1"/>
  <c r="R96" i="2" s="1"/>
  <c r="W96" i="2" s="1"/>
  <c r="Q97" i="2"/>
  <c r="R97" i="2" s="1" a="1"/>
  <c r="R97" i="2" s="1"/>
  <c r="W97" i="2" s="1"/>
  <c r="Q98" i="2"/>
  <c r="R98" i="2" s="1" a="1"/>
  <c r="R98" i="2" s="1"/>
  <c r="S98" i="2" s="1"/>
  <c r="T98" i="2" s="1"/>
  <c r="Q99" i="2"/>
  <c r="R99" i="2" s="1" a="1"/>
  <c r="R99" i="2" s="1"/>
  <c r="S99" i="2" s="1"/>
  <c r="T99" i="2" s="1"/>
  <c r="Q100" i="2"/>
  <c r="R100" i="2" s="1" a="1"/>
  <c r="R100" i="2" s="1"/>
  <c r="S100" i="2" s="1"/>
  <c r="T100" i="2" s="1"/>
  <c r="Q101" i="2"/>
  <c r="R101" i="2" s="1" a="1"/>
  <c r="R101" i="2" s="1"/>
  <c r="W101" i="2" s="1"/>
  <c r="Q102" i="2"/>
  <c r="R102" i="2" s="1" a="1"/>
  <c r="R102" i="2" s="1"/>
  <c r="U102" i="2" s="1" a="1"/>
  <c r="U102" i="2" s="1"/>
  <c r="Q103" i="2"/>
  <c r="R103" i="2" s="1" a="1"/>
  <c r="R103" i="2" s="1"/>
  <c r="U103" i="2" s="1" a="1"/>
  <c r="U103" i="2" s="1"/>
  <c r="Q104" i="2"/>
  <c r="R104" i="2" s="1" a="1"/>
  <c r="R104" i="2" s="1"/>
  <c r="S104" i="2" s="1"/>
  <c r="T104" i="2" s="1"/>
  <c r="Q105" i="2"/>
  <c r="R105" i="2" s="1" a="1"/>
  <c r="R105" i="2" s="1"/>
  <c r="U105" i="2" s="1" a="1"/>
  <c r="U105" i="2" s="1"/>
  <c r="Q106" i="2"/>
  <c r="R106" i="2" s="1" a="1"/>
  <c r="R106" i="2" s="1"/>
  <c r="W106" i="2" s="1"/>
  <c r="Q107" i="2"/>
  <c r="R107" i="2" s="1" a="1"/>
  <c r="R107" i="2" s="1"/>
  <c r="W107" i="2" s="1"/>
  <c r="Q108" i="2"/>
  <c r="R108" i="2" s="1" a="1"/>
  <c r="R108" i="2" s="1"/>
  <c r="W108" i="2" s="1"/>
  <c r="Q109" i="2"/>
  <c r="R109" i="2" s="1" a="1"/>
  <c r="R109" i="2" s="1"/>
  <c r="U109" i="2" s="1" a="1"/>
  <c r="U109" i="2" s="1"/>
  <c r="Q110" i="2"/>
  <c r="R110" i="2" s="1" a="1"/>
  <c r="R110" i="2" s="1"/>
  <c r="U110" i="2" s="1" a="1"/>
  <c r="U110" i="2" s="1"/>
  <c r="Q111" i="2"/>
  <c r="R111" i="2" s="1" a="1"/>
  <c r="R111" i="2" s="1"/>
  <c r="U111" i="2" s="1" a="1"/>
  <c r="U111" i="2" s="1"/>
  <c r="Q112" i="2"/>
  <c r="R112" i="2" s="1" a="1"/>
  <c r="R112" i="2" s="1"/>
  <c r="U112" i="2" s="1" a="1"/>
  <c r="U112" i="2" s="1"/>
  <c r="Q113" i="2"/>
  <c r="R113" i="2" s="1" a="1"/>
  <c r="R113" i="2" s="1"/>
  <c r="U113" i="2" s="1" a="1"/>
  <c r="U113" i="2" s="1"/>
  <c r="Q114" i="2"/>
  <c r="R114" i="2" s="1" a="1"/>
  <c r="R114" i="2" s="1"/>
  <c r="S114" i="2" s="1"/>
  <c r="T114" i="2" s="1"/>
  <c r="Q115" i="2"/>
  <c r="R115" i="2" s="1" a="1"/>
  <c r="R115" i="2" s="1"/>
  <c r="S115" i="2" s="1"/>
  <c r="T115" i="2" s="1"/>
  <c r="Q116" i="2"/>
  <c r="R116" i="2" s="1" a="1"/>
  <c r="R116" i="2" s="1"/>
  <c r="W116" i="2" s="1"/>
  <c r="Q117" i="2"/>
  <c r="R117" i="2" s="1" a="1"/>
  <c r="R117" i="2" s="1"/>
  <c r="U117" i="2" s="1" a="1"/>
  <c r="U117" i="2" s="1"/>
  <c r="Q118" i="2"/>
  <c r="R118" i="2" s="1" a="1"/>
  <c r="R118" i="2" s="1"/>
  <c r="U118" i="2" s="1" a="1"/>
  <c r="U118" i="2" s="1"/>
  <c r="Q119" i="2"/>
  <c r="R119" i="2" s="1" a="1"/>
  <c r="R119" i="2" s="1"/>
  <c r="U119" i="2" s="1" a="1"/>
  <c r="U119" i="2" s="1"/>
  <c r="Q120" i="2"/>
  <c r="R120" i="2" s="1" a="1"/>
  <c r="R120" i="2" s="1"/>
  <c r="U120" i="2" s="1" a="1"/>
  <c r="U120" i="2" s="1"/>
  <c r="Q121" i="2"/>
  <c r="R121" i="2" s="1" a="1"/>
  <c r="R121" i="2" s="1"/>
  <c r="S121" i="2" s="1"/>
  <c r="T121" i="2" s="1"/>
  <c r="Q122" i="2"/>
  <c r="R122" i="2" s="1" a="1"/>
  <c r="R122" i="2" s="1"/>
  <c r="S122" i="2" s="1"/>
  <c r="T122" i="2" s="1"/>
  <c r="Q123" i="2"/>
  <c r="R123" i="2" s="1" a="1"/>
  <c r="R123" i="2" s="1"/>
  <c r="W123" i="2" s="1"/>
  <c r="Q124" i="2"/>
  <c r="R124" i="2" s="1" a="1"/>
  <c r="R124" i="2" s="1"/>
  <c r="W124" i="2" s="1"/>
  <c r="Q125" i="2"/>
  <c r="R125" i="2" s="1" a="1"/>
  <c r="R125" i="2" s="1"/>
  <c r="U125" i="2" s="1" a="1"/>
  <c r="U125" i="2" s="1"/>
  <c r="Q126" i="2"/>
  <c r="R126" i="2" s="1" a="1"/>
  <c r="R126" i="2" s="1"/>
  <c r="U126" i="2" s="1" a="1"/>
  <c r="U126" i="2" s="1"/>
  <c r="Q127" i="2"/>
  <c r="R127" i="2" s="1" a="1"/>
  <c r="R127" i="2" s="1"/>
  <c r="U127" i="2" s="1" a="1"/>
  <c r="U127" i="2" s="1"/>
  <c r="Q128" i="2"/>
  <c r="R128" i="2" s="1" a="1"/>
  <c r="R128" i="2" s="1"/>
  <c r="S128" i="2" s="1"/>
  <c r="T128" i="2" s="1"/>
  <c r="Q129" i="2"/>
  <c r="R129" i="2" s="1" a="1"/>
  <c r="R129" i="2" s="1"/>
  <c r="U129" i="2" s="1" a="1"/>
  <c r="U129" i="2" s="1"/>
  <c r="Q130" i="2"/>
  <c r="R130" i="2" s="1" a="1"/>
  <c r="R130" i="2" s="1"/>
  <c r="S130" i="2" s="1"/>
  <c r="T130" i="2" s="1"/>
  <c r="Q131" i="2"/>
  <c r="R131" i="2" s="1" a="1"/>
  <c r="R131" i="2" s="1"/>
  <c r="U131" i="2" s="1" a="1"/>
  <c r="U131" i="2" s="1"/>
  <c r="V131" i="2" s="1"/>
  <c r="Q132" i="2"/>
  <c r="R132" i="2" s="1" a="1"/>
  <c r="R132" i="2" s="1"/>
  <c r="W132" i="2" s="1"/>
  <c r="Q133" i="2"/>
  <c r="R133" i="2" s="1" a="1"/>
  <c r="R133" i="2" s="1"/>
  <c r="U133" i="2" s="1" a="1"/>
  <c r="U133" i="2" s="1"/>
  <c r="Q134" i="2"/>
  <c r="R134" i="2" s="1" a="1"/>
  <c r="R134" i="2" s="1"/>
  <c r="U134" i="2" s="1" a="1"/>
  <c r="U134" i="2" s="1"/>
  <c r="Q135" i="2"/>
  <c r="R135" i="2" s="1" a="1"/>
  <c r="R135" i="2" s="1"/>
  <c r="S135" i="2" s="1"/>
  <c r="T135" i="2" s="1"/>
  <c r="Q136" i="2"/>
  <c r="R136" i="2" s="1" a="1"/>
  <c r="R136" i="2" s="1"/>
  <c r="U136" i="2" s="1" a="1"/>
  <c r="U136" i="2" s="1"/>
  <c r="Q137" i="2"/>
  <c r="R137" i="2" s="1" a="1"/>
  <c r="R137" i="2" s="1"/>
  <c r="U137" i="2" s="1" a="1"/>
  <c r="U137" i="2" s="1"/>
  <c r="Q138" i="2"/>
  <c r="R138" i="2" s="1" a="1"/>
  <c r="R138" i="2" s="1"/>
  <c r="U138" i="2" s="1" a="1"/>
  <c r="U138" i="2" s="1"/>
  <c r="V138" i="2" s="1"/>
  <c r="Q139" i="2"/>
  <c r="R139" i="2" s="1" a="1"/>
  <c r="R139" i="2" s="1"/>
  <c r="S139" i="2" s="1"/>
  <c r="T139" i="2" s="1"/>
  <c r="Q140" i="2"/>
  <c r="R140" i="2" s="1" a="1"/>
  <c r="R140" i="2" s="1"/>
  <c r="W140" i="2" s="1"/>
  <c r="Q141" i="2"/>
  <c r="R141" i="2" s="1" a="1"/>
  <c r="R141" i="2" s="1"/>
  <c r="U141" i="2" s="1" a="1"/>
  <c r="U141" i="2" s="1"/>
  <c r="Q142" i="2"/>
  <c r="R142" i="2" s="1" a="1"/>
  <c r="R142" i="2" s="1"/>
  <c r="U142" i="2" s="1" a="1"/>
  <c r="U142" i="2" s="1"/>
  <c r="Q143" i="2"/>
  <c r="R143" i="2" s="1" a="1"/>
  <c r="R143" i="2" s="1"/>
  <c r="U143" i="2" s="1" a="1"/>
  <c r="U143" i="2" s="1"/>
  <c r="Q144" i="2"/>
  <c r="R144" i="2" s="1" a="1"/>
  <c r="R144" i="2" s="1"/>
  <c r="W144" i="2" s="1"/>
  <c r="Q145" i="2"/>
  <c r="R145" i="2" s="1" a="1"/>
  <c r="R145" i="2" s="1"/>
  <c r="U145" i="2" s="1" a="1"/>
  <c r="U145" i="2" s="1"/>
  <c r="Q146" i="2"/>
  <c r="R146" i="2" s="1" a="1"/>
  <c r="R146" i="2" s="1"/>
  <c r="U146" i="2" s="1" a="1"/>
  <c r="U146" i="2" s="1"/>
  <c r="V146" i="2" s="1"/>
  <c r="Q147" i="2"/>
  <c r="R147" i="2" s="1" a="1"/>
  <c r="R147" i="2" s="1"/>
  <c r="U147" i="2" s="1" a="1"/>
  <c r="U147" i="2" s="1"/>
  <c r="V147" i="2" s="1"/>
  <c r="Q148" i="2"/>
  <c r="R148" i="2" s="1" a="1"/>
  <c r="R148" i="2" s="1"/>
  <c r="W148" i="2" s="1"/>
  <c r="Q149" i="2"/>
  <c r="R149" i="2" s="1" a="1"/>
  <c r="R149" i="2" s="1"/>
  <c r="U149" i="2" s="1" a="1"/>
  <c r="U149" i="2" s="1"/>
  <c r="Q150" i="2"/>
  <c r="R150" i="2" s="1" a="1"/>
  <c r="R150" i="2" s="1"/>
  <c r="S150" i="2" s="1"/>
  <c r="T150" i="2" s="1"/>
  <c r="Q151" i="2"/>
  <c r="R151" i="2" s="1" a="1"/>
  <c r="R151" i="2" s="1"/>
  <c r="U151" i="2" s="1" a="1"/>
  <c r="U151" i="2" s="1"/>
  <c r="Q152" i="2"/>
  <c r="R152" i="2" s="1" a="1"/>
  <c r="R152" i="2" s="1"/>
  <c r="S152" i="2" s="1"/>
  <c r="T152" i="2" s="1"/>
  <c r="Q153" i="2"/>
  <c r="R153" i="2" s="1" a="1"/>
  <c r="R153" i="2" s="1"/>
  <c r="S153" i="2" s="1"/>
  <c r="T153" i="2" s="1"/>
  <c r="Q154" i="2"/>
  <c r="R154" i="2" s="1" a="1"/>
  <c r="R154" i="2" s="1"/>
  <c r="W154" i="2" s="1"/>
  <c r="Q155" i="2"/>
  <c r="R155" i="2" s="1" a="1"/>
  <c r="R155" i="2" s="1"/>
  <c r="U155" i="2" s="1" a="1"/>
  <c r="U155" i="2" s="1"/>
  <c r="V155" i="2" s="1"/>
  <c r="Q156" i="2"/>
  <c r="R156" i="2" s="1" a="1"/>
  <c r="R156" i="2" s="1"/>
  <c r="U156" i="2" s="1" a="1"/>
  <c r="U156" i="2" s="1"/>
  <c r="Q157" i="2"/>
  <c r="R157" i="2" s="1" a="1"/>
  <c r="R157" i="2" s="1"/>
  <c r="W157" i="2" s="1"/>
  <c r="Q158" i="2"/>
  <c r="R158" i="2" s="1" a="1"/>
  <c r="R158" i="2" s="1"/>
  <c r="S158" i="2" s="1"/>
  <c r="T158" i="2" s="1"/>
  <c r="Q159" i="2"/>
  <c r="R159" i="2" s="1" a="1"/>
  <c r="R159" i="2" s="1"/>
  <c r="S159" i="2" s="1"/>
  <c r="T159" i="2" s="1"/>
  <c r="Q160" i="2"/>
  <c r="R160" i="2" s="1" a="1"/>
  <c r="R160" i="2" s="1"/>
  <c r="W160" i="2" s="1"/>
  <c r="Q161" i="2"/>
  <c r="R161" i="2" s="1" a="1"/>
  <c r="R161" i="2" s="1"/>
  <c r="W161" i="2" s="1"/>
  <c r="Q162" i="2"/>
  <c r="R162" i="2" s="1" a="1"/>
  <c r="R162" i="2" s="1"/>
  <c r="U162" i="2" s="1" a="1"/>
  <c r="U162" i="2" s="1"/>
  <c r="V162" i="2" s="1"/>
  <c r="Q163" i="2"/>
  <c r="R163" i="2" s="1" a="1"/>
  <c r="R163" i="2" s="1"/>
  <c r="U163" i="2" s="1" a="1"/>
  <c r="U163" i="2" s="1"/>
  <c r="V163" i="2" s="1"/>
  <c r="Q164" i="2"/>
  <c r="R164" i="2" s="1" a="1"/>
  <c r="R164" i="2" s="1"/>
  <c r="S164" i="2" s="1"/>
  <c r="T164" i="2" s="1"/>
  <c r="Q165" i="2"/>
  <c r="R165" i="2" s="1" a="1"/>
  <c r="R165" i="2" s="1"/>
  <c r="U165" i="2" s="1" a="1"/>
  <c r="U165" i="2" s="1"/>
  <c r="Q166" i="2"/>
  <c r="R166" i="2" s="1" a="1"/>
  <c r="R166" i="2" s="1"/>
  <c r="U166" i="2" s="1" a="1"/>
  <c r="U166" i="2" s="1"/>
  <c r="Q167" i="2"/>
  <c r="R167" i="2" s="1" a="1"/>
  <c r="R167" i="2" s="1"/>
  <c r="U167" i="2" s="1" a="1"/>
  <c r="U167" i="2" s="1"/>
  <c r="Q168" i="2"/>
  <c r="R168" i="2" s="1" a="1"/>
  <c r="R168" i="2" s="1"/>
  <c r="U168" i="2" s="1" a="1"/>
  <c r="U168" i="2" s="1"/>
  <c r="Q169" i="2"/>
  <c r="R169" i="2" s="1" a="1"/>
  <c r="R169" i="2" s="1"/>
  <c r="W169" i="2" s="1"/>
  <c r="Q170" i="2"/>
  <c r="R170" i="2" s="1" a="1"/>
  <c r="R170" i="2" s="1"/>
  <c r="W170" i="2" s="1"/>
  <c r="Q171" i="2"/>
  <c r="R171" i="2" s="1" a="1"/>
  <c r="R171" i="2" s="1"/>
  <c r="S171" i="2" s="1"/>
  <c r="T171" i="2" s="1"/>
  <c r="Q172" i="2"/>
  <c r="R172" i="2" s="1" a="1"/>
  <c r="R172" i="2" s="1"/>
  <c r="W172" i="2" s="1"/>
  <c r="Q173" i="2"/>
  <c r="R173" i="2" s="1" a="1"/>
  <c r="R173" i="2" s="1"/>
  <c r="W173" i="2" s="1"/>
  <c r="Q174" i="2"/>
  <c r="R174" i="2" s="1" a="1"/>
  <c r="R174" i="2" s="1"/>
  <c r="W174" i="2" s="1"/>
  <c r="Q175" i="2"/>
  <c r="R175" i="2" s="1" a="1"/>
  <c r="R175" i="2" s="1"/>
  <c r="W175" i="2" s="1"/>
  <c r="Q176" i="2"/>
  <c r="R176" i="2" s="1" a="1"/>
  <c r="R176" i="2" s="1"/>
  <c r="U176" i="2" s="1" a="1"/>
  <c r="U176" i="2" s="1"/>
  <c r="Q177" i="2"/>
  <c r="R177" i="2" s="1" a="1"/>
  <c r="R177" i="2" s="1"/>
  <c r="U177" i="2" s="1" a="1"/>
  <c r="U177" i="2" s="1"/>
  <c r="Q178" i="2"/>
  <c r="R178" i="2" s="1" a="1"/>
  <c r="R178" i="2" s="1"/>
  <c r="S178" i="2" s="1"/>
  <c r="T178" i="2" s="1"/>
  <c r="Q179" i="2"/>
  <c r="R179" i="2" s="1" a="1"/>
  <c r="R179" i="2" s="1"/>
  <c r="W179" i="2" s="1"/>
  <c r="Q180" i="2"/>
  <c r="R180" i="2" s="1" a="1"/>
  <c r="R180" i="2" s="1"/>
  <c r="W180" i="2" s="1"/>
  <c r="Q181" i="2"/>
  <c r="R181" i="2" s="1" a="1"/>
  <c r="R181" i="2" s="1"/>
  <c r="U181" i="2" s="1" a="1"/>
  <c r="U181" i="2" s="1"/>
  <c r="Q182" i="2"/>
  <c r="R182" i="2" s="1" a="1"/>
  <c r="R182" i="2" s="1"/>
  <c r="S182" i="2" s="1"/>
  <c r="T182" i="2" s="1"/>
  <c r="Q183" i="2"/>
  <c r="R183" i="2" s="1" a="1"/>
  <c r="R183" i="2" s="1"/>
  <c r="W183" i="2" s="1"/>
  <c r="Q184" i="2"/>
  <c r="R184" i="2" s="1" a="1"/>
  <c r="R184" i="2" s="1"/>
  <c r="U184" i="2" s="1" a="1"/>
  <c r="U184" i="2" s="1"/>
  <c r="Q185" i="2"/>
  <c r="R185" i="2" s="1" a="1"/>
  <c r="R185" i="2" s="1"/>
  <c r="U185" i="2" s="1" a="1"/>
  <c r="U185" i="2" s="1"/>
  <c r="Q186" i="2"/>
  <c r="R186" i="2" s="1" a="1"/>
  <c r="R186" i="2" s="1"/>
  <c r="U186" i="2" s="1" a="1"/>
  <c r="U186" i="2" s="1"/>
  <c r="V186" i="2" s="1"/>
  <c r="Q187" i="2"/>
  <c r="R187" i="2" s="1" a="1"/>
  <c r="R187" i="2" s="1"/>
  <c r="S187" i="2" s="1"/>
  <c r="T187" i="2" s="1"/>
  <c r="Q188" i="2"/>
  <c r="R188" i="2" s="1" a="1"/>
  <c r="R188" i="2" s="1"/>
  <c r="S188" i="2" s="1"/>
  <c r="T188" i="2" s="1"/>
  <c r="Q189" i="2"/>
  <c r="R189" i="2" s="1" a="1"/>
  <c r="R189" i="2" s="1"/>
  <c r="U189" i="2" s="1" a="1"/>
  <c r="U189" i="2" s="1"/>
  <c r="Q190" i="2"/>
  <c r="R190" i="2" s="1" a="1"/>
  <c r="R190" i="2" s="1"/>
  <c r="U190" i="2" s="1" a="1"/>
  <c r="U190" i="2" s="1"/>
  <c r="Q191" i="2"/>
  <c r="R191" i="2" s="1" a="1"/>
  <c r="R191" i="2" s="1"/>
  <c r="U191" i="2" s="1" a="1"/>
  <c r="U191" i="2" s="1"/>
  <c r="Q192" i="2"/>
  <c r="R192" i="2" s="1" a="1"/>
  <c r="R192" i="2" s="1"/>
  <c r="S192" i="2" s="1"/>
  <c r="T192" i="2" s="1"/>
  <c r="Q193" i="2"/>
  <c r="R193" i="2" s="1" a="1"/>
  <c r="R193" i="2" s="1"/>
  <c r="U193" i="2" s="1" a="1"/>
  <c r="U193" i="2" s="1"/>
  <c r="Q194" i="2"/>
  <c r="R194" i="2" s="1" a="1"/>
  <c r="R194" i="2" s="1"/>
  <c r="U194" i="2" s="1" a="1"/>
  <c r="U194" i="2" s="1"/>
  <c r="V194" i="2" s="1"/>
  <c r="Q195" i="2"/>
  <c r="R195" i="2" s="1" a="1"/>
  <c r="R195" i="2" s="1"/>
  <c r="U195" i="2" s="1" a="1"/>
  <c r="U195" i="2" s="1"/>
  <c r="V195" i="2" s="1"/>
  <c r="Q196" i="2"/>
  <c r="R196" i="2" s="1" a="1"/>
  <c r="R196" i="2" s="1"/>
  <c r="W196" i="2" s="1"/>
  <c r="Q197" i="2"/>
  <c r="R197" i="2" s="1" a="1"/>
  <c r="R197" i="2" s="1"/>
  <c r="U197" i="2" s="1" a="1"/>
  <c r="U197" i="2" s="1"/>
  <c r="Q198" i="2"/>
  <c r="R198" i="2" s="1" a="1"/>
  <c r="R198" i="2" s="1"/>
  <c r="U198" i="2" s="1" a="1"/>
  <c r="U198" i="2" s="1"/>
  <c r="Q199" i="2"/>
  <c r="R199" i="2" s="1" a="1"/>
  <c r="R199" i="2" s="1"/>
  <c r="U199" i="2" s="1" a="1"/>
  <c r="U199" i="2" s="1"/>
  <c r="Q200" i="2"/>
  <c r="R200" i="2" s="1" a="1"/>
  <c r="R200" i="2" s="1"/>
  <c r="U200" i="2" s="1" a="1"/>
  <c r="U200" i="2" s="1"/>
  <c r="Q201" i="2"/>
  <c r="R201" i="2" s="1" a="1"/>
  <c r="R201" i="2" s="1"/>
  <c r="U201" i="2" s="1" a="1"/>
  <c r="U201" i="2" s="1"/>
  <c r="Q202" i="2"/>
  <c r="R202" i="2" s="1" a="1"/>
  <c r="R202" i="2" s="1"/>
  <c r="S202" i="2" s="1"/>
  <c r="T202" i="2" s="1"/>
  <c r="Q203" i="2"/>
  <c r="R203" i="2" s="1" a="1"/>
  <c r="R203" i="2" s="1"/>
  <c r="S203" i="2" s="1"/>
  <c r="T203" i="2" s="1"/>
  <c r="Q204" i="2"/>
  <c r="R204" i="2" s="1" a="1"/>
  <c r="R204" i="2" s="1"/>
  <c r="W204" i="2" s="1"/>
  <c r="Q205" i="2"/>
  <c r="R205" i="2" s="1" a="1"/>
  <c r="R205" i="2" s="1"/>
  <c r="U205" i="2" s="1" a="1"/>
  <c r="U205" i="2" s="1"/>
  <c r="Q206" i="2"/>
  <c r="R206" i="2" s="1" a="1"/>
  <c r="R206" i="2" s="1"/>
  <c r="U206" i="2" s="1" a="1"/>
  <c r="U206" i="2" s="1"/>
  <c r="Q207" i="2"/>
  <c r="R207" i="2" s="1" a="1"/>
  <c r="R207" i="2" s="1"/>
  <c r="U207" i="2" s="1" a="1"/>
  <c r="U207" i="2" s="1"/>
  <c r="Q208" i="2"/>
  <c r="R208" i="2" s="1" a="1"/>
  <c r="R208" i="2" s="1"/>
  <c r="W208" i="2" s="1"/>
  <c r="Q209" i="2"/>
  <c r="R209" i="2" s="1" a="1"/>
  <c r="R209" i="2" s="1"/>
  <c r="W209" i="2" s="1"/>
  <c r="Q210" i="2"/>
  <c r="R210" i="2" s="1" a="1"/>
  <c r="R210" i="2" s="1"/>
  <c r="U210" i="2" s="1" a="1"/>
  <c r="U210" i="2" s="1"/>
  <c r="V210" i="2" s="1"/>
  <c r="Q211" i="2"/>
  <c r="R211" i="2" s="1" a="1"/>
  <c r="R211" i="2" s="1"/>
  <c r="U211" i="2" s="1" a="1"/>
  <c r="U211" i="2" s="1"/>
  <c r="V211" i="2" s="1"/>
  <c r="Q212" i="2"/>
  <c r="R212" i="2" s="1" a="1"/>
  <c r="R212" i="2" s="1"/>
  <c r="S212" i="2" s="1"/>
  <c r="T212" i="2" s="1"/>
  <c r="Q213" i="2"/>
  <c r="R213" i="2" s="1" a="1"/>
  <c r="R213" i="2" s="1"/>
  <c r="U213" i="2" s="1" a="1"/>
  <c r="U213" i="2" s="1"/>
  <c r="Q214" i="2"/>
  <c r="R214" i="2" s="1" a="1"/>
  <c r="R214" i="2" s="1"/>
  <c r="U214" i="2" s="1" a="1"/>
  <c r="U214" i="2" s="1"/>
  <c r="Q215" i="2"/>
  <c r="R215" i="2" s="1" a="1"/>
  <c r="R215" i="2" s="1"/>
  <c r="U215" i="2" s="1" a="1"/>
  <c r="U215" i="2" s="1"/>
  <c r="Q216" i="2"/>
  <c r="R216" i="2" s="1" a="1"/>
  <c r="R216" i="2" s="1"/>
  <c r="W216" i="2" s="1"/>
  <c r="Q217" i="2"/>
  <c r="R217" i="2" s="1" a="1"/>
  <c r="R217" i="2" s="1"/>
  <c r="W217" i="2" s="1"/>
  <c r="Q218" i="2"/>
  <c r="R218" i="2" s="1" a="1"/>
  <c r="R218" i="2" s="1"/>
  <c r="U218" i="2" s="1" a="1"/>
  <c r="U218" i="2" s="1"/>
  <c r="V218" i="2" s="1"/>
  <c r="Q219" i="2"/>
  <c r="R219" i="2" s="1" a="1"/>
  <c r="R219" i="2" s="1"/>
  <c r="U219" i="2" s="1" a="1"/>
  <c r="U219" i="2" s="1"/>
  <c r="V219" i="2" s="1"/>
  <c r="Q220" i="2"/>
  <c r="R220" i="2" s="1" a="1"/>
  <c r="R220" i="2" s="1"/>
  <c r="S220" i="2" s="1"/>
  <c r="T220" i="2" s="1"/>
  <c r="Q221" i="2"/>
  <c r="R221" i="2" s="1" a="1"/>
  <c r="R221" i="2" s="1"/>
  <c r="W221" i="2" s="1"/>
  <c r="Q222" i="2"/>
  <c r="R222" i="2" s="1" a="1"/>
  <c r="R222" i="2" s="1"/>
  <c r="S222" i="2" s="1"/>
  <c r="T222" i="2" s="1"/>
  <c r="Q223" i="2"/>
  <c r="R223" i="2" s="1" a="1"/>
  <c r="R223" i="2" s="1"/>
  <c r="S223" i="2" s="1"/>
  <c r="T223" i="2" s="1"/>
  <c r="Q224" i="2"/>
  <c r="R224" i="2" s="1" a="1"/>
  <c r="R224" i="2" s="1"/>
  <c r="U224" i="2" s="1" a="1"/>
  <c r="U224" i="2" s="1"/>
  <c r="Q225" i="2"/>
  <c r="R225" i="2" s="1" a="1"/>
  <c r="R225" i="2" s="1"/>
  <c r="S225" i="2" s="1"/>
  <c r="T225" i="2" s="1"/>
  <c r="Q226" i="2"/>
  <c r="R226" i="2" s="1" a="1"/>
  <c r="R226" i="2" s="1"/>
  <c r="U226" i="2" s="1" a="1"/>
  <c r="U226" i="2" s="1"/>
  <c r="V226" i="2" s="1"/>
  <c r="Q227" i="2"/>
  <c r="R227" i="2" s="1" a="1"/>
  <c r="R227" i="2" s="1"/>
  <c r="W227" i="2" s="1"/>
  <c r="Q228" i="2"/>
  <c r="R228" i="2" s="1" a="1"/>
  <c r="R228" i="2" s="1"/>
  <c r="S228" i="2" s="1"/>
  <c r="T228" i="2" s="1"/>
  <c r="Q229" i="2"/>
  <c r="R229" i="2" s="1" a="1"/>
  <c r="R229" i="2" s="1"/>
  <c r="U229" i="2" s="1" a="1"/>
  <c r="U229" i="2" s="1"/>
  <c r="Q230" i="2"/>
  <c r="R230" i="2" s="1" a="1"/>
  <c r="R230" i="2" s="1"/>
  <c r="U230" i="2" s="1" a="1"/>
  <c r="U230" i="2" s="1"/>
  <c r="Q231" i="2"/>
  <c r="R231" i="2" s="1" a="1"/>
  <c r="R231" i="2" s="1"/>
  <c r="S231" i="2" s="1"/>
  <c r="T231" i="2" s="1"/>
  <c r="Q232" i="2"/>
  <c r="R232" i="2" s="1" a="1"/>
  <c r="R232" i="2" s="1"/>
  <c r="U232" i="2" s="1" a="1"/>
  <c r="U232" i="2" s="1"/>
  <c r="Q233" i="2"/>
  <c r="R233" i="2" s="1" a="1"/>
  <c r="R233" i="2" s="1"/>
  <c r="W233" i="2" s="1"/>
  <c r="Q234" i="2"/>
  <c r="R234" i="2" s="1" a="1"/>
  <c r="R234" i="2" s="1"/>
  <c r="W234" i="2" s="1"/>
  <c r="Q235" i="2"/>
  <c r="R235" i="2" s="1" a="1"/>
  <c r="R235" i="2" s="1"/>
  <c r="U235" i="2" s="1" a="1"/>
  <c r="U235" i="2" s="1"/>
  <c r="V235" i="2" s="1"/>
  <c r="Q236" i="2"/>
  <c r="R236" i="2" s="1" a="1"/>
  <c r="R236" i="2" s="1"/>
  <c r="U236" i="2" s="1" a="1"/>
  <c r="U236" i="2" s="1"/>
  <c r="Q237" i="2"/>
  <c r="R237" i="2" s="1" a="1"/>
  <c r="R237" i="2" s="1"/>
  <c r="W237" i="2" s="1"/>
  <c r="Q238" i="2"/>
  <c r="R238" i="2" s="1" a="1"/>
  <c r="R238" i="2" s="1"/>
  <c r="U238" i="2" s="1" a="1"/>
  <c r="U238" i="2" s="1"/>
  <c r="Q239" i="2"/>
  <c r="R239" i="2" s="1" a="1"/>
  <c r="R239" i="2" s="1"/>
  <c r="U239" i="2" s="1" a="1"/>
  <c r="U239" i="2" s="1"/>
  <c r="Q240" i="2"/>
  <c r="R240" i="2" s="1" a="1"/>
  <c r="R240" i="2" s="1"/>
  <c r="S240" i="2" s="1"/>
  <c r="T240" i="2" s="1"/>
  <c r="Q241" i="2"/>
  <c r="R241" i="2" s="1" a="1"/>
  <c r="R241" i="2" s="1"/>
  <c r="U241" i="2" s="1" a="1"/>
  <c r="U241" i="2" s="1"/>
  <c r="Q242" i="2"/>
  <c r="R242" i="2" s="1" a="1"/>
  <c r="R242" i="2" s="1"/>
  <c r="W242" i="2" s="1"/>
  <c r="Q243" i="2"/>
  <c r="R243" i="2" s="1" a="1"/>
  <c r="R243" i="2" s="1"/>
  <c r="W243" i="2" s="1"/>
  <c r="Q244" i="2"/>
  <c r="R244" i="2" s="1" a="1"/>
  <c r="R244" i="2" s="1"/>
  <c r="W244" i="2" s="1"/>
  <c r="Q245" i="2"/>
  <c r="R245" i="2" s="1" a="1"/>
  <c r="R245" i="2" s="1"/>
  <c r="U245" i="2" s="1" a="1"/>
  <c r="U245" i="2" s="1"/>
  <c r="Q246" i="2"/>
  <c r="R246" i="2" s="1" a="1"/>
  <c r="R246" i="2" s="1"/>
  <c r="S246" i="2" s="1"/>
  <c r="T246" i="2" s="1"/>
  <c r="Q247" i="2"/>
  <c r="R247" i="2" s="1" a="1"/>
  <c r="R247" i="2" s="1"/>
  <c r="U247" i="2" s="1" a="1"/>
  <c r="U247" i="2" s="1"/>
  <c r="Q248" i="2"/>
  <c r="R248" i="2" s="1" a="1"/>
  <c r="R248" i="2" s="1"/>
  <c r="U248" i="2" s="1" a="1"/>
  <c r="U248" i="2" s="1"/>
  <c r="Q249" i="2"/>
  <c r="R249" i="2" s="1" a="1"/>
  <c r="R249" i="2" s="1"/>
  <c r="U249" i="2" s="1" a="1"/>
  <c r="U249" i="2" s="1"/>
  <c r="Q250" i="2"/>
  <c r="R250" i="2" s="1" a="1"/>
  <c r="R250" i="2" s="1"/>
  <c r="U250" i="2" s="1" a="1"/>
  <c r="U250" i="2" s="1"/>
  <c r="V250" i="2" s="1"/>
  <c r="Q251" i="2"/>
  <c r="R251" i="2" s="1" a="1"/>
  <c r="R251" i="2" s="1"/>
  <c r="S251" i="2" s="1"/>
  <c r="T251" i="2" s="1"/>
  <c r="Q252" i="2"/>
  <c r="R252" i="2" s="1" a="1"/>
  <c r="R252" i="2" s="1"/>
  <c r="W252" i="2" s="1"/>
  <c r="Q253" i="2"/>
  <c r="R253" i="2" s="1" a="1"/>
  <c r="R253" i="2" s="1"/>
  <c r="U253" i="2" s="1" a="1"/>
  <c r="U253" i="2" s="1"/>
  <c r="Q254" i="2"/>
  <c r="R254" i="2" s="1" a="1"/>
  <c r="R254" i="2" s="1"/>
  <c r="U254" i="2" s="1" a="1"/>
  <c r="U254" i="2" s="1"/>
  <c r="Q255" i="2"/>
  <c r="R255" i="2" s="1" a="1"/>
  <c r="R255" i="2" s="1"/>
  <c r="S255" i="2" s="1"/>
  <c r="T255" i="2" s="1"/>
  <c r="Q256" i="2"/>
  <c r="R256" i="2" s="1" a="1"/>
  <c r="R256" i="2" s="1"/>
  <c r="U256" i="2" s="1" a="1"/>
  <c r="U256" i="2" s="1"/>
  <c r="Q257" i="2"/>
  <c r="R257" i="2" s="1" a="1"/>
  <c r="R257" i="2" s="1"/>
  <c r="U257" i="2" s="1" a="1"/>
  <c r="U257" i="2" s="1"/>
  <c r="Q258" i="2"/>
  <c r="R258" i="2" s="1" a="1"/>
  <c r="R258" i="2" s="1"/>
  <c r="S258" i="2" s="1"/>
  <c r="T258" i="2" s="1"/>
  <c r="Q259" i="2"/>
  <c r="R259" i="2" s="1" a="1"/>
  <c r="R259" i="2" s="1"/>
  <c r="W259" i="2" s="1"/>
  <c r="Q260" i="2"/>
  <c r="R260" i="2" s="1" a="1"/>
  <c r="R260" i="2" s="1"/>
  <c r="S260" i="2" s="1"/>
  <c r="T260" i="2" s="1"/>
  <c r="Q261" i="2"/>
  <c r="R261" i="2" s="1" a="1"/>
  <c r="R261" i="2" s="1"/>
  <c r="U261" i="2" s="1" a="1"/>
  <c r="U261" i="2" s="1"/>
  <c r="Q262" i="2"/>
  <c r="R262" i="2" s="1" a="1"/>
  <c r="R262" i="2" s="1"/>
  <c r="U262" i="2" s="1" a="1"/>
  <c r="U262" i="2" s="1"/>
  <c r="Q263" i="2"/>
  <c r="R263" i="2" s="1" a="1"/>
  <c r="R263" i="2" s="1"/>
  <c r="U263" i="2" s="1" a="1"/>
  <c r="U263" i="2" s="1"/>
  <c r="Q264" i="2"/>
  <c r="R264" i="2" s="1" a="1"/>
  <c r="R264" i="2" s="1"/>
  <c r="W264" i="2" s="1"/>
  <c r="Q265" i="2"/>
  <c r="R265" i="2" s="1" a="1"/>
  <c r="R265" i="2" s="1"/>
  <c r="U265" i="2" s="1" a="1"/>
  <c r="U265" i="2" s="1"/>
  <c r="Q266" i="2"/>
  <c r="R266" i="2" s="1" a="1"/>
  <c r="R266" i="2" s="1"/>
  <c r="U266" i="2" s="1" a="1"/>
  <c r="U266" i="2" s="1"/>
  <c r="V266" i="2" s="1"/>
  <c r="Q267" i="2"/>
  <c r="R267" i="2" s="1" a="1"/>
  <c r="R267" i="2" s="1"/>
  <c r="U267" i="2" s="1" a="1"/>
  <c r="U267" i="2" s="1"/>
  <c r="V267" i="2" s="1"/>
  <c r="Q268" i="2"/>
  <c r="R268" i="2" s="1" a="1"/>
  <c r="R268" i="2" s="1"/>
  <c r="W268" i="2" s="1"/>
  <c r="Q269" i="2"/>
  <c r="R269" i="2" s="1" a="1"/>
  <c r="R269" i="2" s="1"/>
  <c r="W269" i="2" s="1"/>
  <c r="Q270" i="2"/>
  <c r="R270" i="2" s="1" a="1"/>
  <c r="R270" i="2" s="1"/>
  <c r="U270" i="2" s="1" a="1"/>
  <c r="U270" i="2" s="1"/>
  <c r="Q271" i="2"/>
  <c r="R271" i="2" s="1" a="1"/>
  <c r="R271" i="2" s="1"/>
  <c r="U271" i="2" s="1" a="1"/>
  <c r="U271" i="2" s="1"/>
  <c r="Q272" i="2"/>
  <c r="R272" i="2" s="1" a="1"/>
  <c r="R272" i="2" s="1"/>
  <c r="U272" i="2" s="1" a="1"/>
  <c r="U272" i="2" s="1"/>
  <c r="Q273" i="2"/>
  <c r="R273" i="2" s="1" a="1"/>
  <c r="R273" i="2" s="1"/>
  <c r="U273" i="2" s="1" a="1"/>
  <c r="U273" i="2" s="1"/>
  <c r="Q274" i="2"/>
  <c r="R274" i="2" s="1" a="1"/>
  <c r="R274" i="2" s="1"/>
  <c r="U274" i="2" s="1" a="1"/>
  <c r="U274" i="2" s="1"/>
  <c r="V274" i="2" s="1"/>
  <c r="Q275" i="2"/>
  <c r="R275" i="2" s="1" a="1"/>
  <c r="R275" i="2" s="1"/>
  <c r="S275" i="2" s="1"/>
  <c r="T275" i="2" s="1"/>
  <c r="Q276" i="2"/>
  <c r="R276" i="2" s="1" a="1"/>
  <c r="R276" i="2" s="1"/>
  <c r="S276" i="2" s="1"/>
  <c r="T276" i="2" s="1"/>
  <c r="Q277" i="2"/>
  <c r="R277" i="2" s="1" a="1"/>
  <c r="R277" i="2" s="1"/>
  <c r="U277" i="2" s="1" a="1"/>
  <c r="U277" i="2" s="1"/>
  <c r="Q278" i="2"/>
  <c r="R278" i="2" s="1" a="1"/>
  <c r="R278" i="2" s="1"/>
  <c r="S278" i="2" s="1"/>
  <c r="T278" i="2" s="1"/>
  <c r="Q279" i="2"/>
  <c r="R279" i="2" s="1" a="1"/>
  <c r="R279" i="2" s="1"/>
  <c r="W279" i="2" s="1"/>
  <c r="Q280" i="2"/>
  <c r="R280" i="2" s="1" a="1"/>
  <c r="R280" i="2" s="1"/>
  <c r="W280" i="2" s="1"/>
  <c r="Q281" i="2"/>
  <c r="R281" i="2" s="1" a="1"/>
  <c r="R281" i="2" s="1"/>
  <c r="U281" i="2" s="1" a="1"/>
  <c r="U281" i="2" s="1"/>
  <c r="Q282" i="2"/>
  <c r="R282" i="2" s="1" a="1"/>
  <c r="R282" i="2" s="1"/>
  <c r="W282" i="2" s="1"/>
  <c r="Q283" i="2"/>
  <c r="R283" i="2" s="1" a="1"/>
  <c r="R283" i="2" s="1"/>
  <c r="U283" i="2" s="1" a="1"/>
  <c r="U283" i="2" s="1"/>
  <c r="V283" i="2" s="1"/>
  <c r="Q284" i="2"/>
  <c r="R284" i="2" s="1" a="1"/>
  <c r="R284" i="2" s="1"/>
  <c r="U284" i="2" s="1" a="1"/>
  <c r="U284" i="2" s="1"/>
  <c r="Q285" i="2"/>
  <c r="R285" i="2" s="1" a="1"/>
  <c r="R285" i="2" s="1"/>
  <c r="W285" i="2" s="1"/>
  <c r="Q286" i="2"/>
  <c r="R286" i="2" s="1" a="1"/>
  <c r="R286" i="2" s="1"/>
  <c r="U286" i="2" s="1" a="1"/>
  <c r="U286" i="2" s="1"/>
  <c r="Q287" i="2"/>
  <c r="R287" i="2" s="1" a="1"/>
  <c r="R287" i="2" s="1"/>
  <c r="U287" i="2" s="1" a="1"/>
  <c r="U287" i="2" s="1"/>
  <c r="Q288" i="2"/>
  <c r="R288" i="2" s="1" a="1"/>
  <c r="R288" i="2" s="1"/>
  <c r="S288" i="2" s="1"/>
  <c r="T288" i="2" s="1"/>
  <c r="Q289" i="2"/>
  <c r="R289" i="2" s="1" a="1"/>
  <c r="R289" i="2" s="1"/>
  <c r="W289" i="2" s="1"/>
  <c r="Q290" i="2"/>
  <c r="R290" i="2" s="1" a="1"/>
  <c r="R290" i="2" s="1"/>
  <c r="W290" i="2" s="1"/>
  <c r="Q291" i="2"/>
  <c r="R291" i="2" s="1" a="1"/>
  <c r="R291" i="2" s="1"/>
  <c r="W291" i="2" s="1"/>
  <c r="Q292" i="2"/>
  <c r="R292" i="2" s="1" a="1"/>
  <c r="R292" i="2" s="1"/>
  <c r="S292" i="2" s="1"/>
  <c r="T292" i="2" s="1"/>
  <c r="Q293" i="2"/>
  <c r="R293" i="2" s="1" a="1"/>
  <c r="R293" i="2" s="1"/>
  <c r="W293" i="2" s="1"/>
  <c r="Q294" i="2"/>
  <c r="R294" i="2" s="1" a="1"/>
  <c r="R294" i="2" s="1"/>
  <c r="W294" i="2" s="1"/>
  <c r="Q295" i="2"/>
  <c r="R295" i="2" s="1" a="1"/>
  <c r="R295" i="2" s="1"/>
  <c r="W295" i="2" s="1"/>
  <c r="Q296" i="2"/>
  <c r="R296" i="2" s="1" a="1"/>
  <c r="R296" i="2" s="1"/>
  <c r="S296" i="2" s="1"/>
  <c r="T296" i="2" s="1"/>
  <c r="Q297" i="2"/>
  <c r="R297" i="2" s="1" a="1"/>
  <c r="R297" i="2" s="1"/>
  <c r="S297" i="2" s="1"/>
  <c r="T297" i="2" s="1"/>
  <c r="Q298" i="2"/>
  <c r="R298" i="2" s="1" a="1"/>
  <c r="R298" i="2" s="1"/>
  <c r="S298" i="2" s="1"/>
  <c r="T298" i="2" s="1"/>
  <c r="Q299" i="2"/>
  <c r="R299" i="2" s="1" a="1"/>
  <c r="R299" i="2" s="1"/>
  <c r="S299" i="2" s="1"/>
  <c r="T299" i="2" s="1"/>
  <c r="Q300" i="2"/>
  <c r="R300" i="2" s="1" a="1"/>
  <c r="R300" i="2" s="1"/>
  <c r="W300" i="2" s="1"/>
  <c r="Q301" i="2"/>
  <c r="R301" i="2" s="1" a="1"/>
  <c r="R301" i="2" s="1"/>
  <c r="U301" i="2" s="1" a="1"/>
  <c r="U301" i="2" s="1"/>
  <c r="Q302" i="2"/>
  <c r="R302" i="2" s="1" a="1"/>
  <c r="R302" i="2" s="1"/>
  <c r="U302" i="2" s="1" a="1"/>
  <c r="U302" i="2" s="1"/>
  <c r="Q303" i="2"/>
  <c r="R303" i="2" s="1" a="1"/>
  <c r="R303" i="2" s="1"/>
  <c r="U303" i="2" s="1" a="1"/>
  <c r="U303" i="2" s="1"/>
  <c r="Q304" i="2"/>
  <c r="R304" i="2" s="1" a="1"/>
  <c r="R304" i="2" s="1"/>
  <c r="U304" i="2" s="1" a="1"/>
  <c r="U304" i="2" s="1"/>
  <c r="Q305" i="2"/>
  <c r="R305" i="2" s="1" a="1"/>
  <c r="R305" i="2" s="1"/>
  <c r="U305" i="2" s="1" a="1"/>
  <c r="U305" i="2" s="1"/>
  <c r="Q306" i="2"/>
  <c r="R306" i="2" s="1" a="1"/>
  <c r="R306" i="2" s="1"/>
  <c r="W306" i="2" s="1"/>
  <c r="Q307" i="2"/>
  <c r="R307" i="2" s="1" a="1"/>
  <c r="R307" i="2" s="1"/>
  <c r="W307" i="2" s="1"/>
  <c r="Q308" i="2"/>
  <c r="R308" i="2" s="1" a="1"/>
  <c r="R308" i="2" s="1"/>
  <c r="U308" i="2" s="1" a="1"/>
  <c r="U308" i="2" s="1"/>
  <c r="Q309" i="2"/>
  <c r="R309" i="2" s="1" a="1"/>
  <c r="R309" i="2" s="1"/>
  <c r="W309" i="2" s="1"/>
  <c r="Q310" i="2"/>
  <c r="R310" i="2" s="1" a="1"/>
  <c r="R310" i="2" s="1"/>
  <c r="W310" i="2" s="1"/>
  <c r="Q311" i="2"/>
  <c r="R311" i="2" s="1" a="1"/>
  <c r="R311" i="2" s="1"/>
  <c r="U311" i="2" s="1" a="1"/>
  <c r="U311" i="2" s="1"/>
  <c r="Q312" i="2"/>
  <c r="R312" i="2" s="1" a="1"/>
  <c r="R312" i="2" s="1"/>
  <c r="S312" i="2" s="1"/>
  <c r="T312" i="2" s="1"/>
  <c r="Q313" i="2"/>
  <c r="R313" i="2" s="1" a="1"/>
  <c r="R313" i="2" s="1"/>
  <c r="S313" i="2" s="1"/>
  <c r="T313" i="2" s="1"/>
  <c r="Q314" i="2"/>
  <c r="R314" i="2" s="1" a="1"/>
  <c r="R314" i="2" s="1"/>
  <c r="W314" i="2" s="1"/>
  <c r="Q315" i="2"/>
  <c r="R315" i="2" s="1" a="1"/>
  <c r="R315" i="2" s="1"/>
  <c r="W315" i="2" s="1"/>
  <c r="Q316" i="2"/>
  <c r="R316" i="2" s="1" a="1"/>
  <c r="R316" i="2" s="1"/>
  <c r="W316" i="2" s="1"/>
  <c r="Q317" i="2"/>
  <c r="R317" i="2" s="1" a="1"/>
  <c r="R317" i="2" s="1"/>
  <c r="U317" i="2" s="1" a="1"/>
  <c r="U317" i="2" s="1"/>
  <c r="Q318" i="2"/>
  <c r="R318" i="2" s="1" a="1"/>
  <c r="R318" i="2" s="1"/>
  <c r="S318" i="2" s="1"/>
  <c r="T318" i="2" s="1"/>
  <c r="Q319" i="2"/>
  <c r="R319" i="2" s="1" a="1"/>
  <c r="R319" i="2" s="1"/>
  <c r="U319" i="2" s="1" a="1"/>
  <c r="U319" i="2" s="1"/>
  <c r="Q320" i="2"/>
  <c r="R320" i="2" s="1" a="1"/>
  <c r="R320" i="2" s="1"/>
  <c r="U320" i="2" s="1" a="1"/>
  <c r="U320" i="2" s="1"/>
  <c r="Q321" i="2"/>
  <c r="R321" i="2" s="1" a="1"/>
  <c r="R321" i="2" s="1"/>
  <c r="U321" i="2" s="1" a="1"/>
  <c r="U321" i="2" s="1"/>
  <c r="Q322" i="2"/>
  <c r="R322" i="2" s="1" a="1"/>
  <c r="R322" i="2" s="1"/>
  <c r="S322" i="2" s="1"/>
  <c r="T322" i="2" s="1"/>
  <c r="Q323" i="2"/>
  <c r="R323" i="2" s="1" a="1"/>
  <c r="R323" i="2" s="1"/>
  <c r="S323" i="2" s="1"/>
  <c r="T323" i="2" s="1"/>
  <c r="Q324" i="2"/>
  <c r="R324" i="2" s="1" a="1"/>
  <c r="R324" i="2" s="1"/>
  <c r="S324" i="2" s="1"/>
  <c r="T324" i="2" s="1"/>
  <c r="Q325" i="2"/>
  <c r="R325" i="2" s="1" a="1"/>
  <c r="R325" i="2" s="1"/>
  <c r="U325" i="2" s="1" a="1"/>
  <c r="U325" i="2" s="1"/>
  <c r="Q326" i="2"/>
  <c r="R326" i="2" s="1" a="1"/>
  <c r="R326" i="2" s="1"/>
  <c r="U326" i="2" s="1" a="1"/>
  <c r="U326" i="2" s="1"/>
  <c r="Q327" i="2"/>
  <c r="R327" i="2" s="1" a="1"/>
  <c r="R327" i="2" s="1"/>
  <c r="W327" i="2" s="1"/>
  <c r="Q328" i="2"/>
  <c r="R328" i="2" s="1" a="1"/>
  <c r="R328" i="2" s="1"/>
  <c r="S328" i="2" s="1"/>
  <c r="T328" i="2" s="1"/>
  <c r="Q329" i="2"/>
  <c r="R329" i="2" s="1" a="1"/>
  <c r="R329" i="2" s="1"/>
  <c r="U329" i="2" s="1" a="1"/>
  <c r="U329" i="2" s="1"/>
  <c r="Q330" i="2"/>
  <c r="R330" i="2" s="1" a="1"/>
  <c r="R330" i="2" s="1"/>
  <c r="U330" i="2" s="1" a="1"/>
  <c r="U330" i="2" s="1"/>
  <c r="V330" i="2" s="1"/>
  <c r="Q331" i="2"/>
  <c r="R331" i="2" s="1" a="1"/>
  <c r="R331" i="2" s="1"/>
  <c r="S331" i="2" s="1"/>
  <c r="T331" i="2" s="1"/>
  <c r="Q332" i="2"/>
  <c r="R332" i="2" s="1" a="1"/>
  <c r="R332" i="2" s="1"/>
  <c r="W332" i="2" s="1"/>
  <c r="Q333" i="2"/>
  <c r="R333" i="2" s="1" a="1"/>
  <c r="R333" i="2" s="1"/>
  <c r="W333" i="2" s="1"/>
  <c r="Q334" i="2"/>
  <c r="R334" i="2" s="1" a="1"/>
  <c r="R334" i="2" s="1"/>
  <c r="U334" i="2" s="1" a="1"/>
  <c r="U334" i="2" s="1"/>
  <c r="Q335" i="2"/>
  <c r="R335" i="2" s="1" a="1"/>
  <c r="R335" i="2" s="1"/>
  <c r="S335" i="2" s="1"/>
  <c r="T335" i="2" s="1"/>
  <c r="Q336" i="2"/>
  <c r="R336" i="2" s="1" a="1"/>
  <c r="R336" i="2" s="1"/>
  <c r="S336" i="2" s="1"/>
  <c r="T336" i="2" s="1"/>
  <c r="Q337" i="2"/>
  <c r="R337" i="2" s="1" a="1"/>
  <c r="R337" i="2" s="1"/>
  <c r="W337" i="2" s="1"/>
  <c r="Q338" i="2"/>
  <c r="R338" i="2" s="1" a="1"/>
  <c r="R338" i="2" s="1"/>
  <c r="U338" i="2" s="1" a="1"/>
  <c r="U338" i="2" s="1"/>
  <c r="V338" i="2" s="1"/>
  <c r="Q339" i="2"/>
  <c r="R339" i="2" s="1" a="1"/>
  <c r="R339" i="2" s="1"/>
  <c r="U339" i="2" s="1" a="1"/>
  <c r="U339" i="2" s="1"/>
  <c r="V339" i="2" s="1"/>
  <c r="Q340" i="2"/>
  <c r="R340" i="2" s="1" a="1"/>
  <c r="R340" i="2" s="1"/>
  <c r="W340" i="2" s="1"/>
  <c r="Q341" i="2"/>
  <c r="R341" i="2" s="1" a="1"/>
  <c r="R341" i="2" s="1"/>
  <c r="S341" i="2" s="1"/>
  <c r="T341" i="2" s="1"/>
  <c r="Q342" i="2"/>
  <c r="R342" i="2" s="1" a="1"/>
  <c r="R342" i="2" s="1"/>
  <c r="S342" i="2" s="1"/>
  <c r="T342" i="2" s="1"/>
  <c r="Q343" i="2"/>
  <c r="R343" i="2" s="1" a="1"/>
  <c r="R343" i="2" s="1"/>
  <c r="W343" i="2" s="1"/>
  <c r="Q344" i="2"/>
  <c r="R344" i="2" s="1" a="1"/>
  <c r="R344" i="2" s="1"/>
  <c r="S344" i="2" s="1"/>
  <c r="T344" i="2" s="1"/>
  <c r="Q2" i="2"/>
  <c r="R2" i="2" s="1" a="1"/>
  <c r="R2" i="2" s="1"/>
  <c r="U2" i="2" s="1" a="1"/>
  <c r="U2" i="2" s="1"/>
  <c r="C3" i="2"/>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2" i="2"/>
  <c r="D2" i="2"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2" i="2"/>
  <c r="AE3" i="2" a="1"/>
  <c r="AE3" i="2" s="1"/>
  <c r="AE4" i="2" a="1"/>
  <c r="AE4" i="2" s="1"/>
  <c r="AE5" i="2" a="1"/>
  <c r="AE5" i="2" s="1"/>
  <c r="AE6" i="2" a="1"/>
  <c r="AE6" i="2" s="1"/>
  <c r="AE7" i="2" a="1"/>
  <c r="AE7" i="2" s="1"/>
  <c r="AE8" i="2" a="1"/>
  <c r="AE8" i="2" s="1"/>
  <c r="AE9" i="2" a="1"/>
  <c r="AE9" i="2" s="1"/>
  <c r="AE10" i="2" a="1"/>
  <c r="AE10" i="2" s="1"/>
  <c r="AE11" i="2" a="1"/>
  <c r="AE11" i="2" s="1"/>
  <c r="AE12" i="2" a="1"/>
  <c r="AE12" i="2" s="1"/>
  <c r="AE13" i="2" a="1"/>
  <c r="AE13" i="2" s="1"/>
  <c r="AE14" i="2" a="1"/>
  <c r="AE14" i="2" s="1"/>
  <c r="AE15" i="2" a="1"/>
  <c r="AE15" i="2" s="1"/>
  <c r="AE16" i="2" a="1"/>
  <c r="AE16" i="2" s="1"/>
  <c r="AE17" i="2" a="1"/>
  <c r="AE17" i="2" s="1"/>
  <c r="AE18" i="2" a="1"/>
  <c r="AE18" i="2" s="1"/>
  <c r="AE19" i="2" a="1"/>
  <c r="AE19" i="2" s="1"/>
  <c r="AE20" i="2" a="1"/>
  <c r="AE20" i="2" s="1"/>
  <c r="AE21" i="2" a="1"/>
  <c r="AE21" i="2" s="1"/>
  <c r="AE22" i="2" a="1"/>
  <c r="AE22" i="2" s="1"/>
  <c r="AE23" i="2" a="1"/>
  <c r="AE23" i="2" s="1"/>
  <c r="AE24" i="2" a="1"/>
  <c r="AE24" i="2" s="1"/>
  <c r="AE25" i="2" a="1"/>
  <c r="AE25" i="2" s="1"/>
  <c r="AE26" i="2" a="1"/>
  <c r="AE26" i="2" s="1"/>
  <c r="AE27" i="2" a="1"/>
  <c r="AE27" i="2" s="1"/>
  <c r="AE28" i="2" a="1"/>
  <c r="AE28" i="2" s="1"/>
  <c r="AE29" i="2" a="1"/>
  <c r="AE29" i="2" s="1"/>
  <c r="AE30" i="2" a="1"/>
  <c r="AE30" i="2" s="1"/>
  <c r="AE31" i="2" a="1"/>
  <c r="AE31" i="2" s="1"/>
  <c r="AE32" i="2" a="1"/>
  <c r="AE32" i="2" s="1"/>
  <c r="AE33" i="2" a="1"/>
  <c r="AE33" i="2" s="1"/>
  <c r="AE34" i="2" a="1"/>
  <c r="AE34" i="2" s="1"/>
  <c r="AE35" i="2" a="1"/>
  <c r="AE35" i="2" s="1"/>
  <c r="AE36" i="2" a="1"/>
  <c r="AE36" i="2" s="1"/>
  <c r="AE37" i="2" a="1"/>
  <c r="AE37" i="2" s="1"/>
  <c r="AE38" i="2" a="1"/>
  <c r="AE38" i="2" s="1"/>
  <c r="AE39" i="2" a="1"/>
  <c r="AE39" i="2" s="1"/>
  <c r="AE40" i="2" a="1"/>
  <c r="AE40" i="2" s="1"/>
  <c r="AE41" i="2" a="1"/>
  <c r="AE41" i="2" s="1"/>
  <c r="AE42" i="2" a="1"/>
  <c r="AE42" i="2" s="1"/>
  <c r="AE43" i="2" a="1"/>
  <c r="AE43" i="2" s="1"/>
  <c r="AE44" i="2" a="1"/>
  <c r="AE44" i="2" s="1"/>
  <c r="AE45" i="2" a="1"/>
  <c r="AE45" i="2" s="1"/>
  <c r="AE46" i="2" a="1"/>
  <c r="AE46" i="2" s="1"/>
  <c r="AE47" i="2" a="1"/>
  <c r="AE47" i="2" s="1"/>
  <c r="AE48" i="2" a="1"/>
  <c r="AE48" i="2" s="1"/>
  <c r="AE49" i="2" a="1"/>
  <c r="AE49" i="2" s="1"/>
  <c r="AE50" i="2" a="1"/>
  <c r="AE50" i="2" s="1"/>
  <c r="AE51" i="2" a="1"/>
  <c r="AE51" i="2" s="1"/>
  <c r="AE52" i="2" a="1"/>
  <c r="AE52" i="2" s="1"/>
  <c r="AE53" i="2" a="1"/>
  <c r="AE53" i="2" s="1"/>
  <c r="AE54" i="2" a="1"/>
  <c r="AE54" i="2" s="1"/>
  <c r="AE55" i="2" a="1"/>
  <c r="AE55" i="2" s="1"/>
  <c r="AE56" i="2" a="1"/>
  <c r="AE56" i="2" s="1"/>
  <c r="AE57" i="2" a="1"/>
  <c r="AE57" i="2" s="1"/>
  <c r="AE58" i="2" a="1"/>
  <c r="AE58" i="2" s="1"/>
  <c r="AE59" i="2" a="1"/>
  <c r="AE59" i="2" s="1"/>
  <c r="AE60" i="2" a="1"/>
  <c r="AE60" i="2" s="1"/>
  <c r="AE61" i="2" a="1"/>
  <c r="AE61" i="2" s="1"/>
  <c r="AE62" i="2" a="1"/>
  <c r="AE62" i="2" s="1"/>
  <c r="AE63" i="2" a="1"/>
  <c r="AE63" i="2" s="1"/>
  <c r="AE64" i="2" a="1"/>
  <c r="AE64" i="2" s="1"/>
  <c r="AE65" i="2" a="1"/>
  <c r="AE65" i="2" s="1"/>
  <c r="AE66" i="2" a="1"/>
  <c r="AE66" i="2" s="1"/>
  <c r="AE67" i="2" a="1"/>
  <c r="AE67" i="2" s="1"/>
  <c r="AE68" i="2" a="1"/>
  <c r="AE68" i="2" s="1"/>
  <c r="AE69" i="2" a="1"/>
  <c r="AE69" i="2" s="1"/>
  <c r="AE70" i="2" a="1"/>
  <c r="AE70" i="2" s="1"/>
  <c r="AE71" i="2" a="1"/>
  <c r="AE71" i="2" s="1"/>
  <c r="AE72" i="2" a="1"/>
  <c r="AE72" i="2" s="1"/>
  <c r="AE73" i="2" a="1"/>
  <c r="AE73" i="2" s="1"/>
  <c r="AE74" i="2" a="1"/>
  <c r="AE74" i="2" s="1"/>
  <c r="AE75" i="2" a="1"/>
  <c r="AE75" i="2" s="1"/>
  <c r="AE76" i="2" a="1"/>
  <c r="AE76" i="2" s="1"/>
  <c r="AE77" i="2" a="1"/>
  <c r="AE77" i="2" s="1"/>
  <c r="AE78" i="2" a="1"/>
  <c r="AE78" i="2" s="1"/>
  <c r="AE79" i="2" a="1"/>
  <c r="AE79" i="2" s="1"/>
  <c r="AE80" i="2" a="1"/>
  <c r="AE80" i="2" s="1"/>
  <c r="AE81" i="2" a="1"/>
  <c r="AE81" i="2" s="1"/>
  <c r="AE82" i="2" a="1"/>
  <c r="AE82" i="2" s="1"/>
  <c r="AE83" i="2" a="1"/>
  <c r="AE83" i="2" s="1"/>
  <c r="AE84" i="2" a="1"/>
  <c r="AE84" i="2" s="1"/>
  <c r="AE85" i="2" a="1"/>
  <c r="AE85" i="2" s="1"/>
  <c r="AE86" i="2" a="1"/>
  <c r="AE86" i="2" s="1"/>
  <c r="AE87" i="2" a="1"/>
  <c r="AE87" i="2" s="1"/>
  <c r="AE88" i="2" a="1"/>
  <c r="AE88" i="2" s="1"/>
  <c r="AE89" i="2" a="1"/>
  <c r="AE89" i="2" s="1"/>
  <c r="AE90" i="2" a="1"/>
  <c r="AE90" i="2" s="1"/>
  <c r="AE91" i="2" a="1"/>
  <c r="AE91" i="2" s="1"/>
  <c r="AE92" i="2" a="1"/>
  <c r="AE92" i="2" s="1"/>
  <c r="AE93" i="2" a="1"/>
  <c r="AE93" i="2" s="1"/>
  <c r="AE94" i="2" a="1"/>
  <c r="AE94" i="2" s="1"/>
  <c r="AE95" i="2" a="1"/>
  <c r="AE95" i="2" s="1"/>
  <c r="AE96" i="2" a="1"/>
  <c r="AE96" i="2" s="1"/>
  <c r="AE97" i="2" a="1"/>
  <c r="AE97" i="2" s="1"/>
  <c r="AE98" i="2" a="1"/>
  <c r="AE98" i="2" s="1"/>
  <c r="AE99" i="2" a="1"/>
  <c r="AE99" i="2" s="1"/>
  <c r="AE100" i="2" a="1"/>
  <c r="AE100" i="2" s="1"/>
  <c r="AE101" i="2" a="1"/>
  <c r="AE101" i="2" s="1"/>
  <c r="AE102" i="2" a="1"/>
  <c r="AE102" i="2" s="1"/>
  <c r="AE103" i="2" a="1"/>
  <c r="AE103" i="2" s="1"/>
  <c r="AE104" i="2" a="1"/>
  <c r="AE104" i="2" s="1"/>
  <c r="AE105" i="2" a="1"/>
  <c r="AE105" i="2" s="1"/>
  <c r="AE106" i="2" a="1"/>
  <c r="AE106" i="2" s="1"/>
  <c r="AE107" i="2" a="1"/>
  <c r="AE107" i="2" s="1"/>
  <c r="AE108" i="2" a="1"/>
  <c r="AE108" i="2" s="1"/>
  <c r="AE109" i="2" a="1"/>
  <c r="AE109" i="2" s="1"/>
  <c r="AE110" i="2" a="1"/>
  <c r="AE110" i="2" s="1"/>
  <c r="AE111" i="2" a="1"/>
  <c r="AE111" i="2" s="1"/>
  <c r="AE112" i="2" a="1"/>
  <c r="AE112" i="2" s="1"/>
  <c r="AE113" i="2" a="1"/>
  <c r="AE113" i="2" s="1"/>
  <c r="AE114" i="2" a="1"/>
  <c r="AE114" i="2" s="1"/>
  <c r="AE115" i="2" a="1"/>
  <c r="AE115" i="2" s="1"/>
  <c r="AE116" i="2" a="1"/>
  <c r="AE116" i="2" s="1"/>
  <c r="AE117" i="2" a="1"/>
  <c r="AE117" i="2" s="1"/>
  <c r="AE118" i="2" a="1"/>
  <c r="AE118" i="2" s="1"/>
  <c r="AE119" i="2" a="1"/>
  <c r="AE119" i="2" s="1"/>
  <c r="AE120" i="2" a="1"/>
  <c r="AE120" i="2" s="1"/>
  <c r="AE121" i="2" a="1"/>
  <c r="AE121" i="2" s="1"/>
  <c r="AE122" i="2" a="1"/>
  <c r="AE122" i="2" s="1"/>
  <c r="AE123" i="2" a="1"/>
  <c r="AE123" i="2" s="1"/>
  <c r="AE124" i="2" a="1"/>
  <c r="AE124" i="2" s="1"/>
  <c r="AE125" i="2" a="1"/>
  <c r="AE125" i="2" s="1"/>
  <c r="AE126" i="2" a="1"/>
  <c r="AE126" i="2" s="1"/>
  <c r="AE127" i="2" a="1"/>
  <c r="AE127" i="2" s="1"/>
  <c r="AE128" i="2" a="1"/>
  <c r="AE128" i="2" s="1"/>
  <c r="AE129" i="2" a="1"/>
  <c r="AE129" i="2" s="1"/>
  <c r="AE130" i="2" a="1"/>
  <c r="AE130" i="2" s="1"/>
  <c r="AE131" i="2" a="1"/>
  <c r="AE131" i="2" s="1"/>
  <c r="AE132" i="2" a="1"/>
  <c r="AE132" i="2" s="1"/>
  <c r="AE133" i="2" a="1"/>
  <c r="AE133" i="2" s="1"/>
  <c r="AE134" i="2" a="1"/>
  <c r="AE134" i="2" s="1"/>
  <c r="AE135" i="2" a="1"/>
  <c r="AE135" i="2" s="1"/>
  <c r="AE136" i="2" a="1"/>
  <c r="AE136" i="2" s="1"/>
  <c r="AE137" i="2" a="1"/>
  <c r="AE137" i="2" s="1"/>
  <c r="AE138" i="2" a="1"/>
  <c r="AE138" i="2" s="1"/>
  <c r="AE139" i="2" a="1"/>
  <c r="AE139" i="2" s="1"/>
  <c r="AE140" i="2" a="1"/>
  <c r="AE140" i="2" s="1"/>
  <c r="AE141" i="2" a="1"/>
  <c r="AE141" i="2" s="1"/>
  <c r="AE142" i="2" a="1"/>
  <c r="AE142" i="2" s="1"/>
  <c r="AE143" i="2" a="1"/>
  <c r="AE143" i="2" s="1"/>
  <c r="AE144" i="2" a="1"/>
  <c r="AE144" i="2" s="1"/>
  <c r="AE145" i="2" a="1"/>
  <c r="AE145" i="2" s="1"/>
  <c r="AE146" i="2" a="1"/>
  <c r="AE146" i="2" s="1"/>
  <c r="AE147" i="2" a="1"/>
  <c r="AE147" i="2" s="1"/>
  <c r="AE148" i="2" a="1"/>
  <c r="AE148" i="2" s="1"/>
  <c r="AE149" i="2" a="1"/>
  <c r="AE149" i="2" s="1"/>
  <c r="AE150" i="2" a="1"/>
  <c r="AE150" i="2" s="1"/>
  <c r="AE151" i="2" a="1"/>
  <c r="AE151" i="2" s="1"/>
  <c r="AE152" i="2" a="1"/>
  <c r="AE152" i="2" s="1"/>
  <c r="AE153" i="2" a="1"/>
  <c r="AE153" i="2" s="1"/>
  <c r="AE154" i="2" a="1"/>
  <c r="AE154" i="2" s="1"/>
  <c r="AE155" i="2" a="1"/>
  <c r="AE155" i="2" s="1"/>
  <c r="AE156" i="2" a="1"/>
  <c r="AE156" i="2" s="1"/>
  <c r="AE157" i="2" a="1"/>
  <c r="AE157" i="2" s="1"/>
  <c r="AE158" i="2" a="1"/>
  <c r="AE158" i="2" s="1"/>
  <c r="AE159" i="2" a="1"/>
  <c r="AE159" i="2" s="1"/>
  <c r="AE160" i="2" a="1"/>
  <c r="AE160" i="2" s="1"/>
  <c r="AE161" i="2" a="1"/>
  <c r="AE161" i="2" s="1"/>
  <c r="AE162" i="2" a="1"/>
  <c r="AE162" i="2" s="1"/>
  <c r="AE163" i="2" a="1"/>
  <c r="AE163" i="2" s="1"/>
  <c r="AE164" i="2" a="1"/>
  <c r="AE164" i="2" s="1"/>
  <c r="AE165" i="2" a="1"/>
  <c r="AE165" i="2" s="1"/>
  <c r="AE166" i="2" a="1"/>
  <c r="AE166" i="2" s="1"/>
  <c r="AE167" i="2" a="1"/>
  <c r="AE167" i="2" s="1"/>
  <c r="AE168" i="2" a="1"/>
  <c r="AE168" i="2" s="1"/>
  <c r="AE169" i="2" a="1"/>
  <c r="AE169" i="2" s="1"/>
  <c r="AE170" i="2" a="1"/>
  <c r="AE170" i="2" s="1"/>
  <c r="AE171" i="2" a="1"/>
  <c r="AE171" i="2" s="1"/>
  <c r="AE172" i="2" a="1"/>
  <c r="AE172" i="2" s="1"/>
  <c r="AE173" i="2" a="1"/>
  <c r="AE173" i="2" s="1"/>
  <c r="AE174" i="2" a="1"/>
  <c r="AE174" i="2" s="1"/>
  <c r="AE175" i="2" a="1"/>
  <c r="AE175" i="2" s="1"/>
  <c r="AE176" i="2" a="1"/>
  <c r="AE176" i="2" s="1"/>
  <c r="AE177" i="2" a="1"/>
  <c r="AE177" i="2" s="1"/>
  <c r="AE178" i="2" a="1"/>
  <c r="AE178" i="2" s="1"/>
  <c r="AE179" i="2" a="1"/>
  <c r="AE179" i="2" s="1"/>
  <c r="AE180" i="2" a="1"/>
  <c r="AE180" i="2" s="1"/>
  <c r="AE181" i="2" a="1"/>
  <c r="AE181" i="2" s="1"/>
  <c r="AE182" i="2" a="1"/>
  <c r="AE182" i="2" s="1"/>
  <c r="AE183" i="2" a="1"/>
  <c r="AE183" i="2" s="1"/>
  <c r="AE184" i="2" a="1"/>
  <c r="AE184" i="2" s="1"/>
  <c r="AE185" i="2" a="1"/>
  <c r="AE185" i="2" s="1"/>
  <c r="AE186" i="2" a="1"/>
  <c r="AE186" i="2" s="1"/>
  <c r="AE187" i="2" a="1"/>
  <c r="AE187" i="2" s="1"/>
  <c r="AE188" i="2" a="1"/>
  <c r="AE188" i="2" s="1"/>
  <c r="AE189" i="2" a="1"/>
  <c r="AE189" i="2" s="1"/>
  <c r="AE190" i="2" a="1"/>
  <c r="AE190" i="2" s="1"/>
  <c r="AE191" i="2" a="1"/>
  <c r="AE191" i="2" s="1"/>
  <c r="AE192" i="2" a="1"/>
  <c r="AE192" i="2" s="1"/>
  <c r="AE193" i="2" a="1"/>
  <c r="AE193" i="2" s="1"/>
  <c r="AE194" i="2" a="1"/>
  <c r="AE194" i="2" s="1"/>
  <c r="AE195" i="2" a="1"/>
  <c r="AE195" i="2" s="1"/>
  <c r="AE196" i="2" a="1"/>
  <c r="AE196" i="2" s="1"/>
  <c r="AE197" i="2" a="1"/>
  <c r="AE197" i="2" s="1"/>
  <c r="AE198" i="2" a="1"/>
  <c r="AE198" i="2" s="1"/>
  <c r="AE199" i="2" a="1"/>
  <c r="AE199" i="2" s="1"/>
  <c r="AE200" i="2" a="1"/>
  <c r="AE200" i="2" s="1"/>
  <c r="AE201" i="2" a="1"/>
  <c r="AE201" i="2" s="1"/>
  <c r="AE202" i="2" a="1"/>
  <c r="AE202" i="2" s="1"/>
  <c r="AE203" i="2" a="1"/>
  <c r="AE203" i="2" s="1"/>
  <c r="AE204" i="2" a="1"/>
  <c r="AE204" i="2" s="1"/>
  <c r="AE205" i="2" a="1"/>
  <c r="AE205" i="2" s="1"/>
  <c r="AE206" i="2" a="1"/>
  <c r="AE206" i="2" s="1"/>
  <c r="AE207" i="2" a="1"/>
  <c r="AE207" i="2" s="1"/>
  <c r="AE208" i="2" a="1"/>
  <c r="AE208" i="2" s="1"/>
  <c r="AE209" i="2" a="1"/>
  <c r="AE209" i="2" s="1"/>
  <c r="AE210" i="2" a="1"/>
  <c r="AE210" i="2" s="1"/>
  <c r="AE211" i="2" a="1"/>
  <c r="AE211" i="2" s="1"/>
  <c r="AE212" i="2" a="1"/>
  <c r="AE212" i="2" s="1"/>
  <c r="AE213" i="2" a="1"/>
  <c r="AE213" i="2" s="1"/>
  <c r="AE214" i="2" a="1"/>
  <c r="AE214" i="2" s="1"/>
  <c r="AE215" i="2" a="1"/>
  <c r="AE215" i="2" s="1"/>
  <c r="AE216" i="2" a="1"/>
  <c r="AE216" i="2" s="1"/>
  <c r="AE217" i="2" a="1"/>
  <c r="AE217" i="2" s="1"/>
  <c r="AE218" i="2" a="1"/>
  <c r="AE218" i="2" s="1"/>
  <c r="AE219" i="2" a="1"/>
  <c r="AE219" i="2" s="1"/>
  <c r="AE220" i="2" a="1"/>
  <c r="AE220" i="2" s="1"/>
  <c r="AE221" i="2" a="1"/>
  <c r="AE221" i="2" s="1"/>
  <c r="AE222" i="2" a="1"/>
  <c r="AE222" i="2" s="1"/>
  <c r="AE223" i="2" a="1"/>
  <c r="AE223" i="2" s="1"/>
  <c r="AE224" i="2" a="1"/>
  <c r="AE224" i="2" s="1"/>
  <c r="AE225" i="2" a="1"/>
  <c r="AE225" i="2" s="1"/>
  <c r="AE226" i="2" a="1"/>
  <c r="AE226" i="2" s="1"/>
  <c r="AE227" i="2" a="1"/>
  <c r="AE227" i="2" s="1"/>
  <c r="AE228" i="2" a="1"/>
  <c r="AE228" i="2" s="1"/>
  <c r="AE229" i="2" a="1"/>
  <c r="AE229" i="2" s="1"/>
  <c r="AE230" i="2" a="1"/>
  <c r="AE230" i="2" s="1"/>
  <c r="AE231" i="2" a="1"/>
  <c r="AE231" i="2" s="1"/>
  <c r="AE232" i="2" a="1"/>
  <c r="AE232" i="2" s="1"/>
  <c r="AE233" i="2" a="1"/>
  <c r="AE233" i="2" s="1"/>
  <c r="AE234" i="2" a="1"/>
  <c r="AE234" i="2" s="1"/>
  <c r="AE235" i="2" a="1"/>
  <c r="AE235" i="2" s="1"/>
  <c r="AE236" i="2" a="1"/>
  <c r="AE236" i="2" s="1"/>
  <c r="AE237" i="2" a="1"/>
  <c r="AE237" i="2" s="1"/>
  <c r="AE238" i="2" a="1"/>
  <c r="AE238" i="2" s="1"/>
  <c r="AE239" i="2" a="1"/>
  <c r="AE239" i="2" s="1"/>
  <c r="AE240" i="2" a="1"/>
  <c r="AE240" i="2" s="1"/>
  <c r="AE241" i="2" a="1"/>
  <c r="AE241" i="2" s="1"/>
  <c r="AE242" i="2" a="1"/>
  <c r="AE242" i="2" s="1"/>
  <c r="AE243" i="2" a="1"/>
  <c r="AE243" i="2" s="1"/>
  <c r="AE244" i="2" a="1"/>
  <c r="AE244" i="2" s="1"/>
  <c r="AE245" i="2" a="1"/>
  <c r="AE245" i="2" s="1"/>
  <c r="AE246" i="2" a="1"/>
  <c r="AE246" i="2" s="1"/>
  <c r="AE247" i="2" a="1"/>
  <c r="AE247" i="2" s="1"/>
  <c r="AE248" i="2" a="1"/>
  <c r="AE248" i="2" s="1"/>
  <c r="AE249" i="2" a="1"/>
  <c r="AE249" i="2" s="1"/>
  <c r="AE250" i="2" a="1"/>
  <c r="AE250" i="2" s="1"/>
  <c r="AE251" i="2" a="1"/>
  <c r="AE251" i="2" s="1"/>
  <c r="AE252" i="2" a="1"/>
  <c r="AE252" i="2" s="1"/>
  <c r="AE253" i="2" a="1"/>
  <c r="AE253" i="2" s="1"/>
  <c r="AE254" i="2" a="1"/>
  <c r="AE254" i="2" s="1"/>
  <c r="AE255" i="2" a="1"/>
  <c r="AE255" i="2" s="1"/>
  <c r="AE256" i="2" a="1"/>
  <c r="AE256" i="2" s="1"/>
  <c r="AE257" i="2" a="1"/>
  <c r="AE257" i="2" s="1"/>
  <c r="AE258" i="2" a="1"/>
  <c r="AE258" i="2" s="1"/>
  <c r="AE259" i="2" a="1"/>
  <c r="AE259" i="2" s="1"/>
  <c r="AE260" i="2" a="1"/>
  <c r="AE260" i="2" s="1"/>
  <c r="AE261" i="2" a="1"/>
  <c r="AE261" i="2" s="1"/>
  <c r="AE262" i="2" a="1"/>
  <c r="AE262" i="2" s="1"/>
  <c r="AE263" i="2" a="1"/>
  <c r="AE263" i="2" s="1"/>
  <c r="AE264" i="2" a="1"/>
  <c r="AE264" i="2" s="1"/>
  <c r="AE265" i="2" a="1"/>
  <c r="AE265" i="2" s="1"/>
  <c r="AE266" i="2" a="1"/>
  <c r="AE266" i="2" s="1"/>
  <c r="AE267" i="2" a="1"/>
  <c r="AE267" i="2" s="1"/>
  <c r="AE268" i="2" a="1"/>
  <c r="AE268" i="2" s="1"/>
  <c r="AE269" i="2" a="1"/>
  <c r="AE269" i="2" s="1"/>
  <c r="AE270" i="2" a="1"/>
  <c r="AE270" i="2" s="1"/>
  <c r="AE271" i="2" a="1"/>
  <c r="AE271" i="2" s="1"/>
  <c r="AE272" i="2" a="1"/>
  <c r="AE272" i="2" s="1"/>
  <c r="AE273" i="2" a="1"/>
  <c r="AE273" i="2" s="1"/>
  <c r="AE274" i="2" a="1"/>
  <c r="AE274" i="2" s="1"/>
  <c r="AE275" i="2" a="1"/>
  <c r="AE275" i="2" s="1"/>
  <c r="AE276" i="2" a="1"/>
  <c r="AE276" i="2" s="1"/>
  <c r="AE277" i="2" a="1"/>
  <c r="AE277" i="2" s="1"/>
  <c r="AE278" i="2" a="1"/>
  <c r="AE278" i="2" s="1"/>
  <c r="AE279" i="2" a="1"/>
  <c r="AE279" i="2" s="1"/>
  <c r="AE280" i="2" a="1"/>
  <c r="AE280" i="2" s="1"/>
  <c r="AE281" i="2" a="1"/>
  <c r="AE281" i="2" s="1"/>
  <c r="AE282" i="2" a="1"/>
  <c r="AE282" i="2" s="1"/>
  <c r="AE283" i="2" a="1"/>
  <c r="AE283" i="2" s="1"/>
  <c r="AE284" i="2" a="1"/>
  <c r="AE284" i="2" s="1"/>
  <c r="AE285" i="2" a="1"/>
  <c r="AE285" i="2" s="1"/>
  <c r="AE286" i="2" a="1"/>
  <c r="AE286" i="2" s="1"/>
  <c r="AE287" i="2" a="1"/>
  <c r="AE287" i="2" s="1"/>
  <c r="AE288" i="2" a="1"/>
  <c r="AE288" i="2" s="1"/>
  <c r="AE289" i="2" a="1"/>
  <c r="AE289" i="2" s="1"/>
  <c r="AE290" i="2" a="1"/>
  <c r="AE290" i="2" s="1"/>
  <c r="AE291" i="2" a="1"/>
  <c r="AE291" i="2" s="1"/>
  <c r="AE292" i="2" a="1"/>
  <c r="AE292" i="2" s="1"/>
  <c r="AE293" i="2" a="1"/>
  <c r="AE293" i="2" s="1"/>
  <c r="AE294" i="2" a="1"/>
  <c r="AE294" i="2" s="1"/>
  <c r="AE295" i="2" a="1"/>
  <c r="AE295" i="2" s="1"/>
  <c r="AE296" i="2" a="1"/>
  <c r="AE296" i="2" s="1"/>
  <c r="AE297" i="2" a="1"/>
  <c r="AE297" i="2" s="1"/>
  <c r="AE298" i="2" a="1"/>
  <c r="AE298" i="2" s="1"/>
  <c r="AE299" i="2" a="1"/>
  <c r="AE299" i="2" s="1"/>
  <c r="AE300" i="2" a="1"/>
  <c r="AE300" i="2" s="1"/>
  <c r="AE301" i="2" a="1"/>
  <c r="AE301" i="2" s="1"/>
  <c r="AE302" i="2" a="1"/>
  <c r="AE302" i="2" s="1"/>
  <c r="AE303" i="2" a="1"/>
  <c r="AE303" i="2" s="1"/>
  <c r="AE304" i="2" a="1"/>
  <c r="AE304" i="2" s="1"/>
  <c r="AE305" i="2" a="1"/>
  <c r="AE305" i="2" s="1"/>
  <c r="AE306" i="2" a="1"/>
  <c r="AE306" i="2" s="1"/>
  <c r="AE307" i="2" a="1"/>
  <c r="AE307" i="2" s="1"/>
  <c r="AE308" i="2" a="1"/>
  <c r="AE308" i="2" s="1"/>
  <c r="AE309" i="2" a="1"/>
  <c r="AE309" i="2" s="1"/>
  <c r="AE310" i="2" a="1"/>
  <c r="AE310" i="2" s="1"/>
  <c r="AE311" i="2" a="1"/>
  <c r="AE311" i="2" s="1"/>
  <c r="AE312" i="2" a="1"/>
  <c r="AE312" i="2" s="1"/>
  <c r="AE313" i="2" a="1"/>
  <c r="AE313" i="2" s="1"/>
  <c r="AE314" i="2" a="1"/>
  <c r="AE314" i="2" s="1"/>
  <c r="AE315" i="2" a="1"/>
  <c r="AE315" i="2" s="1"/>
  <c r="AE316" i="2" a="1"/>
  <c r="AE316" i="2" s="1"/>
  <c r="AE317" i="2" a="1"/>
  <c r="AE317" i="2" s="1"/>
  <c r="AE318" i="2" a="1"/>
  <c r="AE318" i="2" s="1"/>
  <c r="AE319" i="2" a="1"/>
  <c r="AE319" i="2" s="1"/>
  <c r="AE320" i="2" a="1"/>
  <c r="AE320" i="2" s="1"/>
  <c r="AE321" i="2" a="1"/>
  <c r="AE321" i="2" s="1"/>
  <c r="AE322" i="2" a="1"/>
  <c r="AE322" i="2" s="1"/>
  <c r="AE323" i="2" a="1"/>
  <c r="AE323" i="2" s="1"/>
  <c r="AE324" i="2" a="1"/>
  <c r="AE324" i="2" s="1"/>
  <c r="AE325" i="2" a="1"/>
  <c r="AE325" i="2" s="1"/>
  <c r="AE326" i="2" a="1"/>
  <c r="AE326" i="2" s="1"/>
  <c r="AE327" i="2" a="1"/>
  <c r="AE327" i="2" s="1"/>
  <c r="AE328" i="2" a="1"/>
  <c r="AE328" i="2" s="1"/>
  <c r="AE329" i="2" a="1"/>
  <c r="AE329" i="2" s="1"/>
  <c r="AE330" i="2" a="1"/>
  <c r="AE330" i="2" s="1"/>
  <c r="AE331" i="2" a="1"/>
  <c r="AE331" i="2" s="1"/>
  <c r="AE332" i="2" a="1"/>
  <c r="AE332" i="2" s="1"/>
  <c r="AE333" i="2" a="1"/>
  <c r="AE333" i="2" s="1"/>
  <c r="AE334" i="2" a="1"/>
  <c r="AE334" i="2" s="1"/>
  <c r="AE335" i="2" a="1"/>
  <c r="AE335" i="2" s="1"/>
  <c r="AE336" i="2" a="1"/>
  <c r="AE336" i="2" s="1"/>
  <c r="AE337" i="2" a="1"/>
  <c r="AE337" i="2" s="1"/>
  <c r="AE338" i="2" a="1"/>
  <c r="AE338" i="2" s="1"/>
  <c r="AE339" i="2" a="1"/>
  <c r="AE339" i="2" s="1"/>
  <c r="AE340" i="2" a="1"/>
  <c r="AE340" i="2" s="1"/>
  <c r="AE341" i="2" a="1"/>
  <c r="AE341" i="2" s="1"/>
  <c r="AE342" i="2" a="1"/>
  <c r="AE342" i="2" s="1"/>
  <c r="AE343" i="2" a="1"/>
  <c r="AE343" i="2" s="1"/>
  <c r="AE344" i="2" a="1"/>
  <c r="AE344" i="2" s="1"/>
  <c r="AE2" i="2" a="1"/>
  <c r="AE2" i="2" s="1"/>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2" i="2"/>
  <c r="Y3" i="2"/>
  <c r="Z3" i="2" s="1" a="1"/>
  <c r="Z3" i="2" s="1"/>
  <c r="AA3" i="2" s="1"/>
  <c r="Y4" i="2"/>
  <c r="Z4" i="2" s="1" a="1"/>
  <c r="Z4" i="2" s="1"/>
  <c r="AA4" i="2" s="1"/>
  <c r="Y5" i="2"/>
  <c r="Z5" i="2" s="1" a="1"/>
  <c r="Z5" i="2" s="1"/>
  <c r="AA5" i="2" s="1"/>
  <c r="Y6" i="2"/>
  <c r="Z6" i="2" s="1" a="1"/>
  <c r="Z6" i="2" s="1"/>
  <c r="AA6" i="2" s="1"/>
  <c r="Y7" i="2"/>
  <c r="Z7" i="2" s="1" a="1"/>
  <c r="Z7" i="2" s="1"/>
  <c r="AA7" i="2" s="1"/>
  <c r="Y8" i="2"/>
  <c r="Z8" i="2" s="1" a="1"/>
  <c r="Z8" i="2" s="1"/>
  <c r="AA8" i="2" s="1"/>
  <c r="Y9" i="2"/>
  <c r="Z9" i="2" s="1" a="1"/>
  <c r="Z9" i="2" s="1"/>
  <c r="AA9" i="2" s="1"/>
  <c r="Y10" i="2"/>
  <c r="Z10" i="2" s="1" a="1"/>
  <c r="Z10" i="2" s="1"/>
  <c r="AA10" i="2" s="1"/>
  <c r="Y11" i="2"/>
  <c r="Z11" i="2" s="1" a="1"/>
  <c r="Z11" i="2" s="1"/>
  <c r="AA11" i="2" s="1"/>
  <c r="Y12" i="2"/>
  <c r="Z12" i="2" s="1" a="1"/>
  <c r="Z12" i="2" s="1"/>
  <c r="AA12" i="2" s="1"/>
  <c r="Y13" i="2"/>
  <c r="Z13" i="2" s="1" a="1"/>
  <c r="Z13" i="2" s="1"/>
  <c r="AA13" i="2" s="1"/>
  <c r="Y14" i="2"/>
  <c r="Z14" i="2" s="1" a="1"/>
  <c r="Z14" i="2" s="1"/>
  <c r="AA14" i="2" s="1"/>
  <c r="Y15" i="2"/>
  <c r="Z15" i="2" s="1" a="1"/>
  <c r="Z15" i="2" s="1"/>
  <c r="AA15" i="2" s="1"/>
  <c r="Y16" i="2"/>
  <c r="Z16" i="2" s="1" a="1"/>
  <c r="Z16" i="2" s="1"/>
  <c r="AA16" i="2" s="1"/>
  <c r="Y17" i="2"/>
  <c r="Z17" i="2" s="1" a="1"/>
  <c r="Z17" i="2" s="1"/>
  <c r="AA17" i="2" s="1"/>
  <c r="Y18" i="2"/>
  <c r="Z18" i="2" s="1" a="1"/>
  <c r="Z18" i="2" s="1"/>
  <c r="AA18" i="2" s="1"/>
  <c r="Y19" i="2"/>
  <c r="Z19" i="2" s="1" a="1"/>
  <c r="Z19" i="2" s="1"/>
  <c r="AA19" i="2" s="1"/>
  <c r="Y20" i="2"/>
  <c r="Z20" i="2" s="1" a="1"/>
  <c r="Z20" i="2" s="1"/>
  <c r="AA20" i="2" s="1"/>
  <c r="Y21" i="2"/>
  <c r="Z21" i="2" s="1" a="1"/>
  <c r="Z21" i="2" s="1"/>
  <c r="AA21" i="2" s="1"/>
  <c r="Y22" i="2"/>
  <c r="Z22" i="2" s="1" a="1"/>
  <c r="Z22" i="2" s="1"/>
  <c r="AA22" i="2" s="1"/>
  <c r="Y23" i="2"/>
  <c r="Z23" i="2" s="1" a="1"/>
  <c r="Z23" i="2" s="1"/>
  <c r="AA23" i="2" s="1"/>
  <c r="Y24" i="2"/>
  <c r="Z24" i="2" s="1" a="1"/>
  <c r="Z24" i="2" s="1"/>
  <c r="AA24" i="2" s="1"/>
  <c r="Y25" i="2"/>
  <c r="Z25" i="2" s="1" a="1"/>
  <c r="Z25" i="2" s="1"/>
  <c r="AA25" i="2" s="1"/>
  <c r="Y26" i="2"/>
  <c r="Z26" i="2" s="1" a="1"/>
  <c r="Z26" i="2" s="1"/>
  <c r="AA26" i="2" s="1"/>
  <c r="Y27" i="2"/>
  <c r="Z27" i="2" s="1" a="1"/>
  <c r="Z27" i="2" s="1"/>
  <c r="AA27" i="2" s="1"/>
  <c r="Y28" i="2"/>
  <c r="Z28" i="2" s="1" a="1"/>
  <c r="Z28" i="2" s="1"/>
  <c r="AA28" i="2" s="1"/>
  <c r="Y29" i="2"/>
  <c r="Z29" i="2" s="1" a="1"/>
  <c r="Z29" i="2" s="1"/>
  <c r="AA29" i="2" s="1"/>
  <c r="Y30" i="2"/>
  <c r="Z30" i="2" s="1" a="1"/>
  <c r="Z30" i="2" s="1"/>
  <c r="AA30" i="2" s="1"/>
  <c r="Y31" i="2"/>
  <c r="Z31" i="2" s="1" a="1"/>
  <c r="Z31" i="2" s="1"/>
  <c r="AA31" i="2" s="1"/>
  <c r="Y32" i="2"/>
  <c r="Z32" i="2" s="1" a="1"/>
  <c r="Z32" i="2" s="1"/>
  <c r="AA32" i="2" s="1"/>
  <c r="Y33" i="2"/>
  <c r="Z33" i="2" s="1" a="1"/>
  <c r="Z33" i="2" s="1"/>
  <c r="AA33" i="2" s="1"/>
  <c r="Y34" i="2"/>
  <c r="Z34" i="2" s="1" a="1"/>
  <c r="Z34" i="2" s="1"/>
  <c r="AA34" i="2" s="1"/>
  <c r="Y35" i="2"/>
  <c r="Z35" i="2" s="1" a="1"/>
  <c r="Z35" i="2" s="1"/>
  <c r="AA35" i="2" s="1"/>
  <c r="Y36" i="2"/>
  <c r="Z36" i="2" s="1" a="1"/>
  <c r="Z36" i="2" s="1"/>
  <c r="AA36" i="2" s="1"/>
  <c r="Y37" i="2"/>
  <c r="Z37" i="2" s="1" a="1"/>
  <c r="Z37" i="2" s="1"/>
  <c r="AA37" i="2" s="1"/>
  <c r="Y38" i="2"/>
  <c r="Z38" i="2" s="1" a="1"/>
  <c r="Z38" i="2" s="1"/>
  <c r="AA38" i="2" s="1"/>
  <c r="Y39" i="2"/>
  <c r="Z39" i="2" s="1" a="1"/>
  <c r="Z39" i="2" s="1"/>
  <c r="AA39" i="2" s="1"/>
  <c r="Y40" i="2"/>
  <c r="Z40" i="2" s="1" a="1"/>
  <c r="Z40" i="2" s="1"/>
  <c r="AA40" i="2" s="1"/>
  <c r="Y41" i="2"/>
  <c r="Z41" i="2" s="1" a="1"/>
  <c r="Z41" i="2" s="1"/>
  <c r="AA41" i="2" s="1"/>
  <c r="Y42" i="2"/>
  <c r="Z42" i="2" s="1" a="1"/>
  <c r="Z42" i="2" s="1"/>
  <c r="AA42" i="2" s="1"/>
  <c r="Y43" i="2"/>
  <c r="Z43" i="2" s="1" a="1"/>
  <c r="Z43" i="2" s="1"/>
  <c r="AA43" i="2" s="1"/>
  <c r="Y44" i="2"/>
  <c r="Z44" i="2" s="1" a="1"/>
  <c r="Z44" i="2" s="1"/>
  <c r="AA44" i="2" s="1"/>
  <c r="Y45" i="2"/>
  <c r="Z45" i="2" s="1" a="1"/>
  <c r="Z45" i="2" s="1"/>
  <c r="AA45" i="2" s="1"/>
  <c r="Y46" i="2"/>
  <c r="Z46" i="2" s="1" a="1"/>
  <c r="Z46" i="2" s="1"/>
  <c r="AA46" i="2" s="1"/>
  <c r="Y47" i="2"/>
  <c r="Z47" i="2" s="1" a="1"/>
  <c r="Z47" i="2" s="1"/>
  <c r="AA47" i="2" s="1"/>
  <c r="Y48" i="2"/>
  <c r="Z48" i="2" s="1" a="1"/>
  <c r="Z48" i="2" s="1"/>
  <c r="AA48" i="2" s="1"/>
  <c r="Y49" i="2"/>
  <c r="Z49" i="2" s="1" a="1"/>
  <c r="Z49" i="2" s="1"/>
  <c r="AA49" i="2" s="1"/>
  <c r="Y50" i="2"/>
  <c r="Z50" i="2" s="1" a="1"/>
  <c r="Z50" i="2" s="1"/>
  <c r="AA50" i="2" s="1"/>
  <c r="Y51" i="2"/>
  <c r="Z51" i="2" s="1" a="1"/>
  <c r="Z51" i="2" s="1"/>
  <c r="AA51" i="2" s="1"/>
  <c r="Y52" i="2"/>
  <c r="Z52" i="2" s="1" a="1"/>
  <c r="Z52" i="2" s="1"/>
  <c r="AA52" i="2" s="1"/>
  <c r="Y53" i="2"/>
  <c r="Z53" i="2" s="1" a="1"/>
  <c r="Z53" i="2" s="1"/>
  <c r="AA53" i="2" s="1"/>
  <c r="Y54" i="2"/>
  <c r="Z54" i="2" s="1" a="1"/>
  <c r="Z54" i="2" s="1"/>
  <c r="AA54" i="2" s="1"/>
  <c r="Y55" i="2"/>
  <c r="Z55" i="2" s="1" a="1"/>
  <c r="Z55" i="2" s="1"/>
  <c r="AA55" i="2" s="1"/>
  <c r="Y56" i="2"/>
  <c r="Z56" i="2" s="1" a="1"/>
  <c r="Z56" i="2" s="1"/>
  <c r="AA56" i="2" s="1"/>
  <c r="Y57" i="2"/>
  <c r="Z57" i="2" s="1" a="1"/>
  <c r="Z57" i="2" s="1"/>
  <c r="AA57" i="2" s="1"/>
  <c r="Y58" i="2"/>
  <c r="Z58" i="2" s="1" a="1"/>
  <c r="Z58" i="2" s="1"/>
  <c r="AA58" i="2" s="1"/>
  <c r="Y59" i="2"/>
  <c r="Z59" i="2" s="1" a="1"/>
  <c r="Z59" i="2" s="1"/>
  <c r="AA59" i="2" s="1"/>
  <c r="Y60" i="2"/>
  <c r="Z60" i="2" s="1" a="1"/>
  <c r="Z60" i="2" s="1"/>
  <c r="AA60" i="2" s="1"/>
  <c r="Y61" i="2"/>
  <c r="Z61" i="2" s="1" a="1"/>
  <c r="Z61" i="2" s="1"/>
  <c r="AA61" i="2" s="1"/>
  <c r="Y62" i="2"/>
  <c r="Z62" i="2" s="1" a="1"/>
  <c r="Z62" i="2" s="1"/>
  <c r="AA62" i="2" s="1"/>
  <c r="Y63" i="2"/>
  <c r="Z63" i="2" s="1" a="1"/>
  <c r="Z63" i="2" s="1"/>
  <c r="AA63" i="2" s="1"/>
  <c r="Y64" i="2"/>
  <c r="Z64" i="2" s="1" a="1"/>
  <c r="Z64" i="2" s="1"/>
  <c r="AA64" i="2" s="1"/>
  <c r="Y65" i="2"/>
  <c r="Z65" i="2" s="1" a="1"/>
  <c r="Z65" i="2" s="1"/>
  <c r="AA65" i="2" s="1"/>
  <c r="Y66" i="2"/>
  <c r="Z66" i="2" s="1" a="1"/>
  <c r="Z66" i="2" s="1"/>
  <c r="AA66" i="2" s="1"/>
  <c r="Y67" i="2"/>
  <c r="Z67" i="2" s="1" a="1"/>
  <c r="Z67" i="2" s="1"/>
  <c r="AA67" i="2" s="1"/>
  <c r="Y68" i="2"/>
  <c r="Z68" i="2" s="1" a="1"/>
  <c r="Z68" i="2" s="1"/>
  <c r="AA68" i="2" s="1"/>
  <c r="Y69" i="2"/>
  <c r="Z69" i="2" s="1" a="1"/>
  <c r="Z69" i="2" s="1"/>
  <c r="AA69" i="2" s="1"/>
  <c r="Y70" i="2"/>
  <c r="Z70" i="2" s="1" a="1"/>
  <c r="Z70" i="2" s="1"/>
  <c r="AA70" i="2" s="1"/>
  <c r="Y71" i="2"/>
  <c r="Z71" i="2" s="1" a="1"/>
  <c r="Z71" i="2" s="1"/>
  <c r="AA71" i="2" s="1"/>
  <c r="Y72" i="2"/>
  <c r="Z72" i="2" s="1" a="1"/>
  <c r="Z72" i="2" s="1"/>
  <c r="AA72" i="2" s="1"/>
  <c r="Y73" i="2"/>
  <c r="Z73" i="2" s="1" a="1"/>
  <c r="Z73" i="2" s="1"/>
  <c r="AA73" i="2" s="1"/>
  <c r="Y74" i="2"/>
  <c r="Z74" i="2" s="1" a="1"/>
  <c r="Z74" i="2" s="1"/>
  <c r="AA74" i="2" s="1"/>
  <c r="Y75" i="2"/>
  <c r="Z75" i="2" s="1" a="1"/>
  <c r="Z75" i="2" s="1"/>
  <c r="AA75" i="2" s="1"/>
  <c r="Y76" i="2"/>
  <c r="Z76" i="2" s="1" a="1"/>
  <c r="Z76" i="2" s="1"/>
  <c r="AA76" i="2" s="1"/>
  <c r="Y77" i="2"/>
  <c r="Z77" i="2" s="1" a="1"/>
  <c r="Z77" i="2" s="1"/>
  <c r="AA77" i="2" s="1"/>
  <c r="Y78" i="2"/>
  <c r="Z78" i="2" s="1" a="1"/>
  <c r="Z78" i="2" s="1"/>
  <c r="AA78" i="2" s="1"/>
  <c r="Y79" i="2"/>
  <c r="Z79" i="2" s="1" a="1"/>
  <c r="Z79" i="2" s="1"/>
  <c r="AA79" i="2" s="1"/>
  <c r="Y80" i="2"/>
  <c r="Z80" i="2" s="1" a="1"/>
  <c r="Z80" i="2" s="1"/>
  <c r="AA80" i="2" s="1"/>
  <c r="Y81" i="2"/>
  <c r="Z81" i="2" s="1" a="1"/>
  <c r="Z81" i="2" s="1"/>
  <c r="AA81" i="2" s="1"/>
  <c r="Y82" i="2"/>
  <c r="Z82" i="2" s="1" a="1"/>
  <c r="Z82" i="2" s="1"/>
  <c r="AA82" i="2" s="1"/>
  <c r="Y83" i="2"/>
  <c r="Z83" i="2" s="1" a="1"/>
  <c r="Z83" i="2" s="1"/>
  <c r="AA83" i="2" s="1"/>
  <c r="Y84" i="2"/>
  <c r="Z84" i="2" s="1" a="1"/>
  <c r="Z84" i="2" s="1"/>
  <c r="AA84" i="2" s="1"/>
  <c r="Y85" i="2"/>
  <c r="Z85" i="2" s="1" a="1"/>
  <c r="Z85" i="2" s="1"/>
  <c r="AA85" i="2" s="1"/>
  <c r="Y86" i="2"/>
  <c r="Z86" i="2" s="1" a="1"/>
  <c r="Z86" i="2" s="1"/>
  <c r="AA86" i="2" s="1"/>
  <c r="Y87" i="2"/>
  <c r="Z87" i="2" s="1" a="1"/>
  <c r="Z87" i="2" s="1"/>
  <c r="AA87" i="2" s="1"/>
  <c r="Y88" i="2"/>
  <c r="Z88" i="2" s="1" a="1"/>
  <c r="Z88" i="2" s="1"/>
  <c r="AA88" i="2" s="1"/>
  <c r="Y89" i="2"/>
  <c r="Z89" i="2" s="1" a="1"/>
  <c r="Z89" i="2" s="1"/>
  <c r="AA89" i="2" s="1"/>
  <c r="Y90" i="2"/>
  <c r="Z90" i="2" s="1" a="1"/>
  <c r="Z90" i="2" s="1"/>
  <c r="AA90" i="2" s="1"/>
  <c r="Y91" i="2"/>
  <c r="Z91" i="2" s="1" a="1"/>
  <c r="Z91" i="2" s="1"/>
  <c r="AA91" i="2" s="1"/>
  <c r="Y92" i="2"/>
  <c r="Z92" i="2" s="1" a="1"/>
  <c r="Z92" i="2" s="1"/>
  <c r="AA92" i="2" s="1"/>
  <c r="Y93" i="2"/>
  <c r="Z93" i="2" s="1" a="1"/>
  <c r="Z93" i="2" s="1"/>
  <c r="AA93" i="2" s="1"/>
  <c r="Y94" i="2"/>
  <c r="Z94" i="2" s="1" a="1"/>
  <c r="Z94" i="2" s="1"/>
  <c r="AA94" i="2" s="1"/>
  <c r="Y95" i="2"/>
  <c r="Z95" i="2" s="1" a="1"/>
  <c r="Z95" i="2" s="1"/>
  <c r="AA95" i="2" s="1"/>
  <c r="Y96" i="2"/>
  <c r="Z96" i="2" s="1" a="1"/>
  <c r="Z96" i="2" s="1"/>
  <c r="AA96" i="2" s="1"/>
  <c r="Y97" i="2"/>
  <c r="Z97" i="2" s="1" a="1"/>
  <c r="Z97" i="2" s="1"/>
  <c r="AA97" i="2" s="1"/>
  <c r="Y98" i="2"/>
  <c r="Z98" i="2" s="1" a="1"/>
  <c r="Z98" i="2" s="1"/>
  <c r="AA98" i="2" s="1"/>
  <c r="Y99" i="2"/>
  <c r="Z99" i="2" s="1" a="1"/>
  <c r="Z99" i="2" s="1"/>
  <c r="AA99" i="2" s="1"/>
  <c r="Y100" i="2"/>
  <c r="Z100" i="2" s="1" a="1"/>
  <c r="Z100" i="2" s="1"/>
  <c r="AA100" i="2" s="1"/>
  <c r="Y101" i="2"/>
  <c r="Z101" i="2" s="1" a="1"/>
  <c r="Z101" i="2" s="1"/>
  <c r="AA101" i="2" s="1"/>
  <c r="Y102" i="2"/>
  <c r="Z102" i="2" s="1" a="1"/>
  <c r="Z102" i="2" s="1"/>
  <c r="AA102" i="2" s="1"/>
  <c r="Y103" i="2"/>
  <c r="Z103" i="2" s="1" a="1"/>
  <c r="Z103" i="2" s="1"/>
  <c r="AA103" i="2" s="1"/>
  <c r="Y104" i="2"/>
  <c r="Z104" i="2" s="1" a="1"/>
  <c r="Z104" i="2" s="1"/>
  <c r="AA104" i="2" s="1"/>
  <c r="Y105" i="2"/>
  <c r="Z105" i="2" s="1" a="1"/>
  <c r="Z105" i="2" s="1"/>
  <c r="AA105" i="2" s="1"/>
  <c r="Y106" i="2"/>
  <c r="Z106" i="2" s="1" a="1"/>
  <c r="Z106" i="2" s="1"/>
  <c r="AA106" i="2" s="1"/>
  <c r="Y107" i="2"/>
  <c r="Z107" i="2" s="1" a="1"/>
  <c r="Z107" i="2" s="1"/>
  <c r="AA107" i="2" s="1"/>
  <c r="Y108" i="2"/>
  <c r="Z108" i="2" s="1" a="1"/>
  <c r="Z108" i="2" s="1"/>
  <c r="AA108" i="2" s="1"/>
  <c r="Y109" i="2"/>
  <c r="Z109" i="2" s="1" a="1"/>
  <c r="Z109" i="2" s="1"/>
  <c r="AA109" i="2" s="1"/>
  <c r="Y110" i="2"/>
  <c r="Z110" i="2" s="1" a="1"/>
  <c r="Z110" i="2" s="1"/>
  <c r="AA110" i="2" s="1"/>
  <c r="Y111" i="2"/>
  <c r="Z111" i="2" s="1" a="1"/>
  <c r="Z111" i="2" s="1"/>
  <c r="AA111" i="2" s="1"/>
  <c r="Y112" i="2"/>
  <c r="Z112" i="2" s="1" a="1"/>
  <c r="Z112" i="2" s="1"/>
  <c r="AA112" i="2" s="1"/>
  <c r="Y113" i="2"/>
  <c r="Z113" i="2" s="1" a="1"/>
  <c r="Z113" i="2" s="1"/>
  <c r="AA113" i="2" s="1"/>
  <c r="Y114" i="2"/>
  <c r="Z114" i="2" s="1" a="1"/>
  <c r="Z114" i="2" s="1"/>
  <c r="AA114" i="2" s="1"/>
  <c r="Y115" i="2"/>
  <c r="Z115" i="2" s="1" a="1"/>
  <c r="Z115" i="2" s="1"/>
  <c r="AA115" i="2" s="1"/>
  <c r="Y116" i="2"/>
  <c r="Z116" i="2" s="1" a="1"/>
  <c r="Z116" i="2" s="1"/>
  <c r="AA116" i="2" s="1"/>
  <c r="Y117" i="2"/>
  <c r="Z117" i="2" s="1" a="1"/>
  <c r="Z117" i="2" s="1"/>
  <c r="AA117" i="2" s="1"/>
  <c r="Y118" i="2"/>
  <c r="Z118" i="2" s="1" a="1"/>
  <c r="Z118" i="2" s="1"/>
  <c r="AA118" i="2" s="1"/>
  <c r="Y119" i="2"/>
  <c r="Z119" i="2" s="1" a="1"/>
  <c r="Z119" i="2" s="1"/>
  <c r="AA119" i="2" s="1"/>
  <c r="Y120" i="2"/>
  <c r="Z120" i="2" s="1" a="1"/>
  <c r="Z120" i="2" s="1"/>
  <c r="AA120" i="2" s="1"/>
  <c r="Y121" i="2"/>
  <c r="Z121" i="2" s="1" a="1"/>
  <c r="Z121" i="2" s="1"/>
  <c r="AA121" i="2" s="1"/>
  <c r="Y122" i="2"/>
  <c r="Z122" i="2" s="1" a="1"/>
  <c r="Z122" i="2" s="1"/>
  <c r="AA122" i="2" s="1"/>
  <c r="Y123" i="2"/>
  <c r="Z123" i="2" s="1" a="1"/>
  <c r="Z123" i="2" s="1"/>
  <c r="AA123" i="2" s="1"/>
  <c r="Y124" i="2"/>
  <c r="Z124" i="2" s="1" a="1"/>
  <c r="Z124" i="2" s="1"/>
  <c r="AA124" i="2" s="1"/>
  <c r="Y125" i="2"/>
  <c r="Z125" i="2" s="1" a="1"/>
  <c r="Z125" i="2" s="1"/>
  <c r="AA125" i="2" s="1"/>
  <c r="Y126" i="2"/>
  <c r="Z126" i="2" s="1" a="1"/>
  <c r="Z126" i="2" s="1"/>
  <c r="AA126" i="2" s="1"/>
  <c r="Y127" i="2"/>
  <c r="Z127" i="2" s="1" a="1"/>
  <c r="Z127" i="2" s="1"/>
  <c r="AA127" i="2" s="1"/>
  <c r="Y128" i="2"/>
  <c r="Z128" i="2" s="1" a="1"/>
  <c r="Z128" i="2" s="1"/>
  <c r="AA128" i="2" s="1"/>
  <c r="Y129" i="2"/>
  <c r="Z129" i="2" s="1" a="1"/>
  <c r="Z129" i="2" s="1"/>
  <c r="AA129" i="2" s="1"/>
  <c r="Y130" i="2"/>
  <c r="Z130" i="2" s="1" a="1"/>
  <c r="Z130" i="2" s="1"/>
  <c r="AA130" i="2" s="1"/>
  <c r="Y131" i="2"/>
  <c r="Z131" i="2" s="1" a="1"/>
  <c r="Z131" i="2" s="1"/>
  <c r="AA131" i="2" s="1"/>
  <c r="Y132" i="2"/>
  <c r="Z132" i="2" s="1" a="1"/>
  <c r="Z132" i="2" s="1"/>
  <c r="AA132" i="2" s="1"/>
  <c r="Y133" i="2"/>
  <c r="Z133" i="2" s="1" a="1"/>
  <c r="Z133" i="2" s="1"/>
  <c r="AA133" i="2" s="1"/>
  <c r="Y134" i="2"/>
  <c r="Z134" i="2" s="1" a="1"/>
  <c r="Z134" i="2" s="1"/>
  <c r="AA134" i="2" s="1"/>
  <c r="Y135" i="2"/>
  <c r="Z135" i="2" s="1" a="1"/>
  <c r="Z135" i="2" s="1"/>
  <c r="AA135" i="2" s="1"/>
  <c r="Y136" i="2"/>
  <c r="Z136" i="2" s="1" a="1"/>
  <c r="Z136" i="2" s="1"/>
  <c r="AA136" i="2" s="1"/>
  <c r="Y137" i="2"/>
  <c r="Z137" i="2" s="1" a="1"/>
  <c r="Z137" i="2" s="1"/>
  <c r="AA137" i="2" s="1"/>
  <c r="Y138" i="2"/>
  <c r="Z138" i="2" s="1" a="1"/>
  <c r="Z138" i="2" s="1"/>
  <c r="AA138" i="2" s="1"/>
  <c r="Y139" i="2"/>
  <c r="Z139" i="2" s="1" a="1"/>
  <c r="Z139" i="2" s="1"/>
  <c r="AA139" i="2" s="1"/>
  <c r="Y140" i="2"/>
  <c r="Z140" i="2" s="1" a="1"/>
  <c r="Z140" i="2" s="1"/>
  <c r="AA140" i="2" s="1"/>
  <c r="Y141" i="2"/>
  <c r="Z141" i="2" s="1" a="1"/>
  <c r="Z141" i="2" s="1"/>
  <c r="AA141" i="2" s="1"/>
  <c r="Y142" i="2"/>
  <c r="Z142" i="2" s="1" a="1"/>
  <c r="Z142" i="2" s="1"/>
  <c r="AA142" i="2" s="1"/>
  <c r="Y143" i="2"/>
  <c r="Z143" i="2" s="1" a="1"/>
  <c r="Z143" i="2" s="1"/>
  <c r="AA143" i="2" s="1"/>
  <c r="Y144" i="2"/>
  <c r="Z144" i="2" s="1" a="1"/>
  <c r="Z144" i="2" s="1"/>
  <c r="AA144" i="2" s="1"/>
  <c r="Y145" i="2"/>
  <c r="Z145" i="2" s="1" a="1"/>
  <c r="Z145" i="2" s="1"/>
  <c r="AA145" i="2" s="1"/>
  <c r="Y146" i="2"/>
  <c r="Z146" i="2" s="1" a="1"/>
  <c r="Z146" i="2" s="1"/>
  <c r="AA146" i="2" s="1"/>
  <c r="Y147" i="2"/>
  <c r="Z147" i="2" s="1" a="1"/>
  <c r="Z147" i="2" s="1"/>
  <c r="AA147" i="2" s="1"/>
  <c r="Y148" i="2"/>
  <c r="Z148" i="2" s="1" a="1"/>
  <c r="Z148" i="2" s="1"/>
  <c r="AA148" i="2" s="1"/>
  <c r="Y149" i="2"/>
  <c r="Z149" i="2" s="1" a="1"/>
  <c r="Z149" i="2" s="1"/>
  <c r="AA149" i="2" s="1"/>
  <c r="Y150" i="2"/>
  <c r="Z150" i="2" s="1" a="1"/>
  <c r="Z150" i="2" s="1"/>
  <c r="AA150" i="2" s="1"/>
  <c r="Y151" i="2"/>
  <c r="Z151" i="2" s="1" a="1"/>
  <c r="Z151" i="2" s="1"/>
  <c r="AA151" i="2" s="1"/>
  <c r="Y152" i="2"/>
  <c r="Z152" i="2" s="1" a="1"/>
  <c r="Z152" i="2" s="1"/>
  <c r="AA152" i="2" s="1"/>
  <c r="Y153" i="2"/>
  <c r="Z153" i="2" s="1" a="1"/>
  <c r="Z153" i="2" s="1"/>
  <c r="AA153" i="2" s="1"/>
  <c r="Y154" i="2"/>
  <c r="Z154" i="2" s="1" a="1"/>
  <c r="Z154" i="2" s="1"/>
  <c r="AA154" i="2" s="1"/>
  <c r="Y155" i="2"/>
  <c r="Z155" i="2" s="1" a="1"/>
  <c r="Z155" i="2" s="1"/>
  <c r="AA155" i="2" s="1"/>
  <c r="Y156" i="2"/>
  <c r="Z156" i="2" s="1" a="1"/>
  <c r="Z156" i="2" s="1"/>
  <c r="AA156" i="2" s="1"/>
  <c r="Y157" i="2"/>
  <c r="Z157" i="2" s="1" a="1"/>
  <c r="Z157" i="2" s="1"/>
  <c r="AA157" i="2" s="1"/>
  <c r="Y158" i="2"/>
  <c r="Z158" i="2" s="1" a="1"/>
  <c r="Z158" i="2" s="1"/>
  <c r="AA158" i="2" s="1"/>
  <c r="Y159" i="2"/>
  <c r="Z159" i="2" s="1" a="1"/>
  <c r="Z159" i="2" s="1"/>
  <c r="AA159" i="2" s="1"/>
  <c r="Y160" i="2"/>
  <c r="Z160" i="2" s="1" a="1"/>
  <c r="Z160" i="2" s="1"/>
  <c r="AA160" i="2" s="1"/>
  <c r="Y161" i="2"/>
  <c r="Z161" i="2" s="1" a="1"/>
  <c r="Z161" i="2" s="1"/>
  <c r="AA161" i="2" s="1"/>
  <c r="Y162" i="2"/>
  <c r="Z162" i="2" s="1" a="1"/>
  <c r="Z162" i="2" s="1"/>
  <c r="AA162" i="2" s="1"/>
  <c r="Y163" i="2"/>
  <c r="Z163" i="2" s="1" a="1"/>
  <c r="Z163" i="2" s="1"/>
  <c r="AA163" i="2" s="1"/>
  <c r="Y164" i="2"/>
  <c r="Z164" i="2" s="1" a="1"/>
  <c r="Z164" i="2" s="1"/>
  <c r="AA164" i="2" s="1"/>
  <c r="Y165" i="2"/>
  <c r="Z165" i="2" s="1" a="1"/>
  <c r="Z165" i="2" s="1"/>
  <c r="AA165" i="2" s="1"/>
  <c r="Y166" i="2"/>
  <c r="Z166" i="2" s="1" a="1"/>
  <c r="Z166" i="2" s="1"/>
  <c r="AA166" i="2" s="1"/>
  <c r="Y167" i="2"/>
  <c r="Z167" i="2" s="1" a="1"/>
  <c r="Z167" i="2" s="1"/>
  <c r="AA167" i="2" s="1"/>
  <c r="Y168" i="2"/>
  <c r="Z168" i="2" s="1" a="1"/>
  <c r="Z168" i="2" s="1"/>
  <c r="AA168" i="2" s="1"/>
  <c r="Y169" i="2"/>
  <c r="Z169" i="2" s="1" a="1"/>
  <c r="Z169" i="2" s="1"/>
  <c r="AA169" i="2" s="1"/>
  <c r="Y170" i="2"/>
  <c r="Z170" i="2" s="1" a="1"/>
  <c r="Z170" i="2" s="1"/>
  <c r="AA170" i="2" s="1"/>
  <c r="Y171" i="2"/>
  <c r="Z171" i="2" s="1" a="1"/>
  <c r="Z171" i="2" s="1"/>
  <c r="AA171" i="2" s="1"/>
  <c r="Y172" i="2"/>
  <c r="Z172" i="2" s="1" a="1"/>
  <c r="Z172" i="2" s="1"/>
  <c r="AA172" i="2" s="1"/>
  <c r="Y173" i="2"/>
  <c r="Z173" i="2" s="1" a="1"/>
  <c r="Z173" i="2" s="1"/>
  <c r="AA173" i="2" s="1"/>
  <c r="Y174" i="2"/>
  <c r="Z174" i="2" s="1" a="1"/>
  <c r="Z174" i="2" s="1"/>
  <c r="AA174" i="2" s="1"/>
  <c r="Y175" i="2"/>
  <c r="Z175" i="2" s="1" a="1"/>
  <c r="Z175" i="2" s="1"/>
  <c r="AA175" i="2" s="1"/>
  <c r="Y176" i="2"/>
  <c r="Z176" i="2" s="1" a="1"/>
  <c r="Z176" i="2" s="1"/>
  <c r="AA176" i="2" s="1"/>
  <c r="Y177" i="2"/>
  <c r="Z177" i="2" s="1" a="1"/>
  <c r="Z177" i="2" s="1"/>
  <c r="AA177" i="2" s="1"/>
  <c r="Y178" i="2"/>
  <c r="Z178" i="2" s="1" a="1"/>
  <c r="Z178" i="2" s="1"/>
  <c r="AA178" i="2" s="1"/>
  <c r="Y179" i="2"/>
  <c r="Z179" i="2" s="1" a="1"/>
  <c r="Z179" i="2" s="1"/>
  <c r="AA179" i="2" s="1"/>
  <c r="Y180" i="2"/>
  <c r="Z180" i="2" s="1" a="1"/>
  <c r="Z180" i="2" s="1"/>
  <c r="AA180" i="2" s="1"/>
  <c r="Y181" i="2"/>
  <c r="Z181" i="2" s="1" a="1"/>
  <c r="Z181" i="2" s="1"/>
  <c r="AA181" i="2" s="1"/>
  <c r="Y182" i="2"/>
  <c r="Z182" i="2" s="1" a="1"/>
  <c r="Z182" i="2" s="1"/>
  <c r="AA182" i="2" s="1"/>
  <c r="Y183" i="2"/>
  <c r="Z183" i="2" s="1" a="1"/>
  <c r="Z183" i="2" s="1"/>
  <c r="AA183" i="2" s="1"/>
  <c r="Y184" i="2"/>
  <c r="Z184" i="2" s="1" a="1"/>
  <c r="Z184" i="2" s="1"/>
  <c r="AA184" i="2" s="1"/>
  <c r="Y185" i="2"/>
  <c r="Z185" i="2" s="1" a="1"/>
  <c r="Z185" i="2" s="1"/>
  <c r="AA185" i="2" s="1"/>
  <c r="Y186" i="2"/>
  <c r="Z186" i="2" s="1" a="1"/>
  <c r="Z186" i="2" s="1"/>
  <c r="AA186" i="2" s="1"/>
  <c r="Y187" i="2"/>
  <c r="Z187" i="2" s="1" a="1"/>
  <c r="Z187" i="2" s="1"/>
  <c r="AA187" i="2" s="1"/>
  <c r="Y188" i="2"/>
  <c r="Z188" i="2" s="1" a="1"/>
  <c r="Z188" i="2" s="1"/>
  <c r="AA188" i="2" s="1"/>
  <c r="Y189" i="2"/>
  <c r="Z189" i="2" s="1" a="1"/>
  <c r="Z189" i="2" s="1"/>
  <c r="AA189" i="2" s="1"/>
  <c r="Y190" i="2"/>
  <c r="Z190" i="2" s="1" a="1"/>
  <c r="Z190" i="2" s="1"/>
  <c r="AA190" i="2" s="1"/>
  <c r="Y191" i="2"/>
  <c r="Z191" i="2" s="1" a="1"/>
  <c r="Z191" i="2" s="1"/>
  <c r="AA191" i="2" s="1"/>
  <c r="Y192" i="2"/>
  <c r="Z192" i="2" s="1" a="1"/>
  <c r="Z192" i="2" s="1"/>
  <c r="AA192" i="2" s="1"/>
  <c r="Y193" i="2"/>
  <c r="Z193" i="2" s="1" a="1"/>
  <c r="Z193" i="2" s="1"/>
  <c r="AA193" i="2" s="1"/>
  <c r="Y194" i="2"/>
  <c r="Z194" i="2" s="1" a="1"/>
  <c r="Z194" i="2" s="1"/>
  <c r="AA194" i="2" s="1"/>
  <c r="Y195" i="2"/>
  <c r="Z195" i="2" s="1" a="1"/>
  <c r="Z195" i="2" s="1"/>
  <c r="AA195" i="2" s="1"/>
  <c r="Y196" i="2"/>
  <c r="Z196" i="2" s="1" a="1"/>
  <c r="Z196" i="2" s="1"/>
  <c r="AA196" i="2" s="1"/>
  <c r="Y197" i="2"/>
  <c r="Z197" i="2" s="1" a="1"/>
  <c r="Z197" i="2" s="1"/>
  <c r="AA197" i="2" s="1"/>
  <c r="Y198" i="2"/>
  <c r="Z198" i="2" s="1" a="1"/>
  <c r="Z198" i="2" s="1"/>
  <c r="AA198" i="2" s="1"/>
  <c r="Y199" i="2"/>
  <c r="Z199" i="2" s="1" a="1"/>
  <c r="Z199" i="2" s="1"/>
  <c r="AA199" i="2" s="1"/>
  <c r="Y200" i="2"/>
  <c r="Z200" i="2" s="1" a="1"/>
  <c r="Z200" i="2" s="1"/>
  <c r="AA200" i="2" s="1"/>
  <c r="Y201" i="2"/>
  <c r="Z201" i="2" s="1" a="1"/>
  <c r="Z201" i="2" s="1"/>
  <c r="AA201" i="2" s="1"/>
  <c r="Y202" i="2"/>
  <c r="Z202" i="2" s="1" a="1"/>
  <c r="Z202" i="2" s="1"/>
  <c r="AA202" i="2" s="1"/>
  <c r="Y203" i="2"/>
  <c r="Z203" i="2" s="1" a="1"/>
  <c r="Z203" i="2" s="1"/>
  <c r="AA203" i="2" s="1"/>
  <c r="Y204" i="2"/>
  <c r="Z204" i="2" s="1" a="1"/>
  <c r="Z204" i="2" s="1"/>
  <c r="AA204" i="2" s="1"/>
  <c r="Y205" i="2"/>
  <c r="Z205" i="2" s="1" a="1"/>
  <c r="Z205" i="2" s="1"/>
  <c r="AA205" i="2" s="1"/>
  <c r="Y206" i="2"/>
  <c r="Z206" i="2" s="1" a="1"/>
  <c r="Z206" i="2" s="1"/>
  <c r="AA206" i="2" s="1"/>
  <c r="Y207" i="2"/>
  <c r="Z207" i="2" s="1" a="1"/>
  <c r="Z207" i="2" s="1"/>
  <c r="AA207" i="2" s="1"/>
  <c r="Y208" i="2"/>
  <c r="Z208" i="2" s="1" a="1"/>
  <c r="Z208" i="2" s="1"/>
  <c r="AA208" i="2" s="1"/>
  <c r="Y209" i="2"/>
  <c r="Z209" i="2" s="1" a="1"/>
  <c r="Z209" i="2" s="1"/>
  <c r="AA209" i="2" s="1"/>
  <c r="Y210" i="2"/>
  <c r="Z210" i="2" s="1" a="1"/>
  <c r="Z210" i="2" s="1"/>
  <c r="AA210" i="2" s="1"/>
  <c r="Y211" i="2"/>
  <c r="Z211" i="2" s="1" a="1"/>
  <c r="Z211" i="2" s="1"/>
  <c r="AA211" i="2" s="1"/>
  <c r="Y212" i="2"/>
  <c r="Z212" i="2" s="1" a="1"/>
  <c r="Z212" i="2" s="1"/>
  <c r="AA212" i="2" s="1"/>
  <c r="Y213" i="2"/>
  <c r="Z213" i="2" s="1" a="1"/>
  <c r="Z213" i="2" s="1"/>
  <c r="AA213" i="2" s="1"/>
  <c r="Y214" i="2"/>
  <c r="Z214" i="2" s="1" a="1"/>
  <c r="Z214" i="2" s="1"/>
  <c r="AA214" i="2" s="1"/>
  <c r="Y215" i="2"/>
  <c r="Z215" i="2" s="1" a="1"/>
  <c r="Z215" i="2" s="1"/>
  <c r="AA215" i="2" s="1"/>
  <c r="Y216" i="2"/>
  <c r="Z216" i="2" s="1" a="1"/>
  <c r="Z216" i="2" s="1"/>
  <c r="AA216" i="2" s="1"/>
  <c r="Y217" i="2"/>
  <c r="Z217" i="2" s="1" a="1"/>
  <c r="Z217" i="2" s="1"/>
  <c r="AA217" i="2" s="1"/>
  <c r="Y218" i="2"/>
  <c r="Z218" i="2" s="1" a="1"/>
  <c r="Z218" i="2" s="1"/>
  <c r="AA218" i="2" s="1"/>
  <c r="Y219" i="2"/>
  <c r="Z219" i="2" s="1" a="1"/>
  <c r="Z219" i="2" s="1"/>
  <c r="AA219" i="2" s="1"/>
  <c r="Y220" i="2"/>
  <c r="Z220" i="2" s="1" a="1"/>
  <c r="Z220" i="2" s="1"/>
  <c r="AA220" i="2" s="1"/>
  <c r="Y221" i="2"/>
  <c r="Z221" i="2" s="1" a="1"/>
  <c r="Z221" i="2" s="1"/>
  <c r="AA221" i="2" s="1"/>
  <c r="Y222" i="2"/>
  <c r="Z222" i="2" s="1" a="1"/>
  <c r="Z222" i="2" s="1"/>
  <c r="AA222" i="2" s="1"/>
  <c r="Y223" i="2"/>
  <c r="Z223" i="2" s="1" a="1"/>
  <c r="Z223" i="2" s="1"/>
  <c r="AA223" i="2" s="1"/>
  <c r="Y224" i="2"/>
  <c r="Z224" i="2" s="1" a="1"/>
  <c r="Z224" i="2" s="1"/>
  <c r="AA224" i="2" s="1"/>
  <c r="Y225" i="2"/>
  <c r="Z225" i="2" s="1" a="1"/>
  <c r="Z225" i="2" s="1"/>
  <c r="AA225" i="2" s="1"/>
  <c r="Y226" i="2"/>
  <c r="Z226" i="2" s="1" a="1"/>
  <c r="Z226" i="2" s="1"/>
  <c r="AA226" i="2" s="1"/>
  <c r="Y227" i="2"/>
  <c r="Z227" i="2" s="1" a="1"/>
  <c r="Z227" i="2" s="1"/>
  <c r="AA227" i="2" s="1"/>
  <c r="Y228" i="2"/>
  <c r="Z228" i="2" s="1" a="1"/>
  <c r="Z228" i="2" s="1"/>
  <c r="AA228" i="2" s="1"/>
  <c r="Y229" i="2"/>
  <c r="Z229" i="2" s="1" a="1"/>
  <c r="Z229" i="2" s="1"/>
  <c r="AA229" i="2" s="1"/>
  <c r="Y230" i="2"/>
  <c r="Z230" i="2" s="1" a="1"/>
  <c r="Z230" i="2" s="1"/>
  <c r="AA230" i="2" s="1"/>
  <c r="Y231" i="2"/>
  <c r="Z231" i="2" s="1" a="1"/>
  <c r="Z231" i="2" s="1"/>
  <c r="AA231" i="2" s="1"/>
  <c r="Y232" i="2"/>
  <c r="Z232" i="2" s="1" a="1"/>
  <c r="Z232" i="2" s="1"/>
  <c r="AA232" i="2" s="1"/>
  <c r="Y233" i="2"/>
  <c r="Z233" i="2" s="1" a="1"/>
  <c r="Z233" i="2" s="1"/>
  <c r="AA233" i="2" s="1"/>
  <c r="Y234" i="2"/>
  <c r="Z234" i="2" s="1" a="1"/>
  <c r="Z234" i="2" s="1"/>
  <c r="AA234" i="2" s="1"/>
  <c r="Y235" i="2"/>
  <c r="Z235" i="2" s="1" a="1"/>
  <c r="Z235" i="2" s="1"/>
  <c r="AA235" i="2" s="1"/>
  <c r="Y236" i="2"/>
  <c r="Z236" i="2" s="1" a="1"/>
  <c r="Z236" i="2" s="1"/>
  <c r="AA236" i="2" s="1"/>
  <c r="Y237" i="2"/>
  <c r="Z237" i="2" s="1" a="1"/>
  <c r="Z237" i="2" s="1"/>
  <c r="AA237" i="2" s="1"/>
  <c r="Y238" i="2"/>
  <c r="Z238" i="2" s="1" a="1"/>
  <c r="Z238" i="2" s="1"/>
  <c r="AA238" i="2" s="1"/>
  <c r="Y239" i="2"/>
  <c r="Z239" i="2" s="1" a="1"/>
  <c r="Z239" i="2" s="1"/>
  <c r="AA239" i="2" s="1"/>
  <c r="Y240" i="2"/>
  <c r="Z240" i="2" s="1" a="1"/>
  <c r="Z240" i="2" s="1"/>
  <c r="AA240" i="2" s="1"/>
  <c r="Y241" i="2"/>
  <c r="Z241" i="2" s="1" a="1"/>
  <c r="Z241" i="2" s="1"/>
  <c r="AA241" i="2" s="1"/>
  <c r="Y242" i="2"/>
  <c r="Z242" i="2" s="1" a="1"/>
  <c r="Z242" i="2" s="1"/>
  <c r="AA242" i="2" s="1"/>
  <c r="Y243" i="2"/>
  <c r="Z243" i="2" s="1" a="1"/>
  <c r="Z243" i="2" s="1"/>
  <c r="AA243" i="2" s="1"/>
  <c r="Y244" i="2"/>
  <c r="Z244" i="2" s="1" a="1"/>
  <c r="Z244" i="2" s="1"/>
  <c r="AA244" i="2" s="1"/>
  <c r="Y245" i="2"/>
  <c r="Z245" i="2" s="1" a="1"/>
  <c r="Z245" i="2" s="1"/>
  <c r="AA245" i="2" s="1"/>
  <c r="Y246" i="2"/>
  <c r="Z246" i="2" s="1" a="1"/>
  <c r="Z246" i="2" s="1"/>
  <c r="AA246" i="2" s="1"/>
  <c r="Y247" i="2"/>
  <c r="Z247" i="2" s="1" a="1"/>
  <c r="Z247" i="2" s="1"/>
  <c r="AA247" i="2" s="1"/>
  <c r="Y248" i="2"/>
  <c r="Z248" i="2" s="1" a="1"/>
  <c r="Z248" i="2" s="1"/>
  <c r="AA248" i="2" s="1"/>
  <c r="Y249" i="2"/>
  <c r="Z249" i="2" s="1" a="1"/>
  <c r="Z249" i="2" s="1"/>
  <c r="AA249" i="2" s="1"/>
  <c r="Y250" i="2"/>
  <c r="Z250" i="2" s="1" a="1"/>
  <c r="Z250" i="2" s="1"/>
  <c r="AA250" i="2" s="1"/>
  <c r="Y251" i="2"/>
  <c r="Z251" i="2" s="1" a="1"/>
  <c r="Z251" i="2" s="1"/>
  <c r="AA251" i="2" s="1"/>
  <c r="Y252" i="2"/>
  <c r="Z252" i="2" s="1" a="1"/>
  <c r="Z252" i="2" s="1"/>
  <c r="AA252" i="2" s="1"/>
  <c r="Y253" i="2"/>
  <c r="Z253" i="2" s="1" a="1"/>
  <c r="Z253" i="2" s="1"/>
  <c r="AA253" i="2" s="1"/>
  <c r="Y254" i="2"/>
  <c r="Z254" i="2" s="1" a="1"/>
  <c r="Z254" i="2" s="1"/>
  <c r="AA254" i="2" s="1"/>
  <c r="Y255" i="2"/>
  <c r="Z255" i="2" s="1" a="1"/>
  <c r="Z255" i="2" s="1"/>
  <c r="AA255" i="2" s="1"/>
  <c r="Y256" i="2"/>
  <c r="Z256" i="2" s="1" a="1"/>
  <c r="Z256" i="2" s="1"/>
  <c r="AA256" i="2" s="1"/>
  <c r="Y257" i="2"/>
  <c r="Z257" i="2" s="1" a="1"/>
  <c r="Z257" i="2" s="1"/>
  <c r="AA257" i="2" s="1"/>
  <c r="Y258" i="2"/>
  <c r="Z258" i="2" s="1" a="1"/>
  <c r="Z258" i="2" s="1"/>
  <c r="AA258" i="2" s="1"/>
  <c r="Y259" i="2"/>
  <c r="Z259" i="2" s="1" a="1"/>
  <c r="Z259" i="2" s="1"/>
  <c r="AA259" i="2" s="1"/>
  <c r="Y260" i="2"/>
  <c r="Z260" i="2" s="1" a="1"/>
  <c r="Z260" i="2" s="1"/>
  <c r="AA260" i="2" s="1"/>
  <c r="Y261" i="2"/>
  <c r="Z261" i="2" s="1" a="1"/>
  <c r="Z261" i="2" s="1"/>
  <c r="AA261" i="2" s="1"/>
  <c r="Y262" i="2"/>
  <c r="Z262" i="2" s="1" a="1"/>
  <c r="Z262" i="2" s="1"/>
  <c r="AA262" i="2" s="1"/>
  <c r="Y263" i="2"/>
  <c r="Z263" i="2" s="1" a="1"/>
  <c r="Z263" i="2" s="1"/>
  <c r="AA263" i="2" s="1"/>
  <c r="Y264" i="2"/>
  <c r="Z264" i="2" s="1" a="1"/>
  <c r="Z264" i="2" s="1"/>
  <c r="AA264" i="2" s="1"/>
  <c r="Y265" i="2"/>
  <c r="Z265" i="2" s="1" a="1"/>
  <c r="Z265" i="2" s="1"/>
  <c r="AA265" i="2" s="1"/>
  <c r="Y266" i="2"/>
  <c r="Z266" i="2" s="1" a="1"/>
  <c r="Z266" i="2" s="1"/>
  <c r="AA266" i="2" s="1"/>
  <c r="Y267" i="2"/>
  <c r="Z267" i="2" s="1" a="1"/>
  <c r="Z267" i="2" s="1"/>
  <c r="AA267" i="2" s="1"/>
  <c r="Y268" i="2"/>
  <c r="Z268" i="2" s="1" a="1"/>
  <c r="Z268" i="2" s="1"/>
  <c r="AA268" i="2" s="1"/>
  <c r="Y269" i="2"/>
  <c r="Z269" i="2" s="1" a="1"/>
  <c r="Z269" i="2" s="1"/>
  <c r="AA269" i="2" s="1"/>
  <c r="Y270" i="2"/>
  <c r="Z270" i="2" s="1" a="1"/>
  <c r="Z270" i="2" s="1"/>
  <c r="AA270" i="2" s="1"/>
  <c r="Y271" i="2"/>
  <c r="Z271" i="2" s="1" a="1"/>
  <c r="Z271" i="2" s="1"/>
  <c r="AA271" i="2" s="1"/>
  <c r="Y272" i="2"/>
  <c r="Z272" i="2" s="1" a="1"/>
  <c r="Z272" i="2" s="1"/>
  <c r="AA272" i="2" s="1"/>
  <c r="Y273" i="2"/>
  <c r="Z273" i="2" s="1" a="1"/>
  <c r="Z273" i="2" s="1"/>
  <c r="AA273" i="2" s="1"/>
  <c r="Y274" i="2"/>
  <c r="Z274" i="2" s="1" a="1"/>
  <c r="Z274" i="2" s="1"/>
  <c r="AA274" i="2" s="1"/>
  <c r="Y275" i="2"/>
  <c r="Z275" i="2" s="1" a="1"/>
  <c r="Z275" i="2" s="1"/>
  <c r="AA275" i="2" s="1"/>
  <c r="Y276" i="2"/>
  <c r="Z276" i="2" s="1" a="1"/>
  <c r="Z276" i="2" s="1"/>
  <c r="AA276" i="2" s="1"/>
  <c r="Y277" i="2"/>
  <c r="Z277" i="2" s="1" a="1"/>
  <c r="Z277" i="2" s="1"/>
  <c r="AA277" i="2" s="1"/>
  <c r="Y278" i="2"/>
  <c r="Z278" i="2" s="1" a="1"/>
  <c r="Z278" i="2" s="1"/>
  <c r="AA278" i="2" s="1"/>
  <c r="Y279" i="2"/>
  <c r="Z279" i="2" s="1" a="1"/>
  <c r="Z279" i="2" s="1"/>
  <c r="AA279" i="2" s="1"/>
  <c r="Y280" i="2"/>
  <c r="Z280" i="2" s="1" a="1"/>
  <c r="Z280" i="2" s="1"/>
  <c r="AA280" i="2" s="1"/>
  <c r="Y281" i="2"/>
  <c r="Z281" i="2" s="1" a="1"/>
  <c r="Z281" i="2" s="1"/>
  <c r="AA281" i="2" s="1"/>
  <c r="Y282" i="2"/>
  <c r="Z282" i="2" s="1" a="1"/>
  <c r="Z282" i="2" s="1"/>
  <c r="AA282" i="2" s="1"/>
  <c r="Y283" i="2"/>
  <c r="Z283" i="2" s="1" a="1"/>
  <c r="Z283" i="2" s="1"/>
  <c r="AA283" i="2" s="1"/>
  <c r="Y284" i="2"/>
  <c r="Z284" i="2" s="1" a="1"/>
  <c r="Z284" i="2" s="1"/>
  <c r="AA284" i="2" s="1"/>
  <c r="Y285" i="2"/>
  <c r="Z285" i="2" s="1" a="1"/>
  <c r="Z285" i="2" s="1"/>
  <c r="AA285" i="2" s="1"/>
  <c r="Y286" i="2"/>
  <c r="Z286" i="2" s="1" a="1"/>
  <c r="Z286" i="2" s="1"/>
  <c r="AA286" i="2" s="1"/>
  <c r="Y287" i="2"/>
  <c r="Z287" i="2" s="1" a="1"/>
  <c r="Z287" i="2" s="1"/>
  <c r="AA287" i="2" s="1"/>
  <c r="Y288" i="2"/>
  <c r="Z288" i="2" s="1" a="1"/>
  <c r="Z288" i="2" s="1"/>
  <c r="AA288" i="2" s="1"/>
  <c r="Y289" i="2"/>
  <c r="Z289" i="2" s="1" a="1"/>
  <c r="Z289" i="2" s="1"/>
  <c r="AA289" i="2" s="1"/>
  <c r="Y290" i="2"/>
  <c r="Z290" i="2" s="1" a="1"/>
  <c r="Z290" i="2" s="1"/>
  <c r="AA290" i="2" s="1"/>
  <c r="Y291" i="2"/>
  <c r="Z291" i="2" s="1" a="1"/>
  <c r="Z291" i="2" s="1"/>
  <c r="AA291" i="2" s="1"/>
  <c r="Y292" i="2"/>
  <c r="Z292" i="2" s="1" a="1"/>
  <c r="Z292" i="2" s="1"/>
  <c r="AA292" i="2" s="1"/>
  <c r="Y293" i="2"/>
  <c r="Z293" i="2" s="1" a="1"/>
  <c r="Z293" i="2" s="1"/>
  <c r="AA293" i="2" s="1"/>
  <c r="Y294" i="2"/>
  <c r="Z294" i="2" s="1" a="1"/>
  <c r="Z294" i="2" s="1"/>
  <c r="AA294" i="2" s="1"/>
  <c r="Y295" i="2"/>
  <c r="Z295" i="2" s="1" a="1"/>
  <c r="Z295" i="2" s="1"/>
  <c r="AA295" i="2" s="1"/>
  <c r="Y296" i="2"/>
  <c r="Z296" i="2" s="1" a="1"/>
  <c r="Z296" i="2" s="1"/>
  <c r="AA296" i="2" s="1"/>
  <c r="Y297" i="2"/>
  <c r="Z297" i="2" s="1" a="1"/>
  <c r="Z297" i="2" s="1"/>
  <c r="AA297" i="2" s="1"/>
  <c r="Y298" i="2"/>
  <c r="Z298" i="2" s="1" a="1"/>
  <c r="Z298" i="2" s="1"/>
  <c r="AA298" i="2" s="1"/>
  <c r="Y299" i="2"/>
  <c r="Z299" i="2" s="1" a="1"/>
  <c r="Z299" i="2" s="1"/>
  <c r="AA299" i="2" s="1"/>
  <c r="Y300" i="2"/>
  <c r="Z300" i="2" s="1" a="1"/>
  <c r="Z300" i="2" s="1"/>
  <c r="AA300" i="2" s="1"/>
  <c r="Y301" i="2"/>
  <c r="Z301" i="2" s="1" a="1"/>
  <c r="Z301" i="2" s="1"/>
  <c r="AA301" i="2" s="1"/>
  <c r="Y302" i="2"/>
  <c r="Z302" i="2" s="1" a="1"/>
  <c r="Z302" i="2" s="1"/>
  <c r="AA302" i="2" s="1"/>
  <c r="Y303" i="2"/>
  <c r="Z303" i="2" s="1" a="1"/>
  <c r="Z303" i="2" s="1"/>
  <c r="AA303" i="2" s="1"/>
  <c r="Y304" i="2"/>
  <c r="Z304" i="2" s="1" a="1"/>
  <c r="Z304" i="2" s="1"/>
  <c r="AA304" i="2" s="1"/>
  <c r="Y305" i="2"/>
  <c r="Z305" i="2" s="1" a="1"/>
  <c r="Z305" i="2" s="1"/>
  <c r="AA305" i="2" s="1"/>
  <c r="Y306" i="2"/>
  <c r="Z306" i="2" s="1" a="1"/>
  <c r="Z306" i="2" s="1"/>
  <c r="AA306" i="2" s="1"/>
  <c r="Y307" i="2"/>
  <c r="Z307" i="2" s="1" a="1"/>
  <c r="Z307" i="2" s="1"/>
  <c r="AA307" i="2" s="1"/>
  <c r="Y308" i="2"/>
  <c r="Z308" i="2" s="1" a="1"/>
  <c r="Z308" i="2" s="1"/>
  <c r="AA308" i="2" s="1"/>
  <c r="Y309" i="2"/>
  <c r="Z309" i="2" s="1" a="1"/>
  <c r="Z309" i="2" s="1"/>
  <c r="AA309" i="2" s="1"/>
  <c r="Y310" i="2"/>
  <c r="Z310" i="2" s="1" a="1"/>
  <c r="Z310" i="2" s="1"/>
  <c r="AA310" i="2" s="1"/>
  <c r="Y311" i="2"/>
  <c r="Z311" i="2" s="1" a="1"/>
  <c r="Z311" i="2" s="1"/>
  <c r="AA311" i="2" s="1"/>
  <c r="Y312" i="2"/>
  <c r="Z312" i="2" s="1" a="1"/>
  <c r="Z312" i="2" s="1"/>
  <c r="AA312" i="2" s="1"/>
  <c r="Y313" i="2"/>
  <c r="Z313" i="2" s="1" a="1"/>
  <c r="Z313" i="2" s="1"/>
  <c r="AA313" i="2" s="1"/>
  <c r="Y314" i="2"/>
  <c r="Z314" i="2" s="1" a="1"/>
  <c r="Z314" i="2" s="1"/>
  <c r="AA314" i="2" s="1"/>
  <c r="Y315" i="2"/>
  <c r="Z315" i="2" s="1" a="1"/>
  <c r="Z315" i="2" s="1"/>
  <c r="AA315" i="2" s="1"/>
  <c r="Y316" i="2"/>
  <c r="Z316" i="2" s="1" a="1"/>
  <c r="Z316" i="2" s="1"/>
  <c r="AA316" i="2" s="1"/>
  <c r="Y317" i="2"/>
  <c r="Z317" i="2" s="1" a="1"/>
  <c r="Z317" i="2" s="1"/>
  <c r="AA317" i="2" s="1"/>
  <c r="Y318" i="2"/>
  <c r="Z318" i="2" s="1" a="1"/>
  <c r="Z318" i="2" s="1"/>
  <c r="AA318" i="2" s="1"/>
  <c r="Y319" i="2"/>
  <c r="Z319" i="2" s="1" a="1"/>
  <c r="Z319" i="2" s="1"/>
  <c r="AA319" i="2" s="1"/>
  <c r="Y320" i="2"/>
  <c r="Z320" i="2" s="1" a="1"/>
  <c r="Z320" i="2" s="1"/>
  <c r="AA320" i="2" s="1"/>
  <c r="Y321" i="2"/>
  <c r="Z321" i="2" s="1" a="1"/>
  <c r="Z321" i="2" s="1"/>
  <c r="AA321" i="2" s="1"/>
  <c r="Y322" i="2"/>
  <c r="Z322" i="2" s="1" a="1"/>
  <c r="Z322" i="2" s="1"/>
  <c r="AA322" i="2" s="1"/>
  <c r="Y323" i="2"/>
  <c r="Z323" i="2" s="1" a="1"/>
  <c r="Z323" i="2" s="1"/>
  <c r="AA323" i="2" s="1"/>
  <c r="Y324" i="2"/>
  <c r="Z324" i="2" s="1" a="1"/>
  <c r="Z324" i="2" s="1"/>
  <c r="AA324" i="2" s="1"/>
  <c r="Y325" i="2"/>
  <c r="Z325" i="2" s="1" a="1"/>
  <c r="Z325" i="2" s="1"/>
  <c r="AA325" i="2" s="1"/>
  <c r="Y326" i="2"/>
  <c r="Z326" i="2" s="1" a="1"/>
  <c r="Z326" i="2" s="1"/>
  <c r="AA326" i="2" s="1"/>
  <c r="Y327" i="2"/>
  <c r="Z327" i="2" s="1" a="1"/>
  <c r="Z327" i="2" s="1"/>
  <c r="AA327" i="2" s="1"/>
  <c r="Y328" i="2"/>
  <c r="Z328" i="2" s="1" a="1"/>
  <c r="Z328" i="2" s="1"/>
  <c r="AA328" i="2" s="1"/>
  <c r="Y329" i="2"/>
  <c r="Z329" i="2" s="1" a="1"/>
  <c r="Z329" i="2" s="1"/>
  <c r="AA329" i="2" s="1"/>
  <c r="Y330" i="2"/>
  <c r="Z330" i="2" s="1" a="1"/>
  <c r="Z330" i="2" s="1"/>
  <c r="AA330" i="2" s="1"/>
  <c r="Y331" i="2"/>
  <c r="Z331" i="2" s="1" a="1"/>
  <c r="Z331" i="2" s="1"/>
  <c r="AA331" i="2" s="1"/>
  <c r="Y332" i="2"/>
  <c r="Z332" i="2" s="1" a="1"/>
  <c r="Z332" i="2" s="1"/>
  <c r="AA332" i="2" s="1"/>
  <c r="Y333" i="2"/>
  <c r="Z333" i="2" s="1" a="1"/>
  <c r="Z333" i="2" s="1"/>
  <c r="AA333" i="2" s="1"/>
  <c r="Y334" i="2"/>
  <c r="Z334" i="2" s="1" a="1"/>
  <c r="Z334" i="2" s="1"/>
  <c r="AA334" i="2" s="1"/>
  <c r="Y335" i="2"/>
  <c r="Z335" i="2" s="1" a="1"/>
  <c r="Z335" i="2" s="1"/>
  <c r="AA335" i="2" s="1"/>
  <c r="Y336" i="2"/>
  <c r="Z336" i="2" s="1" a="1"/>
  <c r="Z336" i="2" s="1"/>
  <c r="AA336" i="2" s="1"/>
  <c r="Y337" i="2"/>
  <c r="Z337" i="2" s="1" a="1"/>
  <c r="Z337" i="2" s="1"/>
  <c r="AA337" i="2" s="1"/>
  <c r="Y338" i="2"/>
  <c r="Z338" i="2" s="1" a="1"/>
  <c r="Z338" i="2" s="1"/>
  <c r="AA338" i="2" s="1"/>
  <c r="Y339" i="2"/>
  <c r="Z339" i="2" s="1" a="1"/>
  <c r="Z339" i="2" s="1"/>
  <c r="AA339" i="2" s="1"/>
  <c r="Y340" i="2"/>
  <c r="Z340" i="2" s="1" a="1"/>
  <c r="Z340" i="2" s="1"/>
  <c r="AA340" i="2" s="1"/>
  <c r="Y341" i="2"/>
  <c r="Z341" i="2" s="1" a="1"/>
  <c r="Z341" i="2" s="1"/>
  <c r="AA341" i="2" s="1"/>
  <c r="Y342" i="2"/>
  <c r="Z342" i="2" s="1" a="1"/>
  <c r="Z342" i="2" s="1"/>
  <c r="AA342" i="2" s="1"/>
  <c r="Y343" i="2"/>
  <c r="Z343" i="2" s="1" a="1"/>
  <c r="Z343" i="2" s="1"/>
  <c r="AA343" i="2" s="1"/>
  <c r="Y344" i="2"/>
  <c r="Z344" i="2" s="1" a="1"/>
  <c r="Z344" i="2" s="1"/>
  <c r="AA344" i="2" s="1"/>
  <c r="Y2" i="2"/>
  <c r="Z2" i="2" s="1" a="1"/>
  <c r="Z2" i="2" s="1"/>
  <c r="AA2" i="2" s="1"/>
  <c r="AL11" i="2"/>
  <c r="AK4" i="2"/>
  <c r="AK3" i="2"/>
  <c r="AK9" i="2" s="1"/>
  <c r="AL9" i="2" s="1"/>
  <c r="AK2" i="2"/>
  <c r="M3" i="2"/>
  <c r="N3" i="2" s="1" a="1"/>
  <c r="N3" i="2" s="1"/>
  <c r="M4" i="2"/>
  <c r="N4" i="2" s="1" a="1"/>
  <c r="N4" i="2" s="1"/>
  <c r="M5" i="2"/>
  <c r="N5" i="2" s="1" a="1"/>
  <c r="N5" i="2" s="1"/>
  <c r="M6" i="2"/>
  <c r="N6" i="2" s="1" a="1"/>
  <c r="N6" i="2" s="1"/>
  <c r="M7" i="2"/>
  <c r="N7" i="2" s="1" a="1"/>
  <c r="N7" i="2" s="1"/>
  <c r="M8" i="2"/>
  <c r="N8" i="2" s="1" a="1"/>
  <c r="N8" i="2" s="1"/>
  <c r="M9" i="2"/>
  <c r="N9" i="2" s="1" a="1"/>
  <c r="N9" i="2" s="1"/>
  <c r="M10" i="2"/>
  <c r="N10" i="2" s="1" a="1"/>
  <c r="N10" i="2" s="1"/>
  <c r="M11" i="2"/>
  <c r="N11" i="2" s="1" a="1"/>
  <c r="N11" i="2" s="1"/>
  <c r="M12" i="2"/>
  <c r="N12" i="2" s="1" a="1"/>
  <c r="N12" i="2" s="1"/>
  <c r="M13" i="2"/>
  <c r="N13" i="2" s="1" a="1"/>
  <c r="N13" i="2" s="1"/>
  <c r="M14" i="2"/>
  <c r="N14" i="2" s="1" a="1"/>
  <c r="N14" i="2" s="1"/>
  <c r="M15" i="2"/>
  <c r="N15" i="2" s="1" a="1"/>
  <c r="N15" i="2" s="1"/>
  <c r="M16" i="2"/>
  <c r="N16" i="2" s="1" a="1"/>
  <c r="N16" i="2" s="1"/>
  <c r="M17" i="2"/>
  <c r="N17" i="2" s="1" a="1"/>
  <c r="N17" i="2" s="1"/>
  <c r="M18" i="2"/>
  <c r="N18" i="2" s="1" a="1"/>
  <c r="N18" i="2" s="1"/>
  <c r="M19" i="2"/>
  <c r="N19" i="2" s="1" a="1"/>
  <c r="N19" i="2" s="1"/>
  <c r="M20" i="2"/>
  <c r="N20" i="2" s="1" a="1"/>
  <c r="N20" i="2" s="1"/>
  <c r="M21" i="2"/>
  <c r="N21" i="2" s="1" a="1"/>
  <c r="N21" i="2" s="1"/>
  <c r="M22" i="2"/>
  <c r="N22" i="2" s="1" a="1"/>
  <c r="N22" i="2" s="1"/>
  <c r="M23" i="2"/>
  <c r="N23" i="2" s="1" a="1"/>
  <c r="N23" i="2" s="1"/>
  <c r="M24" i="2"/>
  <c r="N24" i="2" s="1" a="1"/>
  <c r="N24" i="2" s="1"/>
  <c r="M25" i="2"/>
  <c r="N25" i="2" s="1" a="1"/>
  <c r="N25" i="2" s="1"/>
  <c r="M26" i="2"/>
  <c r="N26" i="2" s="1" a="1"/>
  <c r="N26" i="2" s="1"/>
  <c r="M27" i="2"/>
  <c r="N27" i="2" s="1" a="1"/>
  <c r="N27" i="2" s="1"/>
  <c r="M28" i="2"/>
  <c r="N28" i="2" s="1" a="1"/>
  <c r="N28" i="2" s="1"/>
  <c r="M29" i="2"/>
  <c r="N29" i="2" s="1" a="1"/>
  <c r="N29" i="2" s="1"/>
  <c r="M30" i="2"/>
  <c r="N30" i="2" s="1" a="1"/>
  <c r="N30" i="2" s="1"/>
  <c r="M31" i="2"/>
  <c r="N31" i="2" s="1" a="1"/>
  <c r="N31" i="2" s="1"/>
  <c r="M32" i="2"/>
  <c r="N32" i="2" s="1" a="1"/>
  <c r="N32" i="2" s="1"/>
  <c r="M33" i="2"/>
  <c r="N33" i="2" s="1" a="1"/>
  <c r="N33" i="2" s="1"/>
  <c r="M34" i="2"/>
  <c r="N34" i="2" s="1" a="1"/>
  <c r="N34" i="2" s="1"/>
  <c r="M35" i="2"/>
  <c r="N35" i="2" s="1" a="1"/>
  <c r="N35" i="2" s="1"/>
  <c r="M36" i="2"/>
  <c r="N36" i="2" s="1" a="1"/>
  <c r="N36" i="2" s="1"/>
  <c r="M37" i="2"/>
  <c r="N37" i="2" s="1" a="1"/>
  <c r="N37" i="2" s="1"/>
  <c r="M38" i="2"/>
  <c r="N38" i="2" s="1" a="1"/>
  <c r="N38" i="2" s="1"/>
  <c r="M39" i="2"/>
  <c r="N39" i="2" s="1" a="1"/>
  <c r="N39" i="2" s="1"/>
  <c r="M40" i="2"/>
  <c r="N40" i="2" s="1" a="1"/>
  <c r="N40" i="2" s="1"/>
  <c r="M41" i="2"/>
  <c r="N41" i="2" s="1" a="1"/>
  <c r="N41" i="2" s="1"/>
  <c r="M42" i="2"/>
  <c r="N42" i="2" s="1" a="1"/>
  <c r="N42" i="2" s="1"/>
  <c r="M43" i="2"/>
  <c r="N43" i="2" s="1" a="1"/>
  <c r="N43" i="2" s="1"/>
  <c r="M44" i="2"/>
  <c r="N44" i="2" s="1" a="1"/>
  <c r="N44" i="2" s="1"/>
  <c r="M45" i="2"/>
  <c r="N45" i="2" s="1" a="1"/>
  <c r="N45" i="2" s="1"/>
  <c r="M46" i="2"/>
  <c r="N46" i="2" s="1" a="1"/>
  <c r="N46" i="2" s="1"/>
  <c r="M47" i="2"/>
  <c r="N47" i="2" s="1" a="1"/>
  <c r="N47" i="2" s="1"/>
  <c r="M48" i="2"/>
  <c r="N48" i="2" s="1" a="1"/>
  <c r="N48" i="2" s="1"/>
  <c r="M49" i="2"/>
  <c r="N49" i="2" s="1" a="1"/>
  <c r="N49" i="2" s="1"/>
  <c r="M50" i="2"/>
  <c r="N50" i="2" s="1" a="1"/>
  <c r="N50" i="2" s="1"/>
  <c r="M51" i="2"/>
  <c r="N51" i="2" s="1" a="1"/>
  <c r="N51" i="2" s="1"/>
  <c r="M52" i="2"/>
  <c r="N52" i="2" s="1" a="1"/>
  <c r="N52" i="2" s="1"/>
  <c r="M53" i="2"/>
  <c r="N53" i="2" s="1" a="1"/>
  <c r="N53" i="2" s="1"/>
  <c r="M54" i="2"/>
  <c r="N54" i="2" s="1" a="1"/>
  <c r="N54" i="2" s="1"/>
  <c r="M55" i="2"/>
  <c r="N55" i="2" s="1" a="1"/>
  <c r="N55" i="2" s="1"/>
  <c r="M56" i="2"/>
  <c r="N56" i="2" s="1" a="1"/>
  <c r="N56" i="2" s="1"/>
  <c r="M57" i="2"/>
  <c r="N57" i="2" s="1" a="1"/>
  <c r="N57" i="2" s="1"/>
  <c r="M58" i="2"/>
  <c r="N58" i="2" s="1" a="1"/>
  <c r="N58" i="2" s="1"/>
  <c r="M59" i="2"/>
  <c r="N59" i="2" s="1" a="1"/>
  <c r="N59" i="2" s="1"/>
  <c r="M60" i="2"/>
  <c r="N60" i="2" s="1" a="1"/>
  <c r="N60" i="2" s="1"/>
  <c r="M61" i="2"/>
  <c r="N61" i="2" s="1" a="1"/>
  <c r="N61" i="2" s="1"/>
  <c r="M62" i="2"/>
  <c r="N62" i="2" s="1" a="1"/>
  <c r="N62" i="2" s="1"/>
  <c r="M63" i="2"/>
  <c r="N63" i="2" s="1" a="1"/>
  <c r="N63" i="2" s="1"/>
  <c r="M64" i="2"/>
  <c r="N64" i="2" s="1" a="1"/>
  <c r="N64" i="2" s="1"/>
  <c r="M65" i="2"/>
  <c r="N65" i="2" s="1" a="1"/>
  <c r="N65" i="2" s="1"/>
  <c r="M66" i="2"/>
  <c r="N66" i="2" s="1" a="1"/>
  <c r="N66" i="2" s="1"/>
  <c r="M67" i="2"/>
  <c r="N67" i="2" s="1" a="1"/>
  <c r="N67" i="2" s="1"/>
  <c r="M68" i="2"/>
  <c r="N68" i="2" s="1" a="1"/>
  <c r="N68" i="2" s="1"/>
  <c r="M69" i="2"/>
  <c r="N69" i="2" s="1" a="1"/>
  <c r="N69" i="2" s="1"/>
  <c r="M70" i="2"/>
  <c r="N70" i="2" s="1" a="1"/>
  <c r="N70" i="2" s="1"/>
  <c r="M71" i="2"/>
  <c r="N71" i="2" s="1" a="1"/>
  <c r="N71" i="2" s="1"/>
  <c r="M72" i="2"/>
  <c r="N72" i="2" s="1" a="1"/>
  <c r="N72" i="2" s="1"/>
  <c r="M73" i="2"/>
  <c r="N73" i="2" s="1" a="1"/>
  <c r="N73" i="2" s="1"/>
  <c r="M74" i="2"/>
  <c r="N74" i="2" s="1" a="1"/>
  <c r="N74" i="2" s="1"/>
  <c r="M75" i="2"/>
  <c r="N75" i="2" s="1" a="1"/>
  <c r="N75" i="2" s="1"/>
  <c r="M76" i="2"/>
  <c r="N76" i="2" s="1" a="1"/>
  <c r="N76" i="2" s="1"/>
  <c r="M77" i="2"/>
  <c r="N77" i="2" s="1" a="1"/>
  <c r="N77" i="2" s="1"/>
  <c r="M78" i="2"/>
  <c r="N78" i="2" s="1" a="1"/>
  <c r="N78" i="2" s="1"/>
  <c r="M79" i="2"/>
  <c r="N79" i="2" s="1" a="1"/>
  <c r="N79" i="2" s="1"/>
  <c r="M80" i="2"/>
  <c r="N80" i="2" s="1" a="1"/>
  <c r="N80" i="2" s="1"/>
  <c r="M81" i="2"/>
  <c r="N81" i="2" s="1" a="1"/>
  <c r="N81" i="2" s="1"/>
  <c r="M82" i="2"/>
  <c r="N82" i="2" s="1" a="1"/>
  <c r="N82" i="2" s="1"/>
  <c r="M83" i="2"/>
  <c r="N83" i="2" s="1" a="1"/>
  <c r="N83" i="2" s="1"/>
  <c r="M84" i="2"/>
  <c r="N84" i="2" s="1" a="1"/>
  <c r="N84" i="2" s="1"/>
  <c r="M85" i="2"/>
  <c r="N85" i="2" s="1" a="1"/>
  <c r="N85" i="2" s="1"/>
  <c r="M86" i="2"/>
  <c r="N86" i="2" s="1" a="1"/>
  <c r="N86" i="2" s="1"/>
  <c r="M87" i="2"/>
  <c r="N87" i="2" s="1" a="1"/>
  <c r="N87" i="2" s="1"/>
  <c r="M88" i="2"/>
  <c r="N88" i="2" s="1" a="1"/>
  <c r="N88" i="2" s="1"/>
  <c r="M89" i="2"/>
  <c r="N89" i="2" s="1" a="1"/>
  <c r="N89" i="2" s="1"/>
  <c r="M90" i="2"/>
  <c r="N90" i="2" s="1" a="1"/>
  <c r="N90" i="2" s="1"/>
  <c r="M91" i="2"/>
  <c r="N91" i="2" s="1" a="1"/>
  <c r="N91" i="2" s="1"/>
  <c r="M92" i="2"/>
  <c r="N92" i="2" s="1" a="1"/>
  <c r="N92" i="2" s="1"/>
  <c r="M93" i="2"/>
  <c r="N93" i="2" s="1" a="1"/>
  <c r="N93" i="2" s="1"/>
  <c r="M94" i="2"/>
  <c r="N94" i="2" s="1" a="1"/>
  <c r="N94" i="2" s="1"/>
  <c r="M95" i="2"/>
  <c r="N95" i="2" s="1" a="1"/>
  <c r="N95" i="2" s="1"/>
  <c r="M96" i="2"/>
  <c r="N96" i="2" s="1" a="1"/>
  <c r="N96" i="2" s="1"/>
  <c r="M97" i="2"/>
  <c r="N97" i="2" s="1" a="1"/>
  <c r="N97" i="2" s="1"/>
  <c r="M98" i="2"/>
  <c r="N98" i="2" s="1" a="1"/>
  <c r="N98" i="2" s="1"/>
  <c r="M99" i="2"/>
  <c r="N99" i="2" s="1" a="1"/>
  <c r="N99" i="2" s="1"/>
  <c r="M100" i="2"/>
  <c r="N100" i="2" s="1" a="1"/>
  <c r="N100" i="2" s="1"/>
  <c r="M101" i="2"/>
  <c r="N101" i="2" s="1" a="1"/>
  <c r="N101" i="2" s="1"/>
  <c r="M102" i="2"/>
  <c r="N102" i="2" s="1" a="1"/>
  <c r="N102" i="2" s="1"/>
  <c r="M103" i="2"/>
  <c r="N103" i="2" s="1" a="1"/>
  <c r="N103" i="2" s="1"/>
  <c r="M104" i="2"/>
  <c r="N104" i="2" s="1" a="1"/>
  <c r="N104" i="2" s="1"/>
  <c r="M105" i="2"/>
  <c r="N105" i="2" s="1" a="1"/>
  <c r="N105" i="2" s="1"/>
  <c r="M106" i="2"/>
  <c r="N106" i="2" s="1" a="1"/>
  <c r="N106" i="2" s="1"/>
  <c r="M107" i="2"/>
  <c r="N107" i="2" s="1" a="1"/>
  <c r="N107" i="2" s="1"/>
  <c r="M108" i="2"/>
  <c r="N108" i="2" s="1" a="1"/>
  <c r="N108" i="2" s="1"/>
  <c r="M109" i="2"/>
  <c r="N109" i="2" s="1" a="1"/>
  <c r="N109" i="2" s="1"/>
  <c r="M110" i="2"/>
  <c r="N110" i="2" s="1" a="1"/>
  <c r="N110" i="2" s="1"/>
  <c r="M111" i="2"/>
  <c r="N111" i="2" s="1" a="1"/>
  <c r="N111" i="2" s="1"/>
  <c r="M112" i="2"/>
  <c r="N112" i="2" s="1" a="1"/>
  <c r="N112" i="2" s="1"/>
  <c r="M113" i="2"/>
  <c r="N113" i="2" s="1" a="1"/>
  <c r="N113" i="2" s="1"/>
  <c r="M114" i="2"/>
  <c r="N114" i="2" s="1" a="1"/>
  <c r="N114" i="2" s="1"/>
  <c r="M115" i="2"/>
  <c r="N115" i="2" s="1" a="1"/>
  <c r="N115" i="2" s="1"/>
  <c r="M116" i="2"/>
  <c r="N116" i="2" s="1" a="1"/>
  <c r="N116" i="2" s="1"/>
  <c r="M117" i="2"/>
  <c r="N117" i="2" s="1" a="1"/>
  <c r="N117" i="2" s="1"/>
  <c r="M118" i="2"/>
  <c r="N118" i="2" s="1" a="1"/>
  <c r="N118" i="2" s="1"/>
  <c r="M119" i="2"/>
  <c r="N119" i="2" s="1" a="1"/>
  <c r="N119" i="2" s="1"/>
  <c r="M120" i="2"/>
  <c r="N120" i="2" s="1" a="1"/>
  <c r="N120" i="2" s="1"/>
  <c r="M121" i="2"/>
  <c r="N121" i="2" s="1" a="1"/>
  <c r="N121" i="2" s="1"/>
  <c r="M122" i="2"/>
  <c r="N122" i="2" s="1" a="1"/>
  <c r="N122" i="2" s="1"/>
  <c r="M123" i="2"/>
  <c r="N123" i="2" s="1" a="1"/>
  <c r="N123" i="2" s="1"/>
  <c r="M124" i="2"/>
  <c r="N124" i="2" s="1" a="1"/>
  <c r="N124" i="2" s="1"/>
  <c r="M125" i="2"/>
  <c r="N125" i="2" s="1" a="1"/>
  <c r="N125" i="2" s="1"/>
  <c r="M126" i="2"/>
  <c r="N126" i="2" s="1" a="1"/>
  <c r="N126" i="2" s="1"/>
  <c r="M127" i="2"/>
  <c r="N127" i="2" s="1" a="1"/>
  <c r="N127" i="2" s="1"/>
  <c r="M128" i="2"/>
  <c r="N128" i="2" s="1" a="1"/>
  <c r="N128" i="2" s="1"/>
  <c r="M129" i="2"/>
  <c r="N129" i="2" s="1" a="1"/>
  <c r="N129" i="2" s="1"/>
  <c r="M130" i="2"/>
  <c r="N130" i="2" s="1" a="1"/>
  <c r="N130" i="2" s="1"/>
  <c r="M131" i="2"/>
  <c r="N131" i="2" s="1" a="1"/>
  <c r="N131" i="2" s="1"/>
  <c r="M132" i="2"/>
  <c r="N132" i="2" s="1" a="1"/>
  <c r="N132" i="2" s="1"/>
  <c r="M133" i="2"/>
  <c r="N133" i="2" s="1" a="1"/>
  <c r="N133" i="2" s="1"/>
  <c r="M134" i="2"/>
  <c r="N134" i="2" s="1" a="1"/>
  <c r="N134" i="2" s="1"/>
  <c r="M135" i="2"/>
  <c r="N135" i="2" s="1" a="1"/>
  <c r="N135" i="2" s="1"/>
  <c r="M136" i="2"/>
  <c r="N136" i="2" s="1" a="1"/>
  <c r="N136" i="2" s="1"/>
  <c r="M137" i="2"/>
  <c r="N137" i="2" s="1" a="1"/>
  <c r="N137" i="2" s="1"/>
  <c r="M138" i="2"/>
  <c r="N138" i="2" s="1" a="1"/>
  <c r="N138" i="2" s="1"/>
  <c r="M139" i="2"/>
  <c r="N139" i="2" s="1" a="1"/>
  <c r="N139" i="2" s="1"/>
  <c r="M140" i="2"/>
  <c r="N140" i="2" s="1" a="1"/>
  <c r="N140" i="2" s="1"/>
  <c r="M141" i="2"/>
  <c r="N141" i="2" s="1" a="1"/>
  <c r="N141" i="2" s="1"/>
  <c r="M142" i="2"/>
  <c r="N142" i="2" s="1" a="1"/>
  <c r="N142" i="2" s="1"/>
  <c r="M143" i="2"/>
  <c r="N143" i="2" s="1" a="1"/>
  <c r="N143" i="2" s="1"/>
  <c r="M144" i="2"/>
  <c r="N144" i="2" s="1" a="1"/>
  <c r="N144" i="2" s="1"/>
  <c r="M145" i="2"/>
  <c r="N145" i="2" s="1" a="1"/>
  <c r="N145" i="2" s="1"/>
  <c r="M146" i="2"/>
  <c r="N146" i="2" s="1" a="1"/>
  <c r="N146" i="2" s="1"/>
  <c r="M147" i="2"/>
  <c r="N147" i="2" s="1" a="1"/>
  <c r="N147" i="2" s="1"/>
  <c r="M148" i="2"/>
  <c r="N148" i="2" s="1" a="1"/>
  <c r="N148" i="2" s="1"/>
  <c r="M149" i="2"/>
  <c r="N149" i="2" s="1" a="1"/>
  <c r="N149" i="2" s="1"/>
  <c r="M150" i="2"/>
  <c r="N150" i="2" s="1" a="1"/>
  <c r="N150" i="2" s="1"/>
  <c r="M151" i="2"/>
  <c r="N151" i="2" s="1" a="1"/>
  <c r="N151" i="2" s="1"/>
  <c r="M152" i="2"/>
  <c r="N152" i="2" s="1" a="1"/>
  <c r="N152" i="2" s="1"/>
  <c r="M153" i="2"/>
  <c r="N153" i="2" s="1" a="1"/>
  <c r="N153" i="2" s="1"/>
  <c r="M154" i="2"/>
  <c r="N154" i="2" s="1" a="1"/>
  <c r="N154" i="2" s="1"/>
  <c r="M155" i="2"/>
  <c r="N155" i="2" s="1" a="1"/>
  <c r="N155" i="2" s="1"/>
  <c r="M156" i="2"/>
  <c r="N156" i="2" s="1" a="1"/>
  <c r="N156" i="2" s="1"/>
  <c r="M157" i="2"/>
  <c r="N157" i="2" s="1" a="1"/>
  <c r="N157" i="2" s="1"/>
  <c r="M158" i="2"/>
  <c r="N158" i="2" s="1" a="1"/>
  <c r="N158" i="2" s="1"/>
  <c r="M159" i="2"/>
  <c r="N159" i="2" s="1" a="1"/>
  <c r="N159" i="2" s="1"/>
  <c r="M160" i="2"/>
  <c r="N160" i="2" s="1" a="1"/>
  <c r="N160" i="2" s="1"/>
  <c r="M161" i="2"/>
  <c r="N161" i="2" s="1" a="1"/>
  <c r="N161" i="2" s="1"/>
  <c r="M162" i="2"/>
  <c r="N162" i="2" s="1" a="1"/>
  <c r="N162" i="2" s="1"/>
  <c r="M163" i="2"/>
  <c r="N163" i="2" s="1" a="1"/>
  <c r="N163" i="2" s="1"/>
  <c r="M164" i="2"/>
  <c r="N164" i="2" s="1" a="1"/>
  <c r="N164" i="2" s="1"/>
  <c r="M165" i="2"/>
  <c r="N165" i="2" s="1" a="1"/>
  <c r="N165" i="2" s="1"/>
  <c r="M166" i="2"/>
  <c r="N166" i="2" s="1" a="1"/>
  <c r="N166" i="2" s="1"/>
  <c r="M167" i="2"/>
  <c r="N167" i="2" s="1" a="1"/>
  <c r="N167" i="2" s="1"/>
  <c r="M168" i="2"/>
  <c r="N168" i="2" s="1" a="1"/>
  <c r="N168" i="2" s="1"/>
  <c r="M169" i="2"/>
  <c r="N169" i="2" s="1" a="1"/>
  <c r="N169" i="2" s="1"/>
  <c r="M170" i="2"/>
  <c r="N170" i="2" s="1" a="1"/>
  <c r="N170" i="2" s="1"/>
  <c r="M171" i="2"/>
  <c r="N171" i="2" s="1" a="1"/>
  <c r="N171" i="2" s="1"/>
  <c r="M172" i="2"/>
  <c r="N172" i="2" s="1" a="1"/>
  <c r="N172" i="2" s="1"/>
  <c r="M173" i="2"/>
  <c r="N173" i="2" s="1" a="1"/>
  <c r="N173" i="2" s="1"/>
  <c r="M174" i="2"/>
  <c r="N174" i="2" s="1" a="1"/>
  <c r="N174" i="2" s="1"/>
  <c r="M175" i="2"/>
  <c r="N175" i="2" s="1" a="1"/>
  <c r="N175" i="2" s="1"/>
  <c r="M176" i="2"/>
  <c r="N176" i="2" s="1" a="1"/>
  <c r="N176" i="2" s="1"/>
  <c r="M177" i="2"/>
  <c r="N177" i="2" s="1" a="1"/>
  <c r="N177" i="2" s="1"/>
  <c r="M178" i="2"/>
  <c r="N178" i="2" s="1" a="1"/>
  <c r="N178" i="2" s="1"/>
  <c r="M179" i="2"/>
  <c r="N179" i="2" s="1" a="1"/>
  <c r="N179" i="2" s="1"/>
  <c r="M180" i="2"/>
  <c r="N180" i="2" s="1" a="1"/>
  <c r="N180" i="2" s="1"/>
  <c r="M181" i="2"/>
  <c r="N181" i="2" s="1" a="1"/>
  <c r="N181" i="2" s="1"/>
  <c r="M182" i="2"/>
  <c r="N182" i="2" s="1" a="1"/>
  <c r="N182" i="2" s="1"/>
  <c r="M183" i="2"/>
  <c r="N183" i="2" s="1" a="1"/>
  <c r="N183" i="2" s="1"/>
  <c r="M184" i="2"/>
  <c r="N184" i="2" s="1" a="1"/>
  <c r="N184" i="2" s="1"/>
  <c r="M185" i="2"/>
  <c r="N185" i="2" s="1" a="1"/>
  <c r="N185" i="2" s="1"/>
  <c r="M186" i="2"/>
  <c r="N186" i="2" s="1" a="1"/>
  <c r="N186" i="2" s="1"/>
  <c r="M187" i="2"/>
  <c r="N187" i="2" s="1" a="1"/>
  <c r="N187" i="2" s="1"/>
  <c r="M188" i="2"/>
  <c r="N188" i="2" s="1" a="1"/>
  <c r="N188" i="2" s="1"/>
  <c r="M189" i="2"/>
  <c r="N189" i="2" s="1" a="1"/>
  <c r="N189" i="2" s="1"/>
  <c r="M190" i="2"/>
  <c r="N190" i="2" s="1" a="1"/>
  <c r="N190" i="2" s="1"/>
  <c r="M191" i="2"/>
  <c r="N191" i="2" s="1" a="1"/>
  <c r="N191" i="2" s="1"/>
  <c r="M192" i="2"/>
  <c r="N192" i="2" s="1" a="1"/>
  <c r="N192" i="2" s="1"/>
  <c r="M193" i="2"/>
  <c r="N193" i="2" s="1" a="1"/>
  <c r="N193" i="2" s="1"/>
  <c r="M194" i="2"/>
  <c r="N194" i="2" s="1" a="1"/>
  <c r="N194" i="2" s="1"/>
  <c r="M195" i="2"/>
  <c r="N195" i="2" s="1" a="1"/>
  <c r="N195" i="2" s="1"/>
  <c r="M196" i="2"/>
  <c r="N196" i="2" s="1" a="1"/>
  <c r="N196" i="2" s="1"/>
  <c r="M197" i="2"/>
  <c r="N197" i="2" s="1" a="1"/>
  <c r="N197" i="2" s="1"/>
  <c r="M198" i="2"/>
  <c r="N198" i="2" s="1" a="1"/>
  <c r="N198" i="2" s="1"/>
  <c r="M199" i="2"/>
  <c r="N199" i="2" s="1" a="1"/>
  <c r="N199" i="2" s="1"/>
  <c r="M200" i="2"/>
  <c r="N200" i="2" s="1" a="1"/>
  <c r="N200" i="2" s="1"/>
  <c r="M201" i="2"/>
  <c r="N201" i="2" s="1" a="1"/>
  <c r="N201" i="2" s="1"/>
  <c r="M202" i="2"/>
  <c r="N202" i="2" s="1" a="1"/>
  <c r="N202" i="2" s="1"/>
  <c r="M203" i="2"/>
  <c r="N203" i="2" s="1" a="1"/>
  <c r="N203" i="2" s="1"/>
  <c r="M204" i="2"/>
  <c r="N204" i="2" s="1" a="1"/>
  <c r="N204" i="2" s="1"/>
  <c r="M205" i="2"/>
  <c r="N205" i="2" s="1" a="1"/>
  <c r="N205" i="2" s="1"/>
  <c r="M206" i="2"/>
  <c r="N206" i="2" s="1" a="1"/>
  <c r="N206" i="2" s="1"/>
  <c r="M207" i="2"/>
  <c r="N207" i="2" s="1" a="1"/>
  <c r="N207" i="2" s="1"/>
  <c r="M208" i="2"/>
  <c r="N208" i="2" s="1" a="1"/>
  <c r="N208" i="2" s="1"/>
  <c r="M209" i="2"/>
  <c r="N209" i="2" s="1" a="1"/>
  <c r="N209" i="2" s="1"/>
  <c r="M210" i="2"/>
  <c r="N210" i="2" s="1" a="1"/>
  <c r="N210" i="2" s="1"/>
  <c r="M211" i="2"/>
  <c r="N211" i="2" s="1" a="1"/>
  <c r="N211" i="2" s="1"/>
  <c r="M212" i="2"/>
  <c r="N212" i="2" s="1" a="1"/>
  <c r="N212" i="2" s="1"/>
  <c r="M213" i="2"/>
  <c r="N213" i="2" s="1" a="1"/>
  <c r="N213" i="2" s="1"/>
  <c r="M214" i="2"/>
  <c r="N214" i="2" s="1" a="1"/>
  <c r="N214" i="2" s="1"/>
  <c r="M215" i="2"/>
  <c r="N215" i="2" s="1" a="1"/>
  <c r="N215" i="2" s="1"/>
  <c r="M216" i="2"/>
  <c r="N216" i="2" s="1" a="1"/>
  <c r="N216" i="2" s="1"/>
  <c r="M217" i="2"/>
  <c r="N217" i="2" s="1" a="1"/>
  <c r="N217" i="2" s="1"/>
  <c r="M218" i="2"/>
  <c r="N218" i="2" s="1" a="1"/>
  <c r="N218" i="2" s="1"/>
  <c r="M219" i="2"/>
  <c r="N219" i="2" s="1" a="1"/>
  <c r="N219" i="2" s="1"/>
  <c r="M220" i="2"/>
  <c r="N220" i="2" s="1" a="1"/>
  <c r="N220" i="2" s="1"/>
  <c r="M221" i="2"/>
  <c r="N221" i="2" s="1" a="1"/>
  <c r="N221" i="2" s="1"/>
  <c r="M222" i="2"/>
  <c r="N222" i="2" s="1" a="1"/>
  <c r="N222" i="2" s="1"/>
  <c r="M223" i="2"/>
  <c r="N223" i="2" s="1" a="1"/>
  <c r="N223" i="2" s="1"/>
  <c r="M224" i="2"/>
  <c r="N224" i="2" s="1" a="1"/>
  <c r="N224" i="2" s="1"/>
  <c r="M225" i="2"/>
  <c r="N225" i="2" s="1" a="1"/>
  <c r="N225" i="2" s="1"/>
  <c r="M226" i="2"/>
  <c r="N226" i="2" s="1" a="1"/>
  <c r="N226" i="2" s="1"/>
  <c r="M227" i="2"/>
  <c r="N227" i="2" s="1" a="1"/>
  <c r="N227" i="2" s="1"/>
  <c r="M228" i="2"/>
  <c r="N228" i="2" s="1" a="1"/>
  <c r="N228" i="2" s="1"/>
  <c r="M229" i="2"/>
  <c r="N229" i="2" s="1" a="1"/>
  <c r="N229" i="2" s="1"/>
  <c r="M230" i="2"/>
  <c r="N230" i="2" s="1" a="1"/>
  <c r="N230" i="2" s="1"/>
  <c r="M231" i="2"/>
  <c r="N231" i="2" s="1" a="1"/>
  <c r="N231" i="2" s="1"/>
  <c r="M232" i="2"/>
  <c r="N232" i="2" s="1" a="1"/>
  <c r="N232" i="2" s="1"/>
  <c r="M233" i="2"/>
  <c r="N233" i="2" s="1" a="1"/>
  <c r="N233" i="2" s="1"/>
  <c r="M234" i="2"/>
  <c r="N234" i="2" s="1" a="1"/>
  <c r="N234" i="2" s="1"/>
  <c r="M235" i="2"/>
  <c r="N235" i="2" s="1" a="1"/>
  <c r="N235" i="2" s="1"/>
  <c r="M236" i="2"/>
  <c r="N236" i="2" s="1" a="1"/>
  <c r="N236" i="2" s="1"/>
  <c r="M237" i="2"/>
  <c r="N237" i="2" s="1" a="1"/>
  <c r="N237" i="2" s="1"/>
  <c r="M238" i="2"/>
  <c r="N238" i="2" s="1" a="1"/>
  <c r="N238" i="2" s="1"/>
  <c r="M239" i="2"/>
  <c r="N239" i="2" s="1" a="1"/>
  <c r="N239" i="2" s="1"/>
  <c r="M240" i="2"/>
  <c r="N240" i="2" s="1" a="1"/>
  <c r="N240" i="2" s="1"/>
  <c r="M241" i="2"/>
  <c r="N241" i="2" s="1" a="1"/>
  <c r="N241" i="2" s="1"/>
  <c r="M242" i="2"/>
  <c r="N242" i="2" s="1" a="1"/>
  <c r="N242" i="2" s="1"/>
  <c r="M243" i="2"/>
  <c r="N243" i="2" s="1" a="1"/>
  <c r="N243" i="2" s="1"/>
  <c r="M244" i="2"/>
  <c r="N244" i="2" s="1" a="1"/>
  <c r="N244" i="2" s="1"/>
  <c r="M245" i="2"/>
  <c r="N245" i="2" s="1" a="1"/>
  <c r="N245" i="2" s="1"/>
  <c r="M246" i="2"/>
  <c r="N246" i="2" s="1" a="1"/>
  <c r="N246" i="2" s="1"/>
  <c r="M247" i="2"/>
  <c r="N247" i="2" s="1" a="1"/>
  <c r="N247" i="2" s="1"/>
  <c r="M248" i="2"/>
  <c r="N248" i="2" s="1" a="1"/>
  <c r="N248" i="2" s="1"/>
  <c r="M249" i="2"/>
  <c r="N249" i="2" s="1" a="1"/>
  <c r="N249" i="2" s="1"/>
  <c r="M250" i="2"/>
  <c r="N250" i="2" s="1" a="1"/>
  <c r="N250" i="2" s="1"/>
  <c r="M251" i="2"/>
  <c r="N251" i="2" s="1" a="1"/>
  <c r="N251" i="2" s="1"/>
  <c r="M252" i="2"/>
  <c r="N252" i="2" s="1" a="1"/>
  <c r="N252" i="2" s="1"/>
  <c r="M253" i="2"/>
  <c r="N253" i="2" s="1" a="1"/>
  <c r="N253" i="2" s="1"/>
  <c r="M254" i="2"/>
  <c r="N254" i="2" s="1" a="1"/>
  <c r="N254" i="2" s="1"/>
  <c r="M255" i="2"/>
  <c r="N255" i="2" s="1" a="1"/>
  <c r="N255" i="2" s="1"/>
  <c r="M256" i="2"/>
  <c r="N256" i="2" s="1" a="1"/>
  <c r="N256" i="2" s="1"/>
  <c r="M257" i="2"/>
  <c r="N257" i="2" s="1" a="1"/>
  <c r="N257" i="2" s="1"/>
  <c r="M258" i="2"/>
  <c r="N258" i="2" s="1" a="1"/>
  <c r="N258" i="2" s="1"/>
  <c r="M259" i="2"/>
  <c r="N259" i="2" s="1" a="1"/>
  <c r="N259" i="2" s="1"/>
  <c r="M260" i="2"/>
  <c r="N260" i="2" s="1" a="1"/>
  <c r="N260" i="2" s="1"/>
  <c r="M261" i="2"/>
  <c r="N261" i="2" s="1" a="1"/>
  <c r="N261" i="2" s="1"/>
  <c r="M262" i="2"/>
  <c r="N262" i="2" s="1" a="1"/>
  <c r="N262" i="2" s="1"/>
  <c r="M263" i="2"/>
  <c r="N263" i="2" s="1" a="1"/>
  <c r="N263" i="2" s="1"/>
  <c r="M264" i="2"/>
  <c r="N264" i="2" s="1" a="1"/>
  <c r="N264" i="2" s="1"/>
  <c r="M265" i="2"/>
  <c r="N265" i="2" s="1" a="1"/>
  <c r="N265" i="2" s="1"/>
  <c r="M266" i="2"/>
  <c r="N266" i="2" s="1" a="1"/>
  <c r="N266" i="2" s="1"/>
  <c r="M267" i="2"/>
  <c r="N267" i="2" s="1" a="1"/>
  <c r="N267" i="2" s="1"/>
  <c r="M268" i="2"/>
  <c r="N268" i="2" s="1" a="1"/>
  <c r="N268" i="2" s="1"/>
  <c r="M269" i="2"/>
  <c r="N269" i="2" s="1" a="1"/>
  <c r="N269" i="2" s="1"/>
  <c r="M270" i="2"/>
  <c r="N270" i="2" s="1" a="1"/>
  <c r="N270" i="2" s="1"/>
  <c r="M271" i="2"/>
  <c r="N271" i="2" s="1" a="1"/>
  <c r="N271" i="2" s="1"/>
  <c r="M272" i="2"/>
  <c r="N272" i="2" s="1" a="1"/>
  <c r="N272" i="2" s="1"/>
  <c r="M273" i="2"/>
  <c r="N273" i="2" s="1" a="1"/>
  <c r="N273" i="2" s="1"/>
  <c r="M274" i="2"/>
  <c r="N274" i="2" s="1" a="1"/>
  <c r="N274" i="2" s="1"/>
  <c r="M275" i="2"/>
  <c r="N275" i="2" s="1" a="1"/>
  <c r="N275" i="2" s="1"/>
  <c r="M276" i="2"/>
  <c r="N276" i="2" s="1" a="1"/>
  <c r="N276" i="2" s="1"/>
  <c r="M277" i="2"/>
  <c r="N277" i="2" s="1" a="1"/>
  <c r="N277" i="2" s="1"/>
  <c r="M278" i="2"/>
  <c r="N278" i="2" s="1" a="1"/>
  <c r="N278" i="2" s="1"/>
  <c r="M279" i="2"/>
  <c r="N279" i="2" s="1" a="1"/>
  <c r="N279" i="2" s="1"/>
  <c r="M280" i="2"/>
  <c r="N280" i="2" s="1" a="1"/>
  <c r="N280" i="2" s="1"/>
  <c r="M281" i="2"/>
  <c r="N281" i="2" s="1" a="1"/>
  <c r="N281" i="2" s="1"/>
  <c r="M282" i="2"/>
  <c r="N282" i="2" s="1" a="1"/>
  <c r="N282" i="2" s="1"/>
  <c r="M283" i="2"/>
  <c r="N283" i="2" s="1" a="1"/>
  <c r="N283" i="2" s="1"/>
  <c r="M284" i="2"/>
  <c r="N284" i="2" s="1" a="1"/>
  <c r="N284" i="2" s="1"/>
  <c r="M285" i="2"/>
  <c r="N285" i="2" s="1" a="1"/>
  <c r="N285" i="2" s="1"/>
  <c r="M286" i="2"/>
  <c r="N286" i="2" s="1" a="1"/>
  <c r="N286" i="2" s="1"/>
  <c r="M287" i="2"/>
  <c r="N287" i="2" s="1" a="1"/>
  <c r="N287" i="2" s="1"/>
  <c r="M288" i="2"/>
  <c r="N288" i="2" s="1" a="1"/>
  <c r="N288" i="2" s="1"/>
  <c r="M289" i="2"/>
  <c r="N289" i="2" s="1" a="1"/>
  <c r="N289" i="2" s="1"/>
  <c r="M290" i="2"/>
  <c r="N290" i="2" s="1" a="1"/>
  <c r="N290" i="2" s="1"/>
  <c r="M291" i="2"/>
  <c r="N291" i="2" s="1" a="1"/>
  <c r="N291" i="2" s="1"/>
  <c r="M292" i="2"/>
  <c r="N292" i="2" s="1" a="1"/>
  <c r="N292" i="2" s="1"/>
  <c r="M293" i="2"/>
  <c r="N293" i="2" s="1" a="1"/>
  <c r="N293" i="2" s="1"/>
  <c r="M294" i="2"/>
  <c r="N294" i="2" s="1" a="1"/>
  <c r="N294" i="2" s="1"/>
  <c r="M295" i="2"/>
  <c r="N295" i="2" s="1" a="1"/>
  <c r="N295" i="2" s="1"/>
  <c r="M296" i="2"/>
  <c r="N296" i="2" s="1" a="1"/>
  <c r="N296" i="2" s="1"/>
  <c r="M297" i="2"/>
  <c r="N297" i="2" s="1" a="1"/>
  <c r="N297" i="2" s="1"/>
  <c r="M298" i="2"/>
  <c r="N298" i="2" s="1" a="1"/>
  <c r="N298" i="2" s="1"/>
  <c r="M299" i="2"/>
  <c r="N299" i="2" s="1" a="1"/>
  <c r="N299" i="2" s="1"/>
  <c r="M300" i="2"/>
  <c r="N300" i="2" s="1" a="1"/>
  <c r="N300" i="2" s="1"/>
  <c r="M301" i="2"/>
  <c r="N301" i="2" s="1" a="1"/>
  <c r="N301" i="2" s="1"/>
  <c r="M302" i="2"/>
  <c r="N302" i="2" s="1" a="1"/>
  <c r="N302" i="2" s="1"/>
  <c r="M303" i="2"/>
  <c r="N303" i="2" s="1" a="1"/>
  <c r="N303" i="2" s="1"/>
  <c r="M304" i="2"/>
  <c r="N304" i="2" s="1" a="1"/>
  <c r="N304" i="2" s="1"/>
  <c r="M305" i="2"/>
  <c r="N305" i="2" s="1" a="1"/>
  <c r="N305" i="2" s="1"/>
  <c r="M306" i="2"/>
  <c r="N306" i="2" s="1" a="1"/>
  <c r="N306" i="2" s="1"/>
  <c r="M307" i="2"/>
  <c r="N307" i="2" s="1" a="1"/>
  <c r="N307" i="2" s="1"/>
  <c r="M308" i="2"/>
  <c r="N308" i="2" s="1" a="1"/>
  <c r="N308" i="2" s="1"/>
  <c r="M309" i="2"/>
  <c r="N309" i="2" s="1" a="1"/>
  <c r="N309" i="2" s="1"/>
  <c r="M310" i="2"/>
  <c r="N310" i="2" s="1" a="1"/>
  <c r="N310" i="2" s="1"/>
  <c r="M311" i="2"/>
  <c r="N311" i="2" s="1" a="1"/>
  <c r="N311" i="2" s="1"/>
  <c r="M312" i="2"/>
  <c r="N312" i="2" s="1" a="1"/>
  <c r="N312" i="2" s="1"/>
  <c r="M313" i="2"/>
  <c r="N313" i="2" s="1" a="1"/>
  <c r="N313" i="2" s="1"/>
  <c r="M314" i="2"/>
  <c r="N314" i="2" s="1" a="1"/>
  <c r="N314" i="2" s="1"/>
  <c r="M315" i="2"/>
  <c r="N315" i="2" s="1" a="1"/>
  <c r="N315" i="2" s="1"/>
  <c r="M316" i="2"/>
  <c r="N316" i="2" s="1" a="1"/>
  <c r="N316" i="2" s="1"/>
  <c r="M317" i="2"/>
  <c r="N317" i="2" s="1" a="1"/>
  <c r="N317" i="2" s="1"/>
  <c r="M318" i="2"/>
  <c r="N318" i="2" s="1" a="1"/>
  <c r="N318" i="2" s="1"/>
  <c r="M319" i="2"/>
  <c r="N319" i="2" s="1" a="1"/>
  <c r="N319" i="2" s="1"/>
  <c r="M320" i="2"/>
  <c r="N320" i="2" s="1" a="1"/>
  <c r="N320" i="2" s="1"/>
  <c r="M321" i="2"/>
  <c r="N321" i="2" s="1" a="1"/>
  <c r="N321" i="2" s="1"/>
  <c r="M322" i="2"/>
  <c r="N322" i="2" s="1" a="1"/>
  <c r="N322" i="2" s="1"/>
  <c r="M323" i="2"/>
  <c r="N323" i="2" s="1" a="1"/>
  <c r="N323" i="2" s="1"/>
  <c r="M324" i="2"/>
  <c r="N324" i="2" s="1" a="1"/>
  <c r="N324" i="2" s="1"/>
  <c r="M325" i="2"/>
  <c r="N325" i="2" s="1" a="1"/>
  <c r="N325" i="2" s="1"/>
  <c r="M326" i="2"/>
  <c r="N326" i="2" s="1" a="1"/>
  <c r="N326" i="2" s="1"/>
  <c r="M327" i="2"/>
  <c r="N327" i="2" s="1" a="1"/>
  <c r="N327" i="2" s="1"/>
  <c r="M328" i="2"/>
  <c r="N328" i="2" s="1" a="1"/>
  <c r="N328" i="2" s="1"/>
  <c r="M329" i="2"/>
  <c r="N329" i="2" s="1" a="1"/>
  <c r="N329" i="2" s="1"/>
  <c r="M330" i="2"/>
  <c r="N330" i="2" s="1" a="1"/>
  <c r="N330" i="2" s="1"/>
  <c r="M331" i="2"/>
  <c r="N331" i="2" s="1" a="1"/>
  <c r="N331" i="2" s="1"/>
  <c r="M332" i="2"/>
  <c r="N332" i="2" s="1" a="1"/>
  <c r="N332" i="2" s="1"/>
  <c r="M333" i="2"/>
  <c r="N333" i="2" s="1" a="1"/>
  <c r="N333" i="2" s="1"/>
  <c r="M334" i="2"/>
  <c r="N334" i="2" s="1" a="1"/>
  <c r="N334" i="2" s="1"/>
  <c r="M335" i="2"/>
  <c r="N335" i="2" s="1" a="1"/>
  <c r="N335" i="2" s="1"/>
  <c r="M336" i="2"/>
  <c r="N336" i="2" s="1" a="1"/>
  <c r="N336" i="2" s="1"/>
  <c r="M337" i="2"/>
  <c r="N337" i="2" s="1" a="1"/>
  <c r="N337" i="2" s="1"/>
  <c r="M338" i="2"/>
  <c r="N338" i="2" s="1" a="1"/>
  <c r="N338" i="2" s="1"/>
  <c r="M339" i="2"/>
  <c r="N339" i="2" s="1" a="1"/>
  <c r="N339" i="2" s="1"/>
  <c r="M340" i="2"/>
  <c r="N340" i="2" s="1" a="1"/>
  <c r="N340" i="2" s="1"/>
  <c r="M341" i="2"/>
  <c r="N341" i="2" s="1" a="1"/>
  <c r="N341" i="2" s="1"/>
  <c r="M342" i="2"/>
  <c r="N342" i="2" s="1" a="1"/>
  <c r="N342" i="2" s="1"/>
  <c r="M343" i="2"/>
  <c r="N343" i="2" s="1" a="1"/>
  <c r="N343" i="2" s="1"/>
  <c r="M344" i="2"/>
  <c r="N344" i="2" s="1" a="1"/>
  <c r="N344" i="2" s="1"/>
  <c r="M2" i="2"/>
  <c r="N2" i="2" s="1" a="1"/>
  <c r="N2" i="2" s="1"/>
  <c r="AC5" i="4" l="1"/>
  <c r="AC11" i="4" s="1"/>
  <c r="U49" i="2" a="1"/>
  <c r="U49" i="2" s="1"/>
  <c r="V49" i="2" s="1"/>
  <c r="S308" i="2"/>
  <c r="T308" i="2" s="1"/>
  <c r="S196" i="2"/>
  <c r="T196" i="2" s="1"/>
  <c r="W339" i="2"/>
  <c r="U337" i="2" a="1"/>
  <c r="U337" i="2" s="1"/>
  <c r="V337" i="2" s="1"/>
  <c r="U332" i="2" a="1"/>
  <c r="U332" i="2" s="1"/>
  <c r="V332" i="2" s="1"/>
  <c r="U322" i="2" a="1"/>
  <c r="U322" i="2" s="1"/>
  <c r="V322" i="2" s="1"/>
  <c r="U312" i="2" a="1"/>
  <c r="U312" i="2" s="1"/>
  <c r="V312" i="2" s="1"/>
  <c r="U296" i="2" a="1"/>
  <c r="U296" i="2" s="1"/>
  <c r="V296" i="2" s="1"/>
  <c r="U291" i="2" a="1"/>
  <c r="U291" i="2" s="1"/>
  <c r="V291" i="2" s="1"/>
  <c r="U276" i="2" a="1"/>
  <c r="U276" i="2" s="1"/>
  <c r="V276" i="2" s="1"/>
  <c r="U240" i="2" a="1"/>
  <c r="U240" i="2" s="1"/>
  <c r="V240" i="2" s="1"/>
  <c r="U225" i="2" a="1"/>
  <c r="U225" i="2" s="1"/>
  <c r="V225" i="2" s="1"/>
  <c r="U220" i="2" a="1"/>
  <c r="U220" i="2" s="1"/>
  <c r="V220" i="2" s="1"/>
  <c r="U209" i="2" a="1"/>
  <c r="U209" i="2" s="1"/>
  <c r="V209" i="2" s="1"/>
  <c r="U204" i="2" a="1"/>
  <c r="U204" i="2" s="1"/>
  <c r="V204" i="2" s="1"/>
  <c r="U158" i="2" a="1"/>
  <c r="U158" i="2" s="1"/>
  <c r="V158" i="2" s="1"/>
  <c r="U153" i="2" a="1"/>
  <c r="U153" i="2" s="1"/>
  <c r="V153" i="2" s="1"/>
  <c r="U148" i="2" a="1"/>
  <c r="U148" i="2" s="1"/>
  <c r="V148" i="2" s="1"/>
  <c r="U128" i="2" a="1"/>
  <c r="U128" i="2" s="1"/>
  <c r="V128" i="2" s="1"/>
  <c r="U122" i="2" a="1"/>
  <c r="U122" i="2" s="1"/>
  <c r="V122" i="2" s="1"/>
  <c r="U97" i="2" a="1"/>
  <c r="U97" i="2" s="1"/>
  <c r="V97" i="2" s="1"/>
  <c r="U92" i="2" a="1"/>
  <c r="U92" i="2" s="1"/>
  <c r="V92" i="2" s="1"/>
  <c r="U81" i="2" a="1"/>
  <c r="U81" i="2" s="1"/>
  <c r="V81" i="2" s="1"/>
  <c r="U61" i="2" a="1"/>
  <c r="U61" i="2" s="1"/>
  <c r="V61" i="2" s="1"/>
  <c r="U7" i="2" a="1"/>
  <c r="U7" i="2" s="1"/>
  <c r="V7" i="2" s="1"/>
  <c r="S284" i="2"/>
  <c r="T284" i="2" s="1"/>
  <c r="S156" i="2"/>
  <c r="T156" i="2" s="1"/>
  <c r="W331" i="2"/>
  <c r="U342" i="2" a="1"/>
  <c r="U342" i="2" s="1"/>
  <c r="V342" i="2" s="1"/>
  <c r="U331" i="2" a="1"/>
  <c r="U331" i="2" s="1"/>
  <c r="V331" i="2" s="1"/>
  <c r="U306" i="2" a="1"/>
  <c r="U306" i="2" s="1"/>
  <c r="V306" i="2" s="1"/>
  <c r="U295" i="2" a="1"/>
  <c r="U295" i="2" s="1"/>
  <c r="V295" i="2" s="1"/>
  <c r="U275" i="2" a="1"/>
  <c r="U275" i="2" s="1"/>
  <c r="V275" i="2" s="1"/>
  <c r="U260" i="2" a="1"/>
  <c r="U260" i="2" s="1"/>
  <c r="V260" i="2" s="1"/>
  <c r="U255" i="2" a="1"/>
  <c r="U255" i="2" s="1"/>
  <c r="V255" i="2" s="1"/>
  <c r="U234" i="2" a="1"/>
  <c r="U234" i="2" s="1"/>
  <c r="V234" i="2" s="1"/>
  <c r="U203" i="2" a="1"/>
  <c r="U203" i="2" s="1"/>
  <c r="V203" i="2" s="1"/>
  <c r="U183" i="2" a="1"/>
  <c r="U183" i="2" s="1"/>
  <c r="V183" i="2" s="1"/>
  <c r="U178" i="2" a="1"/>
  <c r="U178" i="2" s="1"/>
  <c r="V178" i="2" s="1"/>
  <c r="U173" i="2" a="1"/>
  <c r="U173" i="2" s="1"/>
  <c r="V173" i="2" s="1"/>
  <c r="U132" i="2" a="1"/>
  <c r="U132" i="2" s="1"/>
  <c r="V132" i="2" s="1"/>
  <c r="U106" i="2" a="1"/>
  <c r="U106" i="2" s="1"/>
  <c r="V106" i="2" s="1"/>
  <c r="U101" i="2" a="1"/>
  <c r="U101" i="2" s="1"/>
  <c r="V101" i="2" s="1"/>
  <c r="U91" i="2" a="1"/>
  <c r="U91" i="2" s="1"/>
  <c r="V91" i="2" s="1"/>
  <c r="U86" i="2" a="1"/>
  <c r="U86" i="2" s="1"/>
  <c r="V86" i="2" s="1"/>
  <c r="U75" i="2" a="1"/>
  <c r="U75" i="2" s="1"/>
  <c r="V75" i="2" s="1"/>
  <c r="U70" i="2" a="1"/>
  <c r="U70" i="2" s="1"/>
  <c r="V70" i="2" s="1"/>
  <c r="U50" i="2" a="1"/>
  <c r="U50" i="2" s="1"/>
  <c r="V50" i="2" s="1"/>
  <c r="U26" i="2" a="1"/>
  <c r="U26" i="2" s="1"/>
  <c r="V26" i="2" s="1"/>
  <c r="U11" i="2" a="1"/>
  <c r="U11" i="2" s="1"/>
  <c r="V11" i="2" s="1"/>
  <c r="S283" i="2"/>
  <c r="T283" i="2" s="1"/>
  <c r="S155" i="2"/>
  <c r="T155" i="2" s="1"/>
  <c r="W278" i="2"/>
  <c r="U341" i="2" a="1"/>
  <c r="U341" i="2" s="1"/>
  <c r="V341" i="2" s="1"/>
  <c r="U336" i="2" a="1"/>
  <c r="U336" i="2" s="1"/>
  <c r="V336" i="2" s="1"/>
  <c r="U316" i="2" a="1"/>
  <c r="U316" i="2" s="1"/>
  <c r="V316" i="2" s="1"/>
  <c r="U300" i="2" a="1"/>
  <c r="U300" i="2" s="1"/>
  <c r="V300" i="2" s="1"/>
  <c r="U290" i="2" a="1"/>
  <c r="U290" i="2" s="1"/>
  <c r="V290" i="2" s="1"/>
  <c r="U285" i="2" a="1"/>
  <c r="U285" i="2" s="1"/>
  <c r="V285" i="2" s="1"/>
  <c r="U280" i="2" a="1"/>
  <c r="U280" i="2" s="1"/>
  <c r="V280" i="2" s="1"/>
  <c r="U264" i="2" a="1"/>
  <c r="U264" i="2" s="1"/>
  <c r="V264" i="2" s="1"/>
  <c r="U259" i="2" a="1"/>
  <c r="U259" i="2" s="1"/>
  <c r="V259" i="2" s="1"/>
  <c r="U244" i="2" a="1"/>
  <c r="U244" i="2" s="1"/>
  <c r="V244" i="2" s="1"/>
  <c r="U208" i="2" a="1"/>
  <c r="U208" i="2" s="1"/>
  <c r="V208" i="2" s="1"/>
  <c r="U188" i="2" a="1"/>
  <c r="U188" i="2" s="1"/>
  <c r="V188" i="2" s="1"/>
  <c r="U172" i="2" a="1"/>
  <c r="U172" i="2" s="1"/>
  <c r="V172" i="2" s="1"/>
  <c r="U157" i="2" a="1"/>
  <c r="U157" i="2" s="1"/>
  <c r="V157" i="2" s="1"/>
  <c r="U152" i="2" a="1"/>
  <c r="U152" i="2" s="1"/>
  <c r="V152" i="2" s="1"/>
  <c r="U121" i="2" a="1"/>
  <c r="U121" i="2" s="1"/>
  <c r="V121" i="2" s="1"/>
  <c r="U116" i="2" a="1"/>
  <c r="U116" i="2" s="1"/>
  <c r="V116" i="2" s="1"/>
  <c r="U96" i="2" a="1"/>
  <c r="U96" i="2" s="1"/>
  <c r="V96" i="2" s="1"/>
  <c r="U85" i="2" a="1"/>
  <c r="U85" i="2" s="1"/>
  <c r="V85" i="2" s="1"/>
  <c r="U80" i="2" a="1"/>
  <c r="U80" i="2" s="1"/>
  <c r="V80" i="2" s="1"/>
  <c r="U35" i="2" a="1"/>
  <c r="U35" i="2" s="1"/>
  <c r="V35" i="2" s="1"/>
  <c r="U30" i="2" a="1"/>
  <c r="U30" i="2" s="1"/>
  <c r="V30" i="2" s="1"/>
  <c r="U6" i="2" a="1"/>
  <c r="U6" i="2" s="1"/>
  <c r="V6" i="2" s="1"/>
  <c r="S148" i="2"/>
  <c r="T148" i="2" s="1"/>
  <c r="W199" i="2"/>
  <c r="U335" i="2" a="1"/>
  <c r="U335" i="2" s="1"/>
  <c r="V335" i="2" s="1"/>
  <c r="U315" i="2" a="1"/>
  <c r="U315" i="2" s="1"/>
  <c r="V315" i="2" s="1"/>
  <c r="U310" i="2" a="1"/>
  <c r="U310" i="2" s="1"/>
  <c r="V310" i="2" s="1"/>
  <c r="U299" i="2" a="1"/>
  <c r="U299" i="2" s="1"/>
  <c r="V299" i="2" s="1"/>
  <c r="U294" i="2" a="1"/>
  <c r="U294" i="2" s="1"/>
  <c r="V294" i="2" s="1"/>
  <c r="U279" i="2" a="1"/>
  <c r="U279" i="2" s="1"/>
  <c r="V279" i="2" s="1"/>
  <c r="U269" i="2" a="1"/>
  <c r="U269" i="2" s="1"/>
  <c r="V269" i="2" s="1"/>
  <c r="U243" i="2" a="1"/>
  <c r="U243" i="2" s="1"/>
  <c r="V243" i="2" s="1"/>
  <c r="U233" i="2" a="1"/>
  <c r="U233" i="2" s="1"/>
  <c r="V233" i="2" s="1"/>
  <c r="U228" i="2" a="1"/>
  <c r="U228" i="2" s="1"/>
  <c r="V228" i="2" s="1"/>
  <c r="U223" i="2" a="1"/>
  <c r="U223" i="2" s="1"/>
  <c r="V223" i="2" s="1"/>
  <c r="U202" i="2" a="1"/>
  <c r="U202" i="2" s="1"/>
  <c r="V202" i="2" s="1"/>
  <c r="U187" i="2" a="1"/>
  <c r="U187" i="2" s="1"/>
  <c r="V187" i="2" s="1"/>
  <c r="U182" i="2" a="1"/>
  <c r="U182" i="2" s="1"/>
  <c r="V182" i="2" s="1"/>
  <c r="U171" i="2" a="1"/>
  <c r="U171" i="2" s="1"/>
  <c r="V171" i="2" s="1"/>
  <c r="U135" i="2" a="1"/>
  <c r="U135" i="2" s="1"/>
  <c r="V135" i="2" s="1"/>
  <c r="U115" i="2" a="1"/>
  <c r="U115" i="2" s="1"/>
  <c r="V115" i="2" s="1"/>
  <c r="U100" i="2" a="1"/>
  <c r="U100" i="2" s="1"/>
  <c r="V100" i="2" s="1"/>
  <c r="U95" i="2" a="1"/>
  <c r="U95" i="2" s="1"/>
  <c r="V95" i="2" s="1"/>
  <c r="U39" i="2" a="1"/>
  <c r="U39" i="2" s="1"/>
  <c r="V39" i="2" s="1"/>
  <c r="U25" i="2" a="1"/>
  <c r="U25" i="2" s="1"/>
  <c r="V25" i="2" s="1"/>
  <c r="S252" i="2"/>
  <c r="T252" i="2" s="1"/>
  <c r="S124" i="2"/>
  <c r="T124" i="2" s="1"/>
  <c r="W195" i="2"/>
  <c r="U340" i="2" a="1"/>
  <c r="U340" i="2" s="1"/>
  <c r="V340" i="2" s="1"/>
  <c r="U314" i="2" a="1"/>
  <c r="U314" i="2" s="1"/>
  <c r="V314" i="2" s="1"/>
  <c r="U309" i="2" a="1"/>
  <c r="U309" i="2" s="1"/>
  <c r="V309" i="2" s="1"/>
  <c r="U289" i="2" a="1"/>
  <c r="U289" i="2" s="1"/>
  <c r="V289" i="2" s="1"/>
  <c r="U268" i="2" a="1"/>
  <c r="U268" i="2" s="1"/>
  <c r="V268" i="2" s="1"/>
  <c r="U258" i="2" a="1"/>
  <c r="U258" i="2" s="1"/>
  <c r="V258" i="2" s="1"/>
  <c r="U227" i="2" a="1"/>
  <c r="U227" i="2" s="1"/>
  <c r="V227" i="2" s="1"/>
  <c r="U222" i="2" a="1"/>
  <c r="U222" i="2" s="1"/>
  <c r="V222" i="2" s="1"/>
  <c r="U217" i="2" a="1"/>
  <c r="U217" i="2" s="1"/>
  <c r="V217" i="2" s="1"/>
  <c r="U212" i="2" a="1"/>
  <c r="U212" i="2" s="1"/>
  <c r="V212" i="2" s="1"/>
  <c r="U192" i="2" a="1"/>
  <c r="U192" i="2" s="1"/>
  <c r="V192" i="2" s="1"/>
  <c r="U161" i="2" a="1"/>
  <c r="U161" i="2" s="1"/>
  <c r="V161" i="2" s="1"/>
  <c r="U140" i="2" a="1"/>
  <c r="U140" i="2" s="1"/>
  <c r="V140" i="2" s="1"/>
  <c r="U130" i="2" a="1"/>
  <c r="U130" i="2" s="1"/>
  <c r="V130" i="2" s="1"/>
  <c r="U104" i="2" a="1"/>
  <c r="U104" i="2" s="1"/>
  <c r="V104" i="2" s="1"/>
  <c r="U99" i="2" a="1"/>
  <c r="U99" i="2" s="1"/>
  <c r="V99" i="2" s="1"/>
  <c r="U84" i="2" a="1"/>
  <c r="U84" i="2" s="1"/>
  <c r="V84" i="2" s="1"/>
  <c r="U43" i="2" a="1"/>
  <c r="U43" i="2" s="1"/>
  <c r="V43" i="2" s="1"/>
  <c r="U19" i="2" a="1"/>
  <c r="U19" i="2" s="1"/>
  <c r="V19" i="2" s="1"/>
  <c r="S244" i="2"/>
  <c r="T244" i="2" s="1"/>
  <c r="S116" i="2"/>
  <c r="T116" i="2" s="1"/>
  <c r="W102" i="2"/>
  <c r="U344" i="2" a="1"/>
  <c r="U344" i="2" s="1"/>
  <c r="V344" i="2" s="1"/>
  <c r="U324" i="2" a="1"/>
  <c r="U324" i="2" s="1"/>
  <c r="V324" i="2" s="1"/>
  <c r="U298" i="2" a="1"/>
  <c r="U298" i="2" s="1"/>
  <c r="V298" i="2" s="1"/>
  <c r="U293" i="2" a="1"/>
  <c r="U293" i="2" s="1"/>
  <c r="V293" i="2" s="1"/>
  <c r="U278" i="2" a="1"/>
  <c r="U278" i="2" s="1"/>
  <c r="V278" i="2" s="1"/>
  <c r="U242" i="2" a="1"/>
  <c r="U242" i="2" s="1"/>
  <c r="V242" i="2" s="1"/>
  <c r="U237" i="2" a="1"/>
  <c r="U237" i="2" s="1"/>
  <c r="V237" i="2" s="1"/>
  <c r="U231" i="2" a="1"/>
  <c r="U231" i="2" s="1"/>
  <c r="V231" i="2" s="1"/>
  <c r="U196" i="2" a="1"/>
  <c r="U196" i="2" s="1"/>
  <c r="V196" i="2" s="1"/>
  <c r="U175" i="2" a="1"/>
  <c r="U175" i="2" s="1"/>
  <c r="V175" i="2" s="1"/>
  <c r="U170" i="2" a="1"/>
  <c r="U170" i="2" s="1"/>
  <c r="V170" i="2" s="1"/>
  <c r="U150" i="2" a="1"/>
  <c r="U150" i="2" s="1"/>
  <c r="V150" i="2" s="1"/>
  <c r="U139" i="2" a="1"/>
  <c r="U139" i="2" s="1"/>
  <c r="V139" i="2" s="1"/>
  <c r="U114" i="2" a="1"/>
  <c r="U114" i="2" s="1"/>
  <c r="V114" i="2" s="1"/>
  <c r="U63" i="2" a="1"/>
  <c r="U63" i="2" s="1"/>
  <c r="V63" i="2" s="1"/>
  <c r="U48" i="2" a="1"/>
  <c r="U48" i="2" s="1"/>
  <c r="V48" i="2" s="1"/>
  <c r="S340" i="2"/>
  <c r="T340" i="2" s="1"/>
  <c r="S208" i="2"/>
  <c r="T208" i="2" s="1"/>
  <c r="S84" i="2"/>
  <c r="T84" i="2" s="1"/>
  <c r="W99" i="2"/>
  <c r="U328" i="2" a="1"/>
  <c r="U328" i="2" s="1"/>
  <c r="V328" i="2" s="1"/>
  <c r="U323" i="2" a="1"/>
  <c r="U323" i="2" s="1"/>
  <c r="V323" i="2" s="1"/>
  <c r="U318" i="2" a="1"/>
  <c r="U318" i="2" s="1"/>
  <c r="V318" i="2" s="1"/>
  <c r="U313" i="2" a="1"/>
  <c r="U313" i="2" s="1"/>
  <c r="V313" i="2" s="1"/>
  <c r="U288" i="2" a="1"/>
  <c r="U288" i="2" s="1"/>
  <c r="V288" i="2" s="1"/>
  <c r="U282" i="2" a="1"/>
  <c r="U282" i="2" s="1"/>
  <c r="V282" i="2" s="1"/>
  <c r="U252" i="2" a="1"/>
  <c r="U252" i="2" s="1"/>
  <c r="V252" i="2" s="1"/>
  <c r="U221" i="2" a="1"/>
  <c r="U221" i="2" s="1"/>
  <c r="V221" i="2" s="1"/>
  <c r="U216" i="2" a="1"/>
  <c r="U216" i="2" s="1"/>
  <c r="V216" i="2" s="1"/>
  <c r="U180" i="2" a="1"/>
  <c r="U180" i="2" s="1"/>
  <c r="V180" i="2" s="1"/>
  <c r="U160" i="2" a="1"/>
  <c r="U160" i="2" s="1"/>
  <c r="V160" i="2" s="1"/>
  <c r="U154" i="2" a="1"/>
  <c r="U154" i="2" s="1"/>
  <c r="V154" i="2" s="1"/>
  <c r="U144" i="2" a="1"/>
  <c r="U144" i="2" s="1"/>
  <c r="V144" i="2" s="1"/>
  <c r="U124" i="2" a="1"/>
  <c r="U124" i="2" s="1"/>
  <c r="V124" i="2" s="1"/>
  <c r="U108" i="2" a="1"/>
  <c r="U108" i="2" s="1"/>
  <c r="V108" i="2" s="1"/>
  <c r="U98" i="2" a="1"/>
  <c r="U98" i="2" s="1"/>
  <c r="V98" i="2" s="1"/>
  <c r="U88" i="2" a="1"/>
  <c r="U88" i="2" s="1"/>
  <c r="V88" i="2" s="1"/>
  <c r="U72" i="2" a="1"/>
  <c r="U72" i="2" s="1"/>
  <c r="V72" i="2" s="1"/>
  <c r="U62" i="2" a="1"/>
  <c r="U62" i="2" s="1"/>
  <c r="V62" i="2" s="1"/>
  <c r="U47" i="2" a="1"/>
  <c r="U47" i="2" s="1"/>
  <c r="V47" i="2" s="1"/>
  <c r="U42" i="2" a="1"/>
  <c r="U42" i="2" s="1"/>
  <c r="V42" i="2" s="1"/>
  <c r="U18" i="2" a="1"/>
  <c r="U18" i="2" s="1"/>
  <c r="V18" i="2" s="1"/>
  <c r="S315" i="2"/>
  <c r="T315" i="2" s="1"/>
  <c r="S204" i="2"/>
  <c r="T204" i="2" s="1"/>
  <c r="U343" i="2" a="1"/>
  <c r="U343" i="2" s="1"/>
  <c r="V343" i="2" s="1"/>
  <c r="U333" i="2" a="1"/>
  <c r="U333" i="2" s="1"/>
  <c r="V333" i="2" s="1"/>
  <c r="U327" i="2" a="1"/>
  <c r="U327" i="2" s="1"/>
  <c r="V327" i="2" s="1"/>
  <c r="U307" i="2" a="1"/>
  <c r="U307" i="2" s="1"/>
  <c r="V307" i="2" s="1"/>
  <c r="U297" i="2" a="1"/>
  <c r="U297" i="2" s="1"/>
  <c r="V297" i="2" s="1"/>
  <c r="U292" i="2" a="1"/>
  <c r="U292" i="2" s="1"/>
  <c r="V292" i="2" s="1"/>
  <c r="U251" i="2" a="1"/>
  <c r="U251" i="2" s="1"/>
  <c r="V251" i="2" s="1"/>
  <c r="U246" i="2" a="1"/>
  <c r="U246" i="2" s="1"/>
  <c r="V246" i="2" s="1"/>
  <c r="U179" i="2" a="1"/>
  <c r="U179" i="2" s="1"/>
  <c r="V179" i="2" s="1"/>
  <c r="U174" i="2" a="1"/>
  <c r="U174" i="2" s="1"/>
  <c r="V174" i="2" s="1"/>
  <c r="U169" i="2" a="1"/>
  <c r="U169" i="2" s="1"/>
  <c r="V169" i="2" s="1"/>
  <c r="U164" i="2" a="1"/>
  <c r="U164" i="2" s="1"/>
  <c r="V164" i="2" s="1"/>
  <c r="U159" i="2" a="1"/>
  <c r="U159" i="2" s="1"/>
  <c r="V159" i="2" s="1"/>
  <c r="U123" i="2" a="1"/>
  <c r="U123" i="2" s="1"/>
  <c r="V123" i="2" s="1"/>
  <c r="U107" i="2" a="1"/>
  <c r="U107" i="2" s="1"/>
  <c r="V107" i="2" s="1"/>
  <c r="U77" i="2" a="1"/>
  <c r="U77" i="2" s="1"/>
  <c r="V77" i="2" s="1"/>
  <c r="U71" i="2" a="1"/>
  <c r="U71" i="2" s="1"/>
  <c r="V71" i="2" s="1"/>
  <c r="U27" i="2" a="1"/>
  <c r="U27" i="2" s="1"/>
  <c r="V27" i="2" s="1"/>
  <c r="U8" i="2" a="1"/>
  <c r="U8" i="2" s="1"/>
  <c r="V8" i="2" s="1"/>
  <c r="S248" i="2"/>
  <c r="T248" i="2" s="1"/>
  <c r="S120" i="2"/>
  <c r="T120" i="2" s="1"/>
  <c r="S81" i="2"/>
  <c r="T81" i="2" s="1"/>
  <c r="S38" i="2"/>
  <c r="T38" i="2" s="1"/>
  <c r="S337" i="2"/>
  <c r="T337" i="2" s="1"/>
  <c r="S305" i="2"/>
  <c r="T305" i="2" s="1"/>
  <c r="W241" i="2"/>
  <c r="W40" i="2"/>
  <c r="S304" i="2"/>
  <c r="T304" i="2" s="1"/>
  <c r="S273" i="2"/>
  <c r="T273" i="2" s="1"/>
  <c r="S243" i="2"/>
  <c r="T243" i="2" s="1"/>
  <c r="S195" i="2"/>
  <c r="T195" i="2" s="1"/>
  <c r="S145" i="2"/>
  <c r="T145" i="2" s="1"/>
  <c r="S71" i="2"/>
  <c r="T71" i="2" s="1"/>
  <c r="S29" i="2"/>
  <c r="T29" i="2" s="1"/>
  <c r="W319" i="2"/>
  <c r="W182" i="2"/>
  <c r="W35" i="2"/>
  <c r="S303" i="2"/>
  <c r="T303" i="2" s="1"/>
  <c r="S272" i="2"/>
  <c r="T272" i="2" s="1"/>
  <c r="S144" i="2"/>
  <c r="T144" i="2" s="1"/>
  <c r="S108" i="2"/>
  <c r="T108" i="2" s="1"/>
  <c r="S63" i="2"/>
  <c r="T63" i="2" s="1"/>
  <c r="S26" i="2"/>
  <c r="T26" i="2" s="1"/>
  <c r="W318" i="2"/>
  <c r="W235" i="2"/>
  <c r="W83" i="2"/>
  <c r="S327" i="2"/>
  <c r="T327" i="2" s="1"/>
  <c r="S295" i="2"/>
  <c r="T295" i="2" s="1"/>
  <c r="S268" i="2"/>
  <c r="T268" i="2" s="1"/>
  <c r="S219" i="2"/>
  <c r="T219" i="2" s="1"/>
  <c r="S184" i="2"/>
  <c r="T184" i="2" s="1"/>
  <c r="S140" i="2"/>
  <c r="T140" i="2" s="1"/>
  <c r="S62" i="2"/>
  <c r="T62" i="2" s="1"/>
  <c r="S10" i="2"/>
  <c r="T10" i="2" s="1"/>
  <c r="W296" i="2"/>
  <c r="W159" i="2"/>
  <c r="S180" i="2"/>
  <c r="T180" i="2" s="1"/>
  <c r="S132" i="2"/>
  <c r="T132" i="2" s="1"/>
  <c r="W219" i="2"/>
  <c r="W158" i="2"/>
  <c r="W64" i="2"/>
  <c r="W22" i="2"/>
  <c r="W281" i="2"/>
  <c r="S291" i="2"/>
  <c r="T291" i="2" s="1"/>
  <c r="S259" i="2"/>
  <c r="T259" i="2" s="1"/>
  <c r="S209" i="2"/>
  <c r="T209" i="2" s="1"/>
  <c r="S179" i="2"/>
  <c r="T179" i="2" s="1"/>
  <c r="S131" i="2"/>
  <c r="T131" i="2" s="1"/>
  <c r="S48" i="2"/>
  <c r="T48" i="2" s="1"/>
  <c r="W200" i="2"/>
  <c r="W145" i="2"/>
  <c r="W11" i="2"/>
  <c r="W25" i="2"/>
  <c r="W226" i="2"/>
  <c r="W41" i="2"/>
  <c r="S234" i="2"/>
  <c r="T234" i="2" s="1"/>
  <c r="W258" i="2"/>
  <c r="W162" i="2"/>
  <c r="W249" i="2"/>
  <c r="W201" i="2"/>
  <c r="W177" i="2"/>
  <c r="W129" i="2"/>
  <c r="W105" i="2"/>
  <c r="W24" i="2"/>
  <c r="S24" i="2"/>
  <c r="T24" i="2" s="1"/>
  <c r="S314" i="2"/>
  <c r="T314" i="2" s="1"/>
  <c r="S169" i="2"/>
  <c r="T169" i="2" s="1"/>
  <c r="S105" i="2"/>
  <c r="T105" i="2" s="1"/>
  <c r="W257" i="2"/>
  <c r="W335" i="2"/>
  <c r="W311" i="2"/>
  <c r="W287" i="2"/>
  <c r="W271" i="2"/>
  <c r="S271" i="2"/>
  <c r="T271" i="2" s="1"/>
  <c r="W263" i="2"/>
  <c r="S263" i="2"/>
  <c r="T263" i="2" s="1"/>
  <c r="S247" i="2"/>
  <c r="T247" i="2" s="1"/>
  <c r="W239" i="2"/>
  <c r="S239" i="2"/>
  <c r="T239" i="2" s="1"/>
  <c r="W215" i="2"/>
  <c r="S215" i="2"/>
  <c r="T215" i="2" s="1"/>
  <c r="W207" i="2"/>
  <c r="S207" i="2"/>
  <c r="T207" i="2" s="1"/>
  <c r="S199" i="2"/>
  <c r="T199" i="2" s="1"/>
  <c r="W191" i="2"/>
  <c r="S191" i="2"/>
  <c r="T191" i="2" s="1"/>
  <c r="S183" i="2"/>
  <c r="T183" i="2" s="1"/>
  <c r="S175" i="2"/>
  <c r="T175" i="2" s="1"/>
  <c r="W167" i="2"/>
  <c r="S167" i="2"/>
  <c r="T167" i="2" s="1"/>
  <c r="W151" i="2"/>
  <c r="S151" i="2"/>
  <c r="T151" i="2" s="1"/>
  <c r="W143" i="2"/>
  <c r="S143" i="2"/>
  <c r="T143" i="2" s="1"/>
  <c r="S127" i="2"/>
  <c r="T127" i="2" s="1"/>
  <c r="W119" i="2"/>
  <c r="S119" i="2"/>
  <c r="T119" i="2" s="1"/>
  <c r="S111" i="2"/>
  <c r="T111" i="2" s="1"/>
  <c r="W103" i="2"/>
  <c r="S103" i="2"/>
  <c r="T103" i="2" s="1"/>
  <c r="W87" i="2"/>
  <c r="S87" i="2"/>
  <c r="T87" i="2" s="1"/>
  <c r="W79" i="2"/>
  <c r="S79" i="2"/>
  <c r="T79" i="2" s="1"/>
  <c r="W55" i="2"/>
  <c r="S55" i="2"/>
  <c r="T55" i="2" s="1"/>
  <c r="S46" i="2"/>
  <c r="T46" i="2" s="1"/>
  <c r="W46" i="2"/>
  <c r="W30" i="2"/>
  <c r="W14" i="2"/>
  <c r="S14" i="2"/>
  <c r="T14" i="2" s="1"/>
  <c r="W6" i="2"/>
  <c r="S332" i="2"/>
  <c r="T332" i="2" s="1"/>
  <c r="S300" i="2"/>
  <c r="T300" i="2" s="1"/>
  <c r="S290" i="2"/>
  <c r="T290" i="2" s="1"/>
  <c r="S280" i="2"/>
  <c r="T280" i="2" s="1"/>
  <c r="S267" i="2"/>
  <c r="T267" i="2" s="1"/>
  <c r="S256" i="2"/>
  <c r="T256" i="2" s="1"/>
  <c r="S242" i="2"/>
  <c r="T242" i="2" s="1"/>
  <c r="S217" i="2"/>
  <c r="T217" i="2" s="1"/>
  <c r="S89" i="2"/>
  <c r="T89" i="2" s="1"/>
  <c r="S73" i="2"/>
  <c r="T73" i="2" s="1"/>
  <c r="S58" i="2"/>
  <c r="T58" i="2" s="1"/>
  <c r="S40" i="2"/>
  <c r="T40" i="2" s="1"/>
  <c r="S22" i="2"/>
  <c r="T22" i="2" s="1"/>
  <c r="W330" i="2"/>
  <c r="W272" i="2"/>
  <c r="W255" i="2"/>
  <c r="W232" i="2"/>
  <c r="W211" i="2"/>
  <c r="W194" i="2"/>
  <c r="W136" i="2"/>
  <c r="W113" i="2"/>
  <c r="W98" i="2"/>
  <c r="W75" i="2"/>
  <c r="W58" i="2"/>
  <c r="W38" i="2"/>
  <c r="W17" i="2"/>
  <c r="W250" i="2"/>
  <c r="W130" i="2"/>
  <c r="W66" i="2"/>
  <c r="S66" i="2"/>
  <c r="T66" i="2" s="1"/>
  <c r="W33" i="2"/>
  <c r="S33" i="2"/>
  <c r="T33" i="2" s="1"/>
  <c r="S170" i="2"/>
  <c r="T170" i="2" s="1"/>
  <c r="S194" i="2"/>
  <c r="T194" i="2" s="1"/>
  <c r="W192" i="2"/>
  <c r="W128" i="2"/>
  <c r="S47" i="2"/>
  <c r="T47" i="2" s="1"/>
  <c r="W15" i="2"/>
  <c r="S15" i="2"/>
  <c r="T15" i="2" s="1"/>
  <c r="S2" i="2"/>
  <c r="T2" i="2" s="1"/>
  <c r="S232" i="2"/>
  <c r="T232" i="2" s="1"/>
  <c r="S218" i="2"/>
  <c r="T218" i="2" s="1"/>
  <c r="S168" i="2"/>
  <c r="T168" i="2" s="1"/>
  <c r="S154" i="2"/>
  <c r="T154" i="2" s="1"/>
  <c r="W218" i="2"/>
  <c r="W137" i="2"/>
  <c r="W334" i="2"/>
  <c r="S334" i="2"/>
  <c r="T334" i="2" s="1"/>
  <c r="W326" i="2"/>
  <c r="S326" i="2"/>
  <c r="T326" i="2" s="1"/>
  <c r="S310" i="2"/>
  <c r="T310" i="2" s="1"/>
  <c r="S302" i="2"/>
  <c r="T302" i="2" s="1"/>
  <c r="W302" i="2"/>
  <c r="S294" i="2"/>
  <c r="T294" i="2" s="1"/>
  <c r="W286" i="2"/>
  <c r="S286" i="2"/>
  <c r="T286" i="2" s="1"/>
  <c r="W270" i="2"/>
  <c r="S270" i="2"/>
  <c r="T270" i="2" s="1"/>
  <c r="W262" i="2"/>
  <c r="S262" i="2"/>
  <c r="T262" i="2" s="1"/>
  <c r="S254" i="2"/>
  <c r="T254" i="2" s="1"/>
  <c r="W254" i="2"/>
  <c r="W238" i="2"/>
  <c r="S238" i="2"/>
  <c r="T238" i="2" s="1"/>
  <c r="S230" i="2"/>
  <c r="T230" i="2" s="1"/>
  <c r="W214" i="2"/>
  <c r="S214" i="2"/>
  <c r="T214" i="2" s="1"/>
  <c r="W206" i="2"/>
  <c r="S206" i="2"/>
  <c r="T206" i="2" s="1"/>
  <c r="W198" i="2"/>
  <c r="S198" i="2"/>
  <c r="T198" i="2" s="1"/>
  <c r="W190" i="2"/>
  <c r="S190" i="2"/>
  <c r="T190" i="2" s="1"/>
  <c r="S174" i="2"/>
  <c r="T174" i="2" s="1"/>
  <c r="W166" i="2"/>
  <c r="S166" i="2"/>
  <c r="T166" i="2" s="1"/>
  <c r="W142" i="2"/>
  <c r="S142" i="2"/>
  <c r="T142" i="2" s="1"/>
  <c r="W134" i="2"/>
  <c r="S134" i="2"/>
  <c r="T134" i="2" s="1"/>
  <c r="S126" i="2"/>
  <c r="T126" i="2" s="1"/>
  <c r="W118" i="2"/>
  <c r="S118" i="2"/>
  <c r="T118" i="2" s="1"/>
  <c r="S110" i="2"/>
  <c r="T110" i="2" s="1"/>
  <c r="S102" i="2"/>
  <c r="T102" i="2" s="1"/>
  <c r="S94" i="2"/>
  <c r="T94" i="2" s="1"/>
  <c r="W94" i="2"/>
  <c r="W78" i="2"/>
  <c r="S78" i="2"/>
  <c r="T78" i="2" s="1"/>
  <c r="S45" i="2"/>
  <c r="T45" i="2" s="1"/>
  <c r="W45" i="2"/>
  <c r="S37" i="2"/>
  <c r="T37" i="2" s="1"/>
  <c r="W21" i="2"/>
  <c r="S13" i="2"/>
  <c r="T13" i="2" s="1"/>
  <c r="W5" i="2"/>
  <c r="S5" i="2"/>
  <c r="T5" i="2" s="1"/>
  <c r="S343" i="2"/>
  <c r="T343" i="2" s="1"/>
  <c r="S321" i="2"/>
  <c r="T321" i="2" s="1"/>
  <c r="S311" i="2"/>
  <c r="T311" i="2" s="1"/>
  <c r="S289" i="2"/>
  <c r="T289" i="2" s="1"/>
  <c r="S279" i="2"/>
  <c r="T279" i="2" s="1"/>
  <c r="S266" i="2"/>
  <c r="T266" i="2" s="1"/>
  <c r="S241" i="2"/>
  <c r="T241" i="2" s="1"/>
  <c r="S227" i="2"/>
  <c r="T227" i="2" s="1"/>
  <c r="S216" i="2"/>
  <c r="T216" i="2" s="1"/>
  <c r="S177" i="2"/>
  <c r="T177" i="2" s="1"/>
  <c r="S163" i="2"/>
  <c r="T163" i="2" s="1"/>
  <c r="S138" i="2"/>
  <c r="T138" i="2" s="1"/>
  <c r="S113" i="2"/>
  <c r="T113" i="2" s="1"/>
  <c r="S88" i="2"/>
  <c r="T88" i="2" s="1"/>
  <c r="S72" i="2"/>
  <c r="T72" i="2" s="1"/>
  <c r="S54" i="2"/>
  <c r="T54" i="2" s="1"/>
  <c r="S39" i="2"/>
  <c r="T39" i="2" s="1"/>
  <c r="S21" i="2"/>
  <c r="T21" i="2" s="1"/>
  <c r="W329" i="2"/>
  <c r="W248" i="2"/>
  <c r="W231" i="2"/>
  <c r="W210" i="2"/>
  <c r="W193" i="2"/>
  <c r="W150" i="2"/>
  <c r="W135" i="2"/>
  <c r="W112" i="2"/>
  <c r="W95" i="2"/>
  <c r="W74" i="2"/>
  <c r="W54" i="2"/>
  <c r="W37" i="2"/>
  <c r="W16" i="2"/>
  <c r="W338" i="2"/>
  <c r="W178" i="2"/>
  <c r="W114" i="2"/>
  <c r="W265" i="2"/>
  <c r="S282" i="2"/>
  <c r="T282" i="2" s="1"/>
  <c r="W138" i="2"/>
  <c r="W176" i="2"/>
  <c r="W80" i="2"/>
  <c r="W23" i="2"/>
  <c r="S23" i="2"/>
  <c r="T23" i="2" s="1"/>
  <c r="S281" i="2"/>
  <c r="T281" i="2" s="1"/>
  <c r="S74" i="2"/>
  <c r="T74" i="2" s="1"/>
  <c r="S8" i="2"/>
  <c r="T8" i="2" s="1"/>
  <c r="W273" i="2"/>
  <c r="W120" i="2"/>
  <c r="W317" i="2"/>
  <c r="S317" i="2"/>
  <c r="T317" i="2" s="1"/>
  <c r="S301" i="2"/>
  <c r="T301" i="2" s="1"/>
  <c r="W301" i="2"/>
  <c r="S293" i="2"/>
  <c r="T293" i="2" s="1"/>
  <c r="S277" i="2"/>
  <c r="T277" i="2" s="1"/>
  <c r="W277" i="2"/>
  <c r="S269" i="2"/>
  <c r="T269" i="2" s="1"/>
  <c r="W261" i="2"/>
  <c r="S261" i="2"/>
  <c r="T261" i="2" s="1"/>
  <c r="W253" i="2"/>
  <c r="S253" i="2"/>
  <c r="T253" i="2" s="1"/>
  <c r="S245" i="2"/>
  <c r="T245" i="2" s="1"/>
  <c r="S229" i="2"/>
  <c r="T229" i="2" s="1"/>
  <c r="W229" i="2"/>
  <c r="W213" i="2"/>
  <c r="S213" i="2"/>
  <c r="T213" i="2" s="1"/>
  <c r="W197" i="2"/>
  <c r="S197" i="2"/>
  <c r="T197" i="2" s="1"/>
  <c r="S181" i="2"/>
  <c r="T181" i="2" s="1"/>
  <c r="W181" i="2"/>
  <c r="W165" i="2"/>
  <c r="S165" i="2"/>
  <c r="T165" i="2" s="1"/>
  <c r="S149" i="2"/>
  <c r="T149" i="2" s="1"/>
  <c r="W133" i="2"/>
  <c r="S133" i="2"/>
  <c r="T133" i="2" s="1"/>
  <c r="W117" i="2"/>
  <c r="S117" i="2"/>
  <c r="T117" i="2" s="1"/>
  <c r="S101" i="2"/>
  <c r="T101" i="2" s="1"/>
  <c r="S85" i="2"/>
  <c r="T85" i="2" s="1"/>
  <c r="W69" i="2"/>
  <c r="S69" i="2"/>
  <c r="T69" i="2" s="1"/>
  <c r="W36" i="2"/>
  <c r="S36" i="2"/>
  <c r="T36" i="2" s="1"/>
  <c r="W20" i="2"/>
  <c r="S20" i="2"/>
  <c r="T20" i="2" s="1"/>
  <c r="W4" i="2"/>
  <c r="S4" i="2"/>
  <c r="T4" i="2" s="1"/>
  <c r="S330" i="2"/>
  <c r="T330" i="2" s="1"/>
  <c r="S320" i="2"/>
  <c r="T320" i="2" s="1"/>
  <c r="S265" i="2"/>
  <c r="T265" i="2" s="1"/>
  <c r="S226" i="2"/>
  <c r="T226" i="2" s="1"/>
  <c r="S201" i="2"/>
  <c r="T201" i="2" s="1"/>
  <c r="S176" i="2"/>
  <c r="T176" i="2" s="1"/>
  <c r="S162" i="2"/>
  <c r="T162" i="2" s="1"/>
  <c r="S137" i="2"/>
  <c r="T137" i="2" s="1"/>
  <c r="S123" i="2"/>
  <c r="T123" i="2" s="1"/>
  <c r="S112" i="2"/>
  <c r="T112" i="2" s="1"/>
  <c r="S53" i="2"/>
  <c r="T53" i="2" s="1"/>
  <c r="W2" i="2"/>
  <c r="W328" i="2"/>
  <c r="W305" i="2"/>
  <c r="W267" i="2"/>
  <c r="W247" i="2"/>
  <c r="W230" i="2"/>
  <c r="W186" i="2"/>
  <c r="W171" i="2"/>
  <c r="W149" i="2"/>
  <c r="W131" i="2"/>
  <c r="W111" i="2"/>
  <c r="W90" i="2"/>
  <c r="W73" i="2"/>
  <c r="W53" i="2"/>
  <c r="W13" i="2"/>
  <c r="W322" i="2"/>
  <c r="W274" i="2"/>
  <c r="W82" i="2"/>
  <c r="W122" i="2"/>
  <c r="W153" i="2"/>
  <c r="S65" i="2"/>
  <c r="T65" i="2" s="1"/>
  <c r="W32" i="2"/>
  <c r="W121" i="2"/>
  <c r="W152" i="2"/>
  <c r="W31" i="2"/>
  <c r="S129" i="2"/>
  <c r="T129" i="2" s="1"/>
  <c r="S90" i="2"/>
  <c r="T90" i="2" s="1"/>
  <c r="S333" i="2"/>
  <c r="T333" i="2" s="1"/>
  <c r="W325" i="2"/>
  <c r="S325" i="2"/>
  <c r="T325" i="2" s="1"/>
  <c r="S309" i="2"/>
  <c r="T309" i="2" s="1"/>
  <c r="S285" i="2"/>
  <c r="T285" i="2" s="1"/>
  <c r="S237" i="2"/>
  <c r="T237" i="2" s="1"/>
  <c r="S221" i="2"/>
  <c r="T221" i="2" s="1"/>
  <c r="S205" i="2"/>
  <c r="T205" i="2" s="1"/>
  <c r="W189" i="2"/>
  <c r="S189" i="2"/>
  <c r="T189" i="2" s="1"/>
  <c r="S173" i="2"/>
  <c r="T173" i="2" s="1"/>
  <c r="S157" i="2"/>
  <c r="T157" i="2" s="1"/>
  <c r="S141" i="2"/>
  <c r="T141" i="2" s="1"/>
  <c r="W141" i="2"/>
  <c r="W125" i="2"/>
  <c r="S125" i="2"/>
  <c r="T125" i="2" s="1"/>
  <c r="S109" i="2"/>
  <c r="T109" i="2" s="1"/>
  <c r="S93" i="2"/>
  <c r="T93" i="2" s="1"/>
  <c r="W93" i="2"/>
  <c r="S77" i="2"/>
  <c r="T77" i="2" s="1"/>
  <c r="W61" i="2"/>
  <c r="W44" i="2"/>
  <c r="S44" i="2"/>
  <c r="T44" i="2" s="1"/>
  <c r="W28" i="2"/>
  <c r="S28" i="2"/>
  <c r="T28" i="2" s="1"/>
  <c r="W12" i="2"/>
  <c r="S12" i="2"/>
  <c r="T12" i="2" s="1"/>
  <c r="W324" i="2"/>
  <c r="W308" i="2"/>
  <c r="W292" i="2"/>
  <c r="W284" i="2"/>
  <c r="W276" i="2"/>
  <c r="W260" i="2"/>
  <c r="W236" i="2"/>
  <c r="W228" i="2"/>
  <c r="W220" i="2"/>
  <c r="W212" i="2"/>
  <c r="W188" i="2"/>
  <c r="W164" i="2"/>
  <c r="S339" i="2"/>
  <c r="T339" i="2" s="1"/>
  <c r="S329" i="2"/>
  <c r="T329" i="2" s="1"/>
  <c r="S319" i="2"/>
  <c r="T319" i="2" s="1"/>
  <c r="S307" i="2"/>
  <c r="T307" i="2" s="1"/>
  <c r="S287" i="2"/>
  <c r="T287" i="2" s="1"/>
  <c r="S264" i="2"/>
  <c r="T264" i="2" s="1"/>
  <c r="S250" i="2"/>
  <c r="T250" i="2" s="1"/>
  <c r="S236" i="2"/>
  <c r="T236" i="2" s="1"/>
  <c r="S211" i="2"/>
  <c r="T211" i="2" s="1"/>
  <c r="S200" i="2"/>
  <c r="T200" i="2" s="1"/>
  <c r="S186" i="2"/>
  <c r="T186" i="2" s="1"/>
  <c r="S172" i="2"/>
  <c r="T172" i="2" s="1"/>
  <c r="S161" i="2"/>
  <c r="T161" i="2" s="1"/>
  <c r="S147" i="2"/>
  <c r="T147" i="2" s="1"/>
  <c r="S136" i="2"/>
  <c r="T136" i="2" s="1"/>
  <c r="S97" i="2"/>
  <c r="T97" i="2" s="1"/>
  <c r="S83" i="2"/>
  <c r="T83" i="2" s="1"/>
  <c r="S70" i="2"/>
  <c r="T70" i="2" s="1"/>
  <c r="S50" i="2"/>
  <c r="T50" i="2" s="1"/>
  <c r="S32" i="2"/>
  <c r="T32" i="2" s="1"/>
  <c r="S17" i="2"/>
  <c r="T17" i="2" s="1"/>
  <c r="W342" i="2"/>
  <c r="W321" i="2"/>
  <c r="W304" i="2"/>
  <c r="W283" i="2"/>
  <c r="W266" i="2"/>
  <c r="W246" i="2"/>
  <c r="W223" i="2"/>
  <c r="W185" i="2"/>
  <c r="W168" i="2"/>
  <c r="W147" i="2"/>
  <c r="W127" i="2"/>
  <c r="W110" i="2"/>
  <c r="W89" i="2"/>
  <c r="W49" i="2"/>
  <c r="W29" i="2"/>
  <c r="W298" i="2"/>
  <c r="W202" i="2"/>
  <c r="W9" i="2"/>
  <c r="S106" i="2"/>
  <c r="T106" i="2" s="1"/>
  <c r="W313" i="2"/>
  <c r="W297" i="2"/>
  <c r="W225" i="2"/>
  <c r="W57" i="2"/>
  <c r="S57" i="2"/>
  <c r="T57" i="2" s="1"/>
  <c r="S233" i="2"/>
  <c r="T233" i="2" s="1"/>
  <c r="S9" i="2"/>
  <c r="T9" i="2" s="1"/>
  <c r="W344" i="2"/>
  <c r="W336" i="2"/>
  <c r="W312" i="2"/>
  <c r="W288" i="2"/>
  <c r="W240" i="2"/>
  <c r="W224" i="2"/>
  <c r="W104" i="2"/>
  <c r="W56" i="2"/>
  <c r="S56" i="2"/>
  <c r="T56" i="2" s="1"/>
  <c r="W7" i="2"/>
  <c r="S257" i="2"/>
  <c r="T257" i="2" s="1"/>
  <c r="S193" i="2"/>
  <c r="T193" i="2" s="1"/>
  <c r="S41" i="2"/>
  <c r="T41" i="2" s="1"/>
  <c r="W256" i="2"/>
  <c r="W323" i="2"/>
  <c r="W299" i="2"/>
  <c r="W275" i="2"/>
  <c r="W251" i="2"/>
  <c r="W203" i="2"/>
  <c r="W187" i="2"/>
  <c r="W155" i="2"/>
  <c r="W139" i="2"/>
  <c r="W115" i="2"/>
  <c r="W91" i="2"/>
  <c r="S67" i="2"/>
  <c r="T67" i="2" s="1"/>
  <c r="W67" i="2"/>
  <c r="W59" i="2"/>
  <c r="S59" i="2"/>
  <c r="T59" i="2" s="1"/>
  <c r="S51" i="2"/>
  <c r="T51" i="2" s="1"/>
  <c r="W51" i="2"/>
  <c r="W42" i="2"/>
  <c r="S34" i="2"/>
  <c r="T34" i="2" s="1"/>
  <c r="W34" i="2"/>
  <c r="W18" i="2"/>
  <c r="S338" i="2"/>
  <c r="T338" i="2" s="1"/>
  <c r="S316" i="2"/>
  <c r="T316" i="2" s="1"/>
  <c r="S306" i="2"/>
  <c r="T306" i="2" s="1"/>
  <c r="S274" i="2"/>
  <c r="T274" i="2" s="1"/>
  <c r="S249" i="2"/>
  <c r="T249" i="2" s="1"/>
  <c r="S235" i="2"/>
  <c r="T235" i="2" s="1"/>
  <c r="S224" i="2"/>
  <c r="T224" i="2" s="1"/>
  <c r="S210" i="2"/>
  <c r="T210" i="2" s="1"/>
  <c r="S185" i="2"/>
  <c r="T185" i="2" s="1"/>
  <c r="S160" i="2"/>
  <c r="T160" i="2" s="1"/>
  <c r="S146" i="2"/>
  <c r="T146" i="2" s="1"/>
  <c r="S107" i="2"/>
  <c r="T107" i="2" s="1"/>
  <c r="S96" i="2"/>
  <c r="T96" i="2" s="1"/>
  <c r="S82" i="2"/>
  <c r="T82" i="2" s="1"/>
  <c r="S64" i="2"/>
  <c r="T64" i="2" s="1"/>
  <c r="S31" i="2"/>
  <c r="T31" i="2" s="1"/>
  <c r="S16" i="2"/>
  <c r="T16" i="2" s="1"/>
  <c r="W341" i="2"/>
  <c r="W320" i="2"/>
  <c r="W303" i="2"/>
  <c r="W245" i="2"/>
  <c r="W222" i="2"/>
  <c r="W205" i="2"/>
  <c r="W184" i="2"/>
  <c r="W163" i="2"/>
  <c r="W146" i="2"/>
  <c r="W126" i="2"/>
  <c r="W109" i="2"/>
  <c r="W86" i="2"/>
  <c r="W65" i="2"/>
  <c r="W10" i="2"/>
  <c r="W156" i="2"/>
  <c r="W100" i="2"/>
  <c r="W92" i="2"/>
  <c r="W76" i="2"/>
  <c r="S76" i="2"/>
  <c r="T76" i="2" s="1"/>
  <c r="W68" i="2"/>
  <c r="S68" i="2"/>
  <c r="T68" i="2" s="1"/>
  <c r="W60" i="2"/>
  <c r="S60" i="2"/>
  <c r="T60" i="2" s="1"/>
  <c r="W52" i="2"/>
  <c r="S52" i="2"/>
  <c r="T52" i="2" s="1"/>
  <c r="S27" i="2"/>
  <c r="T27" i="2" s="1"/>
  <c r="S19" i="2"/>
  <c r="T19" i="2" s="1"/>
  <c r="W3" i="2"/>
  <c r="S3" i="2"/>
  <c r="T3" i="2" s="1"/>
  <c r="W43" i="2"/>
  <c r="AL22" i="2"/>
  <c r="AL23" i="2"/>
  <c r="AL6" i="2"/>
  <c r="AJ14" i="2" l="1"/>
  <c r="AG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7AA5C1-83EB-474E-9FBB-1A9E746179A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B89B167-16AC-41A6-905F-4B9499D70AAB}"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<sst xmlns="http://schemas.openxmlformats.org/spreadsheetml/2006/main" count="7903" uniqueCount="2185">
  <si>
    <t>HR Employee Practice Dataset — Data Analyst Exercises</t>
  </si>
  <si>
    <t>350+ employee records with realistic HR-data messiness across 3 sheets. Work through the tasks in order.</t>
  </si>
  <si>
    <t>1. Data Cleaning</t>
  </si>
  <si>
    <t>☐  Split Employee Name into First Name / Last Name — note some are 'Last, First' and some are 'First Last', so a single fixed-position split won't work for all rows. Try TEXTBEFORE/TEXTAFTER logic with LEFT/RIGHT/FIND, or a nested IF that checks for a comma first.</t>
  </si>
  <si>
    <t>☐  Standardize Gender to just 'Male' / 'Female' — currently mixed as M/F/male/female/Male/Female.</t>
  </si>
  <si>
    <t>☐  Standardize Department using the Lookup_Tables directory (some rows say 'HR', some 'Human Resources', some 'human resources', etc. — all the same department).</t>
  </si>
  <si>
    <t>☐  Clean Monthly Salary — strip ₹ and 'Rs.' prefixes and thousands commas, convert everything to a plain number, and decide how to handle blanks.</t>
  </si>
  <si>
    <t>☐  Clean Email — trim stray whitespace, and flag/fix addresses missing the '.' in the domain (e.g., '@companycom').</t>
  </si>
  <si>
    <t>☐  Clean Phone — some numbers include a +91- prefix, some have a space, some are only 8 digits (incomplete/invalid). Standardize a valid 10-digit format and flag the incomplete ones.</t>
  </si>
  <si>
    <t>☐  Fix Leave Balance — some values are negative, which shouldn't be possible. Decide whether to clip to 0 or flag those rows for HR review.</t>
  </si>
  <si>
    <t>☐  Remove exact duplicate employee rows.</t>
  </si>
  <si>
    <t>2. Core Formulas</t>
  </si>
  <si>
    <t>☐  Use LEN, FIND, LEFT, MID, RIGHT (or TEXTSPLIT-style logic with FIND) to fully separate cleaned Employee Name into First Name and Last Name columns.</t>
  </si>
  <si>
    <t>☐  Use DATEDIF to calculate each employee's Tenure in years and months from Date of Joining (use TODAY() if Date of Exit is blank/'Still Employed', otherwise use the actual exit date).</t>
  </si>
  <si>
    <t>☐  Add an Employment Status column: 'Active' if Date of Exit is blank/'Still Employed'/'N/A', otherwise 'Exited' — using IF/OR logic.</t>
  </si>
  <si>
    <t>☐  Standardize Performance Rating to one consistent scale (numeric 1-5) using the Lookup_Tables mapping and INDEX/MATCH, since the column currently mixes numbers and text labels.</t>
  </si>
  <si>
    <t>☐  Use INDEX/MATCH to pull each employee's Manager name from Lookup_Tables based on Dept Code.</t>
  </si>
  <si>
    <t>☐  Use COUNTIFS/AVERAGEIFS to answer: headcount by Department, average tenure by Department, count of employees with Performance Rating of 5 (or 'Excellent') per Department.</t>
  </si>
  <si>
    <t>☐  Wrap risky lookups in IFERROR so any mismatched Dept Code shows a clear label instead of #N/A.</t>
  </si>
  <si>
    <t>3. PivotTables</t>
  </si>
  <si>
    <t>☐  Build a PivotTable: Headcount (Count of Employee ID) by Department and Gender.</t>
  </si>
  <si>
    <t>☐  Build a PivotTable: Average Monthly Salary by Department, sorted Largest to Smallest.</t>
  </si>
  <si>
    <t>☐  Group Date of Joining by Year in a PivotTable to see hiring trend over time.</t>
  </si>
  <si>
    <t>☐  Add a slicer for Department and Employment Status to filter interactively.</t>
  </si>
  <si>
    <t>☐  Build a PivotTable showing attrition: count of 'Exited' employees by Department and by Year of exit.</t>
  </si>
  <si>
    <t>4. Dashboard / Stretch Goals</t>
  </si>
  <si>
    <t>☐  Build a dashboard sheet with KPI cards: Total Headcount, Active Employees, Attrition Rate, Average Tenure.</t>
  </si>
  <si>
    <t>☐  Add charts: headcount by department (bar), gender split (pie/donut), hiring trend over time (line).</t>
  </si>
  <si>
    <t>☐  Replace static PivotTable numbers on the dashboard with live COUNTIFS/AVERAGEIFS formulas pointing straight at Raw_Employee_Data.</t>
  </si>
  <si>
    <t>☐  Add Data Validation dropdowns on Department and Gender so new rows can't introduce new spelling variants.</t>
  </si>
  <si>
    <t>☐  Use Conditional Formatting to flag: negative Leave Balance, incomplete phone numbers, and any Performance Rating of 1/'Poor'.</t>
  </si>
  <si>
    <t>Tip: the Employee Name split is the trickiest part — the two different name formats mean you can't rely on a single FIND position for every row. Test your formula on both formats before dragging it down the whole column.</t>
  </si>
  <si>
    <t>Employee ID</t>
  </si>
  <si>
    <t>Employee Name</t>
  </si>
  <si>
    <t>Gender</t>
  </si>
  <si>
    <t>Department</t>
  </si>
  <si>
    <t>Dept Code</t>
  </si>
  <si>
    <t>City</t>
  </si>
  <si>
    <t>Email</t>
  </si>
  <si>
    <t>Phone</t>
  </si>
  <si>
    <t>Date of Joining</t>
  </si>
  <si>
    <t>Date of Exit</t>
  </si>
  <si>
    <t>Monthly Salary</t>
  </si>
  <si>
    <t>Performance Rating</t>
  </si>
  <si>
    <t>Leave Balance</t>
  </si>
  <si>
    <t>Rajesh  Trivedi</t>
  </si>
  <si>
    <t>D06</t>
  </si>
  <si>
    <t>Mumbai</t>
  </si>
  <si>
    <t>rajesh.trivedi@company.com</t>
  </si>
  <si>
    <t>2018-08-03</t>
  </si>
  <si>
    <t>₹159,086</t>
  </si>
  <si>
    <t>Excellent</t>
  </si>
  <si>
    <t>Pooja Trivedi</t>
  </si>
  <si>
    <t>Finance</t>
  </si>
  <si>
    <t>D05</t>
  </si>
  <si>
    <t>Kolkata</t>
  </si>
  <si>
    <t>pooja.trivedi@company.com</t>
  </si>
  <si>
    <t>3302610219</t>
  </si>
  <si>
    <t>2020-06-18</t>
  </si>
  <si>
    <t>Rs. 89,883</t>
  </si>
  <si>
    <t>Rajesh  Shah</t>
  </si>
  <si>
    <t>Female</t>
  </si>
  <si>
    <t>Bengaluru</t>
  </si>
  <si>
    <t>rajesh.shah@company.com</t>
  </si>
  <si>
    <t>2019-04-08</t>
  </si>
  <si>
    <t>2024-03-06</t>
  </si>
  <si>
    <t>Rs. 62,467</t>
  </si>
  <si>
    <t>Varun  Shah</t>
  </si>
  <si>
    <t>Male</t>
  </si>
  <si>
    <t>D04</t>
  </si>
  <si>
    <t>Ahmedabad</t>
  </si>
  <si>
    <t>varun.shah@company.com</t>
  </si>
  <si>
    <t>72286286</t>
  </si>
  <si>
    <t>2023-08-04</t>
  </si>
  <si>
    <t>Jun 30, 2025</t>
  </si>
  <si>
    <t>amit naidu</t>
  </si>
  <si>
    <t>D01</t>
  </si>
  <si>
    <t>Pune</t>
  </si>
  <si>
    <t>amitnaidu@companycom</t>
  </si>
  <si>
    <t>95044801</t>
  </si>
  <si>
    <t>2020-11-29</t>
  </si>
  <si>
    <t>30/04/2025</t>
  </si>
  <si>
    <t>Rs. 162,965</t>
  </si>
  <si>
    <t>Arjun  Mehta</t>
  </si>
  <si>
    <t>female</t>
  </si>
  <si>
    <t>Chennai</t>
  </si>
  <si>
    <t>arjun.mehta@company.com</t>
  </si>
  <si>
    <t>28953756</t>
  </si>
  <si>
    <t>2022-09-17</t>
  </si>
  <si>
    <t>Below Average</t>
  </si>
  <si>
    <t>Priya Kapoor</t>
  </si>
  <si>
    <t>D02</t>
  </si>
  <si>
    <t>priya.kapoor@company.com</t>
  </si>
  <si>
    <t>47620 20274</t>
  </si>
  <si>
    <t>2020-04-27</t>
  </si>
  <si>
    <t>Average</t>
  </si>
  <si>
    <t>Meenal Pillai</t>
  </si>
  <si>
    <t>meenal.pillai@company.com</t>
  </si>
  <si>
    <t>4819825539</t>
  </si>
  <si>
    <t>2023-04-20</t>
  </si>
  <si>
    <t>Yash  Desai</t>
  </si>
  <si>
    <t>yash.desai@company.com</t>
  </si>
  <si>
    <t>+91-4763237185</t>
  </si>
  <si>
    <t>2024-03-10</t>
  </si>
  <si>
    <t>Rohan Kapoor</t>
  </si>
  <si>
    <t>rohankapoor@companycom</t>
  </si>
  <si>
    <t>4301540486</t>
  </si>
  <si>
    <t>2022-03-17</t>
  </si>
  <si>
    <t>30/06/2025</t>
  </si>
  <si>
    <t>Yash Verma</t>
  </si>
  <si>
    <t>Delhi</t>
  </si>
  <si>
    <t>yash.verma@company.com</t>
  </si>
  <si>
    <t>63588 14765</t>
  </si>
  <si>
    <t>2021-11-23</t>
  </si>
  <si>
    <t>Still Employed</t>
  </si>
  <si>
    <t>₹130,511</t>
  </si>
  <si>
    <t>VIKRAM JOSHI</t>
  </si>
  <si>
    <t>vikram.joshi@company.com</t>
  </si>
  <si>
    <t>0084745378</t>
  </si>
  <si>
    <t>2019-02-12</t>
  </si>
  <si>
    <t>₹85,253</t>
  </si>
  <si>
    <t>Saxena, Kirti</t>
  </si>
  <si>
    <t>Sales</t>
  </si>
  <si>
    <t>kirti.saxena@company.com</t>
  </si>
  <si>
    <t>+91-1004281152</t>
  </si>
  <si>
    <t>2021-05-13</t>
  </si>
  <si>
    <t>N/A</t>
  </si>
  <si>
    <t>Good</t>
  </si>
  <si>
    <t>Rao, Tanvi</t>
  </si>
  <si>
    <t>tanvi.rao@company.com</t>
  </si>
  <si>
    <t>80467 74548</t>
  </si>
  <si>
    <t>2020-02-20</t>
  </si>
  <si>
    <t>Arjun Desai</t>
  </si>
  <si>
    <t>Marketing</t>
  </si>
  <si>
    <t>arjun.desai@company.com</t>
  </si>
  <si>
    <t>+91-7675703548</t>
  </si>
  <si>
    <t>2022-08-27</t>
  </si>
  <si>
    <t>₹137,736</t>
  </si>
  <si>
    <t>isha rao</t>
  </si>
  <si>
    <t>Human Resources</t>
  </si>
  <si>
    <t>D03</t>
  </si>
  <si>
    <t xml:space="preserve">isha.rao@company.com </t>
  </si>
  <si>
    <t>9742803407</t>
  </si>
  <si>
    <t>2022-03-24</t>
  </si>
  <si>
    <t>Poor</t>
  </si>
  <si>
    <t>Tanvi Menon</t>
  </si>
  <si>
    <t>tanvi.menon@company.com</t>
  </si>
  <si>
    <t>+91-0838728322</t>
  </si>
  <si>
    <t>2018-03-13</t>
  </si>
  <si>
    <t>2021-10-12</t>
  </si>
  <si>
    <t>Kavya Naidu</t>
  </si>
  <si>
    <t>Engineering</t>
  </si>
  <si>
    <t>kavya.naidu@company.com</t>
  </si>
  <si>
    <t>1533142044</t>
  </si>
  <si>
    <t>2020-01-04</t>
  </si>
  <si>
    <t>Varun Rao</t>
  </si>
  <si>
    <t>varun.rao@company.com</t>
  </si>
  <si>
    <t>4907969025</t>
  </si>
  <si>
    <t>2019-04-26</t>
  </si>
  <si>
    <t>Rs. 171,338</t>
  </si>
  <si>
    <t>Reddy, Deepak</t>
  </si>
  <si>
    <t>deepakreddy@companycom</t>
  </si>
  <si>
    <t>4293557591</t>
  </si>
  <si>
    <t>2020-10-25</t>
  </si>
  <si>
    <t>69,788</t>
  </si>
  <si>
    <t>Kirti Iyer</t>
  </si>
  <si>
    <t>kirti.iyer@company.com</t>
  </si>
  <si>
    <t>3326596442</t>
  </si>
  <si>
    <t>2021-08-03</t>
  </si>
  <si>
    <t>Manish  Trivedi</t>
  </si>
  <si>
    <t>manish.trivedi@company.com</t>
  </si>
  <si>
    <t>+91-1825477549</t>
  </si>
  <si>
    <t>2022-05-19</t>
  </si>
  <si>
    <t>Rs. 157,049</t>
  </si>
  <si>
    <t>Naidu, Kavya</t>
  </si>
  <si>
    <t>Hyderabad</t>
  </si>
  <si>
    <t>7175635077</t>
  </si>
  <si>
    <t>2023-10-19</t>
  </si>
  <si>
    <t>₹68,179</t>
  </si>
  <si>
    <t>Anita Trivedi</t>
  </si>
  <si>
    <t>anita.trivedi@company.com</t>
  </si>
  <si>
    <t>5604428899</t>
  </si>
  <si>
    <t>2021-02-04</t>
  </si>
  <si>
    <t>Mehta, Isha</t>
  </si>
  <si>
    <t xml:space="preserve">isha.mehta@company.com </t>
  </si>
  <si>
    <t>2024-01-31</t>
  </si>
  <si>
    <t>Oct 10, 2024</t>
  </si>
  <si>
    <t>Desai, Anita</t>
  </si>
  <si>
    <t>anita.desai@company.com</t>
  </si>
  <si>
    <t>5974426531</t>
  </si>
  <si>
    <t>2020-10-12</t>
  </si>
  <si>
    <t>KARTHIK BHATT</t>
  </si>
  <si>
    <t>karthik.bhatt@company.com</t>
  </si>
  <si>
    <t>7774951879</t>
  </si>
  <si>
    <t>2019-10-20</t>
  </si>
  <si>
    <t>₹118,429</t>
  </si>
  <si>
    <t>Anjali Saxena</t>
  </si>
  <si>
    <t>anjali.saxena@company.com</t>
  </si>
  <si>
    <t>2018-11-07</t>
  </si>
  <si>
    <t>Shah, Rahul</t>
  </si>
  <si>
    <t>rahul.shah@company.com</t>
  </si>
  <si>
    <t>66266 62039</t>
  </si>
  <si>
    <t>2024-02-07</t>
  </si>
  <si>
    <t>142,576</t>
  </si>
  <si>
    <t>Deepak Desai</t>
  </si>
  <si>
    <t>deepak.desai@company.com</t>
  </si>
  <si>
    <t>0518215638</t>
  </si>
  <si>
    <t>2024-04-17</t>
  </si>
  <si>
    <t>ANITA AGARWAL</t>
  </si>
  <si>
    <t>anita.agarwal@company.com</t>
  </si>
  <si>
    <t>2704534577</t>
  </si>
  <si>
    <t>2023-04-07</t>
  </si>
  <si>
    <t>Rs. 105,103</t>
  </si>
  <si>
    <t>Suresh Bose</t>
  </si>
  <si>
    <t>suresh.bose@company.com</t>
  </si>
  <si>
    <t>5667552288</t>
  </si>
  <si>
    <t>2021-06-11</t>
  </si>
  <si>
    <t>Rs. 65,888</t>
  </si>
  <si>
    <t>Sneha  Bose</t>
  </si>
  <si>
    <t>Customer Support</t>
  </si>
  <si>
    <t>sneha.bose@company.com</t>
  </si>
  <si>
    <t>+91-4992191641</t>
  </si>
  <si>
    <t>2022-05-21</t>
  </si>
  <si>
    <t>Rahul Bose</t>
  </si>
  <si>
    <t>rahul.bose@company.com</t>
  </si>
  <si>
    <t>+91-3209290012</t>
  </si>
  <si>
    <t>2021-12-18</t>
  </si>
  <si>
    <t>₹158,915</t>
  </si>
  <si>
    <t>Kirti Naidu</t>
  </si>
  <si>
    <t>56915 55422</t>
  </si>
  <si>
    <t>2022-02-21</t>
  </si>
  <si>
    <t>Varun Verma</t>
  </si>
  <si>
    <t>varun.verma@company.com</t>
  </si>
  <si>
    <t>6626220139</t>
  </si>
  <si>
    <t>2020-05-07</t>
  </si>
  <si>
    <t>85,616</t>
  </si>
  <si>
    <t>Simran Pillai</t>
  </si>
  <si>
    <t>simran.pillai@company.com</t>
  </si>
  <si>
    <t>2227918058</t>
  </si>
  <si>
    <t>2023-12-19</t>
  </si>
  <si>
    <t>150,376</t>
  </si>
  <si>
    <t>Iyer, Rahul</t>
  </si>
  <si>
    <t>rahul.iyer@company.com</t>
  </si>
  <si>
    <t>+91-5902551109</t>
  </si>
  <si>
    <t>2020-07-30</t>
  </si>
  <si>
    <t>AARAV MENON</t>
  </si>
  <si>
    <t>aarav.menon@company.com</t>
  </si>
  <si>
    <t>7080061465</t>
  </si>
  <si>
    <t>2023-12-05</t>
  </si>
  <si>
    <t>₹51,124</t>
  </si>
  <si>
    <t>Iyer, Varun</t>
  </si>
  <si>
    <t>varun.iyer@company.com</t>
  </si>
  <si>
    <t>58649208</t>
  </si>
  <si>
    <t>2020-12-03</t>
  </si>
  <si>
    <t>Priya Gupta</t>
  </si>
  <si>
    <t>priya.gupta@company.com</t>
  </si>
  <si>
    <t>+91-7387389189</t>
  </si>
  <si>
    <t>2020-06-25</t>
  </si>
  <si>
    <t>May 25, 2022</t>
  </si>
  <si>
    <t>59,894</t>
  </si>
  <si>
    <t>DIVYA MEHTA</t>
  </si>
  <si>
    <t>divya.mehta@company.com</t>
  </si>
  <si>
    <t>93487 92346</t>
  </si>
  <si>
    <t>2023-04-17</t>
  </si>
  <si>
    <t>₹111,579</t>
  </si>
  <si>
    <t>Menon, Anjali</t>
  </si>
  <si>
    <t>anjali.menon@company.com</t>
  </si>
  <si>
    <t>+91-4718713264</t>
  </si>
  <si>
    <t>2024-05-25</t>
  </si>
  <si>
    <t>Agarwal, Divya</t>
  </si>
  <si>
    <t xml:space="preserve">divya.agarwal@company.com </t>
  </si>
  <si>
    <t>1387837576</t>
  </si>
  <si>
    <t>2020-12-01</t>
  </si>
  <si>
    <t>Bose, Kirti</t>
  </si>
  <si>
    <t>kirti.bose@company.com</t>
  </si>
  <si>
    <t>2020-02-08</t>
  </si>
  <si>
    <t>Rs. 35,031</t>
  </si>
  <si>
    <t>NEHA TRIVEDI</t>
  </si>
  <si>
    <t>6055319088</t>
  </si>
  <si>
    <t>2023-04-05</t>
  </si>
  <si>
    <t>Rs. 43,300</t>
  </si>
  <si>
    <t>Sanjay Naidu</t>
  </si>
  <si>
    <t>sanjay.naidu@company.com</t>
  </si>
  <si>
    <t>+91-3276945298</t>
  </si>
  <si>
    <t>2023-10-28</t>
  </si>
  <si>
    <t>₹63,712</t>
  </si>
  <si>
    <t>AMIT CHOPRA</t>
  </si>
  <si>
    <t>amit.chopra@company.com</t>
  </si>
  <si>
    <t>13198 00199</t>
  </si>
  <si>
    <t>2020-09-17</t>
  </si>
  <si>
    <t>Vikram Rao</t>
  </si>
  <si>
    <t>vikram.rao@company.com</t>
  </si>
  <si>
    <t>3294168973</t>
  </si>
  <si>
    <t>2019-11-04</t>
  </si>
  <si>
    <t>Anjali  Naidu</t>
  </si>
  <si>
    <t>anjali.naidu@company.com</t>
  </si>
  <si>
    <t>54699940</t>
  </si>
  <si>
    <t>2023-11-06</t>
  </si>
  <si>
    <t>Nikhil  Rao</t>
  </si>
  <si>
    <t>nikhil.rao@company.com</t>
  </si>
  <si>
    <t>9205983997</t>
  </si>
  <si>
    <t>2023-06-08</t>
  </si>
  <si>
    <t>Menon, Sneha</t>
  </si>
  <si>
    <t>sneha.menon@company.com</t>
  </si>
  <si>
    <t>78891 48654</t>
  </si>
  <si>
    <t>Rs. 65,167</t>
  </si>
  <si>
    <t>Priya Desai</t>
  </si>
  <si>
    <t>priya.desai@company.com</t>
  </si>
  <si>
    <t>+91-2967000891</t>
  </si>
  <si>
    <t>2021-05-06</t>
  </si>
  <si>
    <t>Rs. 154,270</t>
  </si>
  <si>
    <t>Divya Shah</t>
  </si>
  <si>
    <t>divya.shah@company.com</t>
  </si>
  <si>
    <t>0789077095</t>
  </si>
  <si>
    <t>2020-01-07</t>
  </si>
  <si>
    <t>16/12/2024</t>
  </si>
  <si>
    <t xml:space="preserve">varun.mehta@company.com </t>
  </si>
  <si>
    <t>7889322584</t>
  </si>
  <si>
    <t>2023-11-22</t>
  </si>
  <si>
    <t>+91-1755306313</t>
  </si>
  <si>
    <t>Simran Saxena</t>
  </si>
  <si>
    <t>simransaxena@companycom</t>
  </si>
  <si>
    <t>2985186010</t>
  </si>
  <si>
    <t>2018-06-19</t>
  </si>
  <si>
    <t>62,214</t>
  </si>
  <si>
    <t>Sneha Bose</t>
  </si>
  <si>
    <t>2019-07-04</t>
  </si>
  <si>
    <t>Neha Kulkarni</t>
  </si>
  <si>
    <t>neha.kulkarni@company.com</t>
  </si>
  <si>
    <t>6261635458</t>
  </si>
  <si>
    <t>2020-06-29</t>
  </si>
  <si>
    <t>Verma, Meenal</t>
  </si>
  <si>
    <t>meenal.verma@company.com</t>
  </si>
  <si>
    <t>2048050183</t>
  </si>
  <si>
    <t>2019-03-11</t>
  </si>
  <si>
    <t>78,506</t>
  </si>
  <si>
    <t>Yash Mehta</t>
  </si>
  <si>
    <t>yash.mehta@company.com</t>
  </si>
  <si>
    <t>93481 56758</t>
  </si>
  <si>
    <t>2021-07-28</t>
  </si>
  <si>
    <t>Reddy, Rahul</t>
  </si>
  <si>
    <t>rahul.reddy@company.com</t>
  </si>
  <si>
    <t>60787 38212</t>
  </si>
  <si>
    <t>2022-03-16</t>
  </si>
  <si>
    <t>2023-01-09</t>
  </si>
  <si>
    <t>Desai, Amit</t>
  </si>
  <si>
    <t>amit.desai@company.com</t>
  </si>
  <si>
    <t>5925778201</t>
  </si>
  <si>
    <t>2019-04-01</t>
  </si>
  <si>
    <t>aarav chopra</t>
  </si>
  <si>
    <t>aarav.chopra@company.com</t>
  </si>
  <si>
    <t>0406145908</t>
  </si>
  <si>
    <t>2020-08-29</t>
  </si>
  <si>
    <t>Rs. 61,400</t>
  </si>
  <si>
    <t>Bhatt, Kavya</t>
  </si>
  <si>
    <t>kavya.bhatt@company.com</t>
  </si>
  <si>
    <t>2672567281</t>
  </si>
  <si>
    <t>2019-03-17</t>
  </si>
  <si>
    <t>Manish Pillai</t>
  </si>
  <si>
    <t>manish.pillai@company.com</t>
  </si>
  <si>
    <t>3019659265</t>
  </si>
  <si>
    <t>2020-03-25</t>
  </si>
  <si>
    <t>Meenal  Bhatt</t>
  </si>
  <si>
    <t>meenal.bhatt@company.com</t>
  </si>
  <si>
    <t>61304 45166</t>
  </si>
  <si>
    <t>2021-11-09</t>
  </si>
  <si>
    <t>Varun  Bose</t>
  </si>
  <si>
    <t>varun.bose@company.com</t>
  </si>
  <si>
    <t>8682889093</t>
  </si>
  <si>
    <t>2019-09-05</t>
  </si>
  <si>
    <t>Amit Rao</t>
  </si>
  <si>
    <t>amit.rao@company.com</t>
  </si>
  <si>
    <t>+91-9063050093</t>
  </si>
  <si>
    <t>2022-05-25</t>
  </si>
  <si>
    <t>Rs. 85,238</t>
  </si>
  <si>
    <t>Kavya Desai</t>
  </si>
  <si>
    <t>kavya.desai@company.com</t>
  </si>
  <si>
    <t>7700673992</t>
  </si>
  <si>
    <t>2020-09-24</t>
  </si>
  <si>
    <t>Pillai, Anita</t>
  </si>
  <si>
    <t>anita.pillai@company.com</t>
  </si>
  <si>
    <t>11637 26516</t>
  </si>
  <si>
    <t>2023-04-10</t>
  </si>
  <si>
    <t>Rs. 35,500</t>
  </si>
  <si>
    <t>Chopra, Aarav</t>
  </si>
  <si>
    <t>2023-12-08</t>
  </si>
  <si>
    <t>Reddy, Sanjay</t>
  </si>
  <si>
    <t>5998920813</t>
  </si>
  <si>
    <t>2019-08-21</t>
  </si>
  <si>
    <t>HR</t>
  </si>
  <si>
    <t>varun.reddy@company.com</t>
  </si>
  <si>
    <t>27480798</t>
  </si>
  <si>
    <t>2022-01-13</t>
  </si>
  <si>
    <t>Naidu, Shreya</t>
  </si>
  <si>
    <t xml:space="preserve">shreya.naidu@company.com </t>
  </si>
  <si>
    <t>Sneha Kulkarni</t>
  </si>
  <si>
    <t>sneha.kulkarni@company.com</t>
  </si>
  <si>
    <t>6537400165</t>
  </si>
  <si>
    <t>2021-03-14</t>
  </si>
  <si>
    <t>₹42,887</t>
  </si>
  <si>
    <t>Pooja Shah</t>
  </si>
  <si>
    <t>pooja.shah@company.com</t>
  </si>
  <si>
    <t>16957 22008</t>
  </si>
  <si>
    <t>2022-05-20</t>
  </si>
  <si>
    <t>Rahul Mehta</t>
  </si>
  <si>
    <t>rahul.mehta@company.com</t>
  </si>
  <si>
    <t>87838483</t>
  </si>
  <si>
    <t>2018-09-17</t>
  </si>
  <si>
    <t>Rs. 167,527</t>
  </si>
  <si>
    <t>Sanjay Shah</t>
  </si>
  <si>
    <t>sanjay.shah@company.com</t>
  </si>
  <si>
    <t>79647 00595</t>
  </si>
  <si>
    <t>2019-12-16</t>
  </si>
  <si>
    <t>rajesh verma</t>
  </si>
  <si>
    <t>50117 08617</t>
  </si>
  <si>
    <t>2021-07-04</t>
  </si>
  <si>
    <t>Kapoor, Anita</t>
  </si>
  <si>
    <t xml:space="preserve">anita.kapoor@company.com </t>
  </si>
  <si>
    <t>+91-5365629799</t>
  </si>
  <si>
    <t>2022-08-16</t>
  </si>
  <si>
    <t>36,368</t>
  </si>
  <si>
    <t>Ritu Kapoor</t>
  </si>
  <si>
    <t>ritukapoor@companycom</t>
  </si>
  <si>
    <t>+91-0342366712</t>
  </si>
  <si>
    <t>2022-04-30</t>
  </si>
  <si>
    <t>2024-10-06</t>
  </si>
  <si>
    <t>Rs. 156,030</t>
  </si>
  <si>
    <t>Karthik Shah</t>
  </si>
  <si>
    <t>karthikshah@companycom</t>
  </si>
  <si>
    <t>+91-8456370435</t>
  </si>
  <si>
    <t>2019-04-04</t>
  </si>
  <si>
    <t>Nov 13, 2023</t>
  </si>
  <si>
    <t>Shah, Manish</t>
  </si>
  <si>
    <t>manishshah@companycom</t>
  </si>
  <si>
    <t>2507469471</t>
  </si>
  <si>
    <t>2022-12-06</t>
  </si>
  <si>
    <t>₹93,431</t>
  </si>
  <si>
    <t>suresh saxena</t>
  </si>
  <si>
    <t>suresh.saxena@company.com</t>
  </si>
  <si>
    <t>+91-6450241555</t>
  </si>
  <si>
    <t>2019-02-04</t>
  </si>
  <si>
    <t>MEENAL NAIDU</t>
  </si>
  <si>
    <t>meenal.naidu@company.com</t>
  </si>
  <si>
    <t>+91-4436200830</t>
  </si>
  <si>
    <t>2020-10-08</t>
  </si>
  <si>
    <t>Shreya Desai</t>
  </si>
  <si>
    <t>shreya.desai@company.com</t>
  </si>
  <si>
    <t>+91-6243180733</t>
  </si>
  <si>
    <t>2023-05-12</t>
  </si>
  <si>
    <t>Vikram Kulkarni</t>
  </si>
  <si>
    <t>vikram.kulkarni@company.com</t>
  </si>
  <si>
    <t>7048784588</t>
  </si>
  <si>
    <t>2022-01-21</t>
  </si>
  <si>
    <t>Shreya Mehta</t>
  </si>
  <si>
    <t>shreya.mehta@company.com</t>
  </si>
  <si>
    <t>2020-12-16</t>
  </si>
  <si>
    <t>Karthik Gupta</t>
  </si>
  <si>
    <t>karthik.gupta@company.com</t>
  </si>
  <si>
    <t>4067589351</t>
  </si>
  <si>
    <t>2021-05-14</t>
  </si>
  <si>
    <t>Meenal  Verma</t>
  </si>
  <si>
    <t>7426106891</t>
  </si>
  <si>
    <t>2020-04-09</t>
  </si>
  <si>
    <t>Rs. 170,729</t>
  </si>
  <si>
    <t>DIVYA TRIVEDI</t>
  </si>
  <si>
    <t>divya.trivedi@company.com</t>
  </si>
  <si>
    <t>+91-9762066998</t>
  </si>
  <si>
    <t>2019-05-15</t>
  </si>
  <si>
    <t>Iyer, Meenal</t>
  </si>
  <si>
    <t>meenal.iyer@company.com</t>
  </si>
  <si>
    <t>5785335223</t>
  </si>
  <si>
    <t>2023-09-16</t>
  </si>
  <si>
    <t>yash iyer</t>
  </si>
  <si>
    <t>yash.iyer@company.com</t>
  </si>
  <si>
    <t>2022-11-22</t>
  </si>
  <si>
    <t>RITU BOSE</t>
  </si>
  <si>
    <t>ritu.bose@company.com</t>
  </si>
  <si>
    <t>+91-8781052983</t>
  </si>
  <si>
    <t>2018-11-25</t>
  </si>
  <si>
    <t>Dec 15, 2021</t>
  </si>
  <si>
    <t>Bhatt, Arjun</t>
  </si>
  <si>
    <t>+91-3883170107</t>
  </si>
  <si>
    <t>2019-09-21</t>
  </si>
  <si>
    <t>Tanvi  Bose</t>
  </si>
  <si>
    <t>tanvi.bose@company.com</t>
  </si>
  <si>
    <t>42990325</t>
  </si>
  <si>
    <t>2023-01-12</t>
  </si>
  <si>
    <t>170,527</t>
  </si>
  <si>
    <t>6584853715</t>
  </si>
  <si>
    <t>2022-11-18</t>
  </si>
  <si>
    <t>₹48,820</t>
  </si>
  <si>
    <t>Pooja Verma</t>
  </si>
  <si>
    <t>pooja.verma@company.com</t>
  </si>
  <si>
    <t>2022-02-03</t>
  </si>
  <si>
    <t>Iyer, Isha</t>
  </si>
  <si>
    <t>isha.iyer@company.com</t>
  </si>
  <si>
    <t>5872398026</t>
  </si>
  <si>
    <t>Rs. 103,930</t>
  </si>
  <si>
    <t>Simran Iyer</t>
  </si>
  <si>
    <t>simran.iyer@company.com</t>
  </si>
  <si>
    <t>8799268767</t>
  </si>
  <si>
    <t>2024-03-15</t>
  </si>
  <si>
    <t>2025-06-30</t>
  </si>
  <si>
    <t>Kulkarni, Varun</t>
  </si>
  <si>
    <t>varun.kulkarni@company.com</t>
  </si>
  <si>
    <t>+91-8778006394</t>
  </si>
  <si>
    <t>2020-04-10</t>
  </si>
  <si>
    <t>13/12/2024</t>
  </si>
  <si>
    <t>Saxena, Vikram</t>
  </si>
  <si>
    <t>vikram.saxena@company.com</t>
  </si>
  <si>
    <t>2019-02-27</t>
  </si>
  <si>
    <t>Rs. 132,621</t>
  </si>
  <si>
    <t>Arjun Iyer</t>
  </si>
  <si>
    <t>arjun.iyer@company.com</t>
  </si>
  <si>
    <t>2019-06-02</t>
  </si>
  <si>
    <t>Naidu, Meenal</t>
  </si>
  <si>
    <t xml:space="preserve">meenal.naidu@company.com </t>
  </si>
  <si>
    <t>20290115</t>
  </si>
  <si>
    <t>2024-04-23</t>
  </si>
  <si>
    <t>₹159,128</t>
  </si>
  <si>
    <t>Vikram Kapoor</t>
  </si>
  <si>
    <t>vikram.kapoor@company.com</t>
  </si>
  <si>
    <t>4901161939</t>
  </si>
  <si>
    <t>2020-10-28</t>
  </si>
  <si>
    <t>Pooja Chopra</t>
  </si>
  <si>
    <t>86949 27774</t>
  </si>
  <si>
    <t>2020-06-27</t>
  </si>
  <si>
    <t>Rs. 110,083</t>
  </si>
  <si>
    <t>Rajesh  Reddy</t>
  </si>
  <si>
    <t>rajesh.reddy@company.com</t>
  </si>
  <si>
    <t>8800215810</t>
  </si>
  <si>
    <t>2023-04-23</t>
  </si>
  <si>
    <t>Yash  Mehta</t>
  </si>
  <si>
    <t>9397846950</t>
  </si>
  <si>
    <t>2020-03-22</t>
  </si>
  <si>
    <t>Kulkarni, Ritu</t>
  </si>
  <si>
    <t>ritu.kulkarni@company.com</t>
  </si>
  <si>
    <t>8755191889</t>
  </si>
  <si>
    <t>2020-02-05</t>
  </si>
  <si>
    <t>₹64,236</t>
  </si>
  <si>
    <t>Amit Gupta</t>
  </si>
  <si>
    <t>amitgupta@companycom</t>
  </si>
  <si>
    <t>24628 58365</t>
  </si>
  <si>
    <t>2024-02-01</t>
  </si>
  <si>
    <t>Verma, Rajesh</t>
  </si>
  <si>
    <t>rajesh.verma@company.com</t>
  </si>
  <si>
    <t>+91-1577128038</t>
  </si>
  <si>
    <t>2019-09-30</t>
  </si>
  <si>
    <t>Rs. 112,739</t>
  </si>
  <si>
    <t>YASH GUPTA</t>
  </si>
  <si>
    <t>yash.gupta@company.com</t>
  </si>
  <si>
    <t>1624682457</t>
  </si>
  <si>
    <t>2023-05-25</t>
  </si>
  <si>
    <t>ISHA RAO</t>
  </si>
  <si>
    <t>isha.rao@company.com</t>
  </si>
  <si>
    <t>8794898573</t>
  </si>
  <si>
    <t>2021-08-11</t>
  </si>
  <si>
    <t>Reddy, Sneha</t>
  </si>
  <si>
    <t>6148265000</t>
  </si>
  <si>
    <t>2023-10-13</t>
  </si>
  <si>
    <t>Naidu, Kirti</t>
  </si>
  <si>
    <t>+91-3069303130</t>
  </si>
  <si>
    <t>SIMRAN SHAH</t>
  </si>
  <si>
    <t>simran.shah@company.com</t>
  </si>
  <si>
    <t>6017553715</t>
  </si>
  <si>
    <t>2019-10-05</t>
  </si>
  <si>
    <t>2021-06-27</t>
  </si>
  <si>
    <t>2420556073</t>
  </si>
  <si>
    <t>2021-03-27</t>
  </si>
  <si>
    <t>Pillai, Rohan</t>
  </si>
  <si>
    <t>rohan.pillai@company.com</t>
  </si>
  <si>
    <t>2024-04-03</t>
  </si>
  <si>
    <t>Arjun Verma</t>
  </si>
  <si>
    <t>arjun.verma@company.com</t>
  </si>
  <si>
    <t>4259472487</t>
  </si>
  <si>
    <t>2019-11-08</t>
  </si>
  <si>
    <t>₹92,967</t>
  </si>
  <si>
    <t>Karthik Kulkarni</t>
  </si>
  <si>
    <t>karthik.kulkarni@company.com</t>
  </si>
  <si>
    <t>+91-8229523013</t>
  </si>
  <si>
    <t>2020-01-29</t>
  </si>
  <si>
    <t>Manish Menon</t>
  </si>
  <si>
    <t>manish.menon@company.com</t>
  </si>
  <si>
    <t>2022-07-22</t>
  </si>
  <si>
    <t>Apr 29, 2024</t>
  </si>
  <si>
    <t>Amit Agarwal</t>
  </si>
  <si>
    <t>amit.agarwal@company.com</t>
  </si>
  <si>
    <t>+91-3857792553</t>
  </si>
  <si>
    <t>2020-10-14</t>
  </si>
  <si>
    <t>Rs. 176,452</t>
  </si>
  <si>
    <t>Sanjay  Pillai</t>
  </si>
  <si>
    <t xml:space="preserve">sanjay.pillai@company.com </t>
  </si>
  <si>
    <t>+91-7025674625</t>
  </si>
  <si>
    <t>2020-07-28</t>
  </si>
  <si>
    <t>₹83,764</t>
  </si>
  <si>
    <t>20824 86176</t>
  </si>
  <si>
    <t>2019-08-23</t>
  </si>
  <si>
    <t>YASH JOSHI</t>
  </si>
  <si>
    <t>yash.joshi@company.com</t>
  </si>
  <si>
    <t>3363387500</t>
  </si>
  <si>
    <t>2020-07-01</t>
  </si>
  <si>
    <t>priya bose</t>
  </si>
  <si>
    <t>priya.bose@company.com</t>
  </si>
  <si>
    <t>+91-4870438374</t>
  </si>
  <si>
    <t>2021-01-06</t>
  </si>
  <si>
    <t>Aarav  Trivedi</t>
  </si>
  <si>
    <t>aarav.trivedi@company.com</t>
  </si>
  <si>
    <t>2948470052</t>
  </si>
  <si>
    <t>2019-03-29</t>
  </si>
  <si>
    <t>Rs. 74,385</t>
  </si>
  <si>
    <t>sanjay kapoor</t>
  </si>
  <si>
    <t>sanjay.kapoor@company.com</t>
  </si>
  <si>
    <t>8507882057</t>
  </si>
  <si>
    <t>2022-01-30</t>
  </si>
  <si>
    <t>RAJESH RAO</t>
  </si>
  <si>
    <t>rajesh.rao@company.com</t>
  </si>
  <si>
    <t>9363857849</t>
  </si>
  <si>
    <t>2024-06-22</t>
  </si>
  <si>
    <t>Rs. 58,028</t>
  </si>
  <si>
    <t>+91-6092406123</t>
  </si>
  <si>
    <t>2022-07-14</t>
  </si>
  <si>
    <t>₹67,188</t>
  </si>
  <si>
    <t>deepak naidu</t>
  </si>
  <si>
    <t>deepak.naidu@company.com</t>
  </si>
  <si>
    <t>9097394161</t>
  </si>
  <si>
    <t>2023-09-15</t>
  </si>
  <si>
    <t>Rs. 67,044</t>
  </si>
  <si>
    <t>KAVYA BOSE</t>
  </si>
  <si>
    <t>2023-06-10</t>
  </si>
  <si>
    <t>Rahul Rao</t>
  </si>
  <si>
    <t>4314453888</t>
  </si>
  <si>
    <t>2020-11-17</t>
  </si>
  <si>
    <t>Rs. 131,561</t>
  </si>
  <si>
    <t>KIRTI SHAH</t>
  </si>
  <si>
    <t>kirtishah@companycom</t>
  </si>
  <si>
    <t>8224792009</t>
  </si>
  <si>
    <t>2022-12-05</t>
  </si>
  <si>
    <t>Pillai, Simran</t>
  </si>
  <si>
    <t>40321835</t>
  </si>
  <si>
    <t>2022-06-25</t>
  </si>
  <si>
    <t>1986571528</t>
  </si>
  <si>
    <t>2021-09-21</t>
  </si>
  <si>
    <t>Oct 24, 2024</t>
  </si>
  <si>
    <t>4465129814</t>
  </si>
  <si>
    <t>2021-07-16</t>
  </si>
  <si>
    <t>48,692</t>
  </si>
  <si>
    <t>Anjali Mehta</t>
  </si>
  <si>
    <t>anjali.mehta@company.com</t>
  </si>
  <si>
    <t>03371 29589</t>
  </si>
  <si>
    <t>2024-05-03</t>
  </si>
  <si>
    <t>Priya Mehta</t>
  </si>
  <si>
    <t>priya.mehta@company.com</t>
  </si>
  <si>
    <t>3801412690</t>
  </si>
  <si>
    <t>2021-12-31</t>
  </si>
  <si>
    <t>Rs. 56,991</t>
  </si>
  <si>
    <t>Sanjay Mehta</t>
  </si>
  <si>
    <t xml:space="preserve">sanjay.mehta@company.com </t>
  </si>
  <si>
    <t>+91-8694066260</t>
  </si>
  <si>
    <t>2022-10-03</t>
  </si>
  <si>
    <t>Yash Naidu</t>
  </si>
  <si>
    <t>yash.naidu@company.com</t>
  </si>
  <si>
    <t>17711 27757</t>
  </si>
  <si>
    <t>2023-07-31</t>
  </si>
  <si>
    <t>158,245</t>
  </si>
  <si>
    <t>0343738218</t>
  </si>
  <si>
    <t>2023-06-30</t>
  </si>
  <si>
    <t>Jan 15, 2025</t>
  </si>
  <si>
    <t>₹165,088</t>
  </si>
  <si>
    <t>Mehta, Manish</t>
  </si>
  <si>
    <t>manish.mehta@company.com</t>
  </si>
  <si>
    <t>+91-8609139099</t>
  </si>
  <si>
    <t>2018-08-26</t>
  </si>
  <si>
    <t>2020-05-06</t>
  </si>
  <si>
    <t>Rs. 57,530</t>
  </si>
  <si>
    <t>Amit  Desai</t>
  </si>
  <si>
    <t>3296736731</t>
  </si>
  <si>
    <t>2024-04-14</t>
  </si>
  <si>
    <t>Rs. 77,535</t>
  </si>
  <si>
    <t>Karthik Naidu</t>
  </si>
  <si>
    <t>karthik.naidu@company.com</t>
  </si>
  <si>
    <t>5052309717</t>
  </si>
  <si>
    <t>2023-08-06</t>
  </si>
  <si>
    <t>₹130,548</t>
  </si>
  <si>
    <t>Desai, Nikhil</t>
  </si>
  <si>
    <t>nikhil.desai@company.com</t>
  </si>
  <si>
    <t>0261964986</t>
  </si>
  <si>
    <t>2019-10-12</t>
  </si>
  <si>
    <t>+91-4966850273</t>
  </si>
  <si>
    <t>2023-10-15</t>
  </si>
  <si>
    <t>Shah, Pooja</t>
  </si>
  <si>
    <t>30813 36019</t>
  </si>
  <si>
    <t>2019-04-19</t>
  </si>
  <si>
    <t>Rs. 65,001</t>
  </si>
  <si>
    <t>Kirti  Rao</t>
  </si>
  <si>
    <t xml:space="preserve">kirti.rao@company.com </t>
  </si>
  <si>
    <t>+91-9799344617</t>
  </si>
  <si>
    <t>2019-10-02</t>
  </si>
  <si>
    <t>Amit Mehta</t>
  </si>
  <si>
    <t>amit.mehta@company.com</t>
  </si>
  <si>
    <t>2970572042</t>
  </si>
  <si>
    <t>2022-01-29</t>
  </si>
  <si>
    <t>₹66,209</t>
  </si>
  <si>
    <t>Anita Verma</t>
  </si>
  <si>
    <t>anita.verma@company.com</t>
  </si>
  <si>
    <t>16967106</t>
  </si>
  <si>
    <t>2020-01-27</t>
  </si>
  <si>
    <t>Joshi, Anita</t>
  </si>
  <si>
    <t>2023-07-17</t>
  </si>
  <si>
    <t>Suresh Iyer</t>
  </si>
  <si>
    <t>suresh.iyer@company.com</t>
  </si>
  <si>
    <t>+91-0923141515</t>
  </si>
  <si>
    <t>2021-10-06</t>
  </si>
  <si>
    <t>RAHUL BOSE</t>
  </si>
  <si>
    <t>40931 36649</t>
  </si>
  <si>
    <t>2022-01-11</t>
  </si>
  <si>
    <t>Rs. 67,020</t>
  </si>
  <si>
    <t>Yash Agarwal</t>
  </si>
  <si>
    <t>yash.agarwal@company.com</t>
  </si>
  <si>
    <t>4402685995</t>
  </si>
  <si>
    <t>2019-09-11</t>
  </si>
  <si>
    <t>Vikram  Reddy</t>
  </si>
  <si>
    <t>vikram.reddy@company.com</t>
  </si>
  <si>
    <t>2228053773</t>
  </si>
  <si>
    <t>Deepak  Naidu</t>
  </si>
  <si>
    <t>7206317979</t>
  </si>
  <si>
    <t>2020-02-02</t>
  </si>
  <si>
    <t>Rao, Rahul</t>
  </si>
  <si>
    <t>rahul.rao@company.com</t>
  </si>
  <si>
    <t>6068831067</t>
  </si>
  <si>
    <t>2020-10-18</t>
  </si>
  <si>
    <t>Sep 26, 2023</t>
  </si>
  <si>
    <t>Ritu Trivedi</t>
  </si>
  <si>
    <t>ritu.trivedi@company.com</t>
  </si>
  <si>
    <t>6754529708</t>
  </si>
  <si>
    <t>2021-04-07</t>
  </si>
  <si>
    <t>₹178,709</t>
  </si>
  <si>
    <t>1876780036</t>
  </si>
  <si>
    <t>2019-10-10</t>
  </si>
  <si>
    <t>ritu rao</t>
  </si>
  <si>
    <t>ritu.rao@company.com</t>
  </si>
  <si>
    <t>15901469</t>
  </si>
  <si>
    <t>2020-06-09</t>
  </si>
  <si>
    <t>₹150,238</t>
  </si>
  <si>
    <t>Amit Reddy</t>
  </si>
  <si>
    <t>amit.reddy@company.com</t>
  </si>
  <si>
    <t>3943018608</t>
  </si>
  <si>
    <t>2018-12-25</t>
  </si>
  <si>
    <t>28/07/2023</t>
  </si>
  <si>
    <t>Ritu  Gupta</t>
  </si>
  <si>
    <t>ritu.gupta@company.com</t>
  </si>
  <si>
    <t>+91-3127488157</t>
  </si>
  <si>
    <t>Saxena, Manish</t>
  </si>
  <si>
    <t>manish.saxena@company.com</t>
  </si>
  <si>
    <t>93312240</t>
  </si>
  <si>
    <t>2023-12-31</t>
  </si>
  <si>
    <t>Vikram  Kapoor</t>
  </si>
  <si>
    <t>2020-06-08</t>
  </si>
  <si>
    <t>Rs. 155,978</t>
  </si>
  <si>
    <t>priya reddy</t>
  </si>
  <si>
    <t>priya.reddy@company.com</t>
  </si>
  <si>
    <t>4517920566</t>
  </si>
  <si>
    <t>2018-10-27</t>
  </si>
  <si>
    <t>Pooja Kulkarni</t>
  </si>
  <si>
    <t>pooja.kulkarni@company.com</t>
  </si>
  <si>
    <t>3843025561</t>
  </si>
  <si>
    <t>2020-02-15</t>
  </si>
  <si>
    <t>₹103,471</t>
  </si>
  <si>
    <t>Aarav Mehta</t>
  </si>
  <si>
    <t>aarav.mehta@company.com</t>
  </si>
  <si>
    <t>+91-0256599352</t>
  </si>
  <si>
    <t>140,289</t>
  </si>
  <si>
    <t>Meenal Naidu</t>
  </si>
  <si>
    <t>3480770110</t>
  </si>
  <si>
    <t>2021-04-24</t>
  </si>
  <si>
    <t>₹176,806</t>
  </si>
  <si>
    <t>Nikhil Kapoor</t>
  </si>
  <si>
    <t>nikhil.kapoor@company.com</t>
  </si>
  <si>
    <t>59573825</t>
  </si>
  <si>
    <t>2021-07-09</t>
  </si>
  <si>
    <t>₹155,140</t>
  </si>
  <si>
    <t>SIMRAN SAXENA</t>
  </si>
  <si>
    <t>simran.saxena@company.com</t>
  </si>
  <si>
    <t>2019-02-26</t>
  </si>
  <si>
    <t>Yash  Agarwal</t>
  </si>
  <si>
    <t>6804856711</t>
  </si>
  <si>
    <t>2018-09-24</t>
  </si>
  <si>
    <t>₹169,163</t>
  </si>
  <si>
    <t>Mehta, Kavya</t>
  </si>
  <si>
    <t xml:space="preserve">kavya.mehta@company.com </t>
  </si>
  <si>
    <t>9530552034</t>
  </si>
  <si>
    <t>2022-03-05</t>
  </si>
  <si>
    <t>Iyer, Simran</t>
  </si>
  <si>
    <t>2021-07-22</t>
  </si>
  <si>
    <t>Shreya Menon</t>
  </si>
  <si>
    <t>shreya.menon@company.com</t>
  </si>
  <si>
    <t>+91-3400281957</t>
  </si>
  <si>
    <t>2021-12-15</t>
  </si>
  <si>
    <t>Rohan Verma</t>
  </si>
  <si>
    <t>rohan.verma@company.com</t>
  </si>
  <si>
    <t>4414360636</t>
  </si>
  <si>
    <t>2021-10-10</t>
  </si>
  <si>
    <t>2025-03-17</t>
  </si>
  <si>
    <t>Rs. 72,623</t>
  </si>
  <si>
    <t>Iyer, Arjun</t>
  </si>
  <si>
    <t>2020-03-03</t>
  </si>
  <si>
    <t>Manish Bhatt</t>
  </si>
  <si>
    <t>7674284269</t>
  </si>
  <si>
    <t>2021-04-14</t>
  </si>
  <si>
    <t>Rs. 135,794</t>
  </si>
  <si>
    <t>Amit  Gupta</t>
  </si>
  <si>
    <t>amit.gupta@company.com</t>
  </si>
  <si>
    <t>69784 64936</t>
  </si>
  <si>
    <t>Rs. 45,773</t>
  </si>
  <si>
    <t>Rao, Anjali</t>
  </si>
  <si>
    <t>anjali.rao@company.com</t>
  </si>
  <si>
    <t>02027 11700</t>
  </si>
  <si>
    <t>2019-07-10</t>
  </si>
  <si>
    <t>Neha Chopra</t>
  </si>
  <si>
    <t>nehachopra@companycom</t>
  </si>
  <si>
    <t>+91-5465840951</t>
  </si>
  <si>
    <t>2020-01-24</t>
  </si>
  <si>
    <t>₹103,363</t>
  </si>
  <si>
    <t>Kavya  Kulkarni</t>
  </si>
  <si>
    <t xml:space="preserve">kavya.kulkarni@company.com </t>
  </si>
  <si>
    <t>3271124640</t>
  </si>
  <si>
    <t>2021-05-18</t>
  </si>
  <si>
    <t>arjun shah</t>
  </si>
  <si>
    <t>arjun.shah@company.com</t>
  </si>
  <si>
    <t>5109589187</t>
  </si>
  <si>
    <t>2019-02-07</t>
  </si>
  <si>
    <t>2019-01-25</t>
  </si>
  <si>
    <t>Deepak Naidu</t>
  </si>
  <si>
    <t xml:space="preserve">deepak.naidu@company.com </t>
  </si>
  <si>
    <t>8378058567</t>
  </si>
  <si>
    <t>2020-10-26</t>
  </si>
  <si>
    <t>₹87,379</t>
  </si>
  <si>
    <t>Aarav  Joshi</t>
  </si>
  <si>
    <t>aarav.joshi@company.com</t>
  </si>
  <si>
    <t>2024-04-10</t>
  </si>
  <si>
    <t>ANJALI CHOPRA</t>
  </si>
  <si>
    <t>anjali.chopra@company.com</t>
  </si>
  <si>
    <t>80560 48152</t>
  </si>
  <si>
    <t>2023-04-13</t>
  </si>
  <si>
    <t>Rs. 65,094</t>
  </si>
  <si>
    <t>Joshi, Kirti</t>
  </si>
  <si>
    <t>kirti.joshi@company.com</t>
  </si>
  <si>
    <t>81153 56904</t>
  </si>
  <si>
    <t>2019-11-01</t>
  </si>
  <si>
    <t>Karthik Bose</t>
  </si>
  <si>
    <t>karthik.bose@company.com</t>
  </si>
  <si>
    <t>+91-8214956255</t>
  </si>
  <si>
    <t>2018-11-17</t>
  </si>
  <si>
    <t>₹138,618</t>
  </si>
  <si>
    <t>Iyer, Deepak</t>
  </si>
  <si>
    <t>deepak.iyer@company.com</t>
  </si>
  <si>
    <t>1301517703</t>
  </si>
  <si>
    <t>2018-01-01</t>
  </si>
  <si>
    <t>₹132,398</t>
  </si>
  <si>
    <t>ANITA TRIVEDI</t>
  </si>
  <si>
    <t>9297480402</t>
  </si>
  <si>
    <t>2018-08-04</t>
  </si>
  <si>
    <t>₹139,729</t>
  </si>
  <si>
    <t>Deepak Saxena</t>
  </si>
  <si>
    <t>deepak.saxena@company.com</t>
  </si>
  <si>
    <t>+91-7827132430</t>
  </si>
  <si>
    <t>2021-09-11</t>
  </si>
  <si>
    <t>Rohan Trivedi</t>
  </si>
  <si>
    <t>rohan.trivedi@company.com</t>
  </si>
  <si>
    <t>+91-2327523682</t>
  </si>
  <si>
    <t>2018-03-03</t>
  </si>
  <si>
    <t>NEHA SHAH</t>
  </si>
  <si>
    <t>neha.shah@company.com</t>
  </si>
  <si>
    <t>19774 58805</t>
  </si>
  <si>
    <t>2020-05-18</t>
  </si>
  <si>
    <t>Rs. 124,726</t>
  </si>
  <si>
    <t>neha gupta</t>
  </si>
  <si>
    <t>neha.gupta@company.com</t>
  </si>
  <si>
    <t>9720510520</t>
  </si>
  <si>
    <t>2018-05-06</t>
  </si>
  <si>
    <t>varun joshi</t>
  </si>
  <si>
    <t>varun.joshi@company.com</t>
  </si>
  <si>
    <t>1803250854</t>
  </si>
  <si>
    <t>2023-02-11</t>
  </si>
  <si>
    <t>₹151,482</t>
  </si>
  <si>
    <t>Simran Mehta</t>
  </si>
  <si>
    <t>simran.mehta@company.com</t>
  </si>
  <si>
    <t>2790559772</t>
  </si>
  <si>
    <t>2018-03-02</t>
  </si>
  <si>
    <t>Jul 05, 2022</t>
  </si>
  <si>
    <t>DIVYA AGARWAL</t>
  </si>
  <si>
    <t>divya.agarwal@company.com</t>
  </si>
  <si>
    <t>77061908</t>
  </si>
  <si>
    <t>2020-07-21</t>
  </si>
  <si>
    <t>Arjun  Gupta</t>
  </si>
  <si>
    <t>arjun.gupta@company.com</t>
  </si>
  <si>
    <t>8624618957</t>
  </si>
  <si>
    <t>2019-12-20</t>
  </si>
  <si>
    <t>₹100,748</t>
  </si>
  <si>
    <t>Naidu, Vikram</t>
  </si>
  <si>
    <t>vikram.naidu@company.com</t>
  </si>
  <si>
    <t>39665 79925</t>
  </si>
  <si>
    <t>2018-01-19</t>
  </si>
  <si>
    <t>rohan gupta</t>
  </si>
  <si>
    <t>rohan.gupta@company.com</t>
  </si>
  <si>
    <t>1721239535</t>
  </si>
  <si>
    <t>2018-12-11</t>
  </si>
  <si>
    <t>48337 42781</t>
  </si>
  <si>
    <t>2021-06-16</t>
  </si>
  <si>
    <t>Deepak Trivedi</t>
  </si>
  <si>
    <t>deepak.trivedi@company.com</t>
  </si>
  <si>
    <t>+91-6916346616</t>
  </si>
  <si>
    <t>Neha Desai</t>
  </si>
  <si>
    <t>neha.desai@company.com</t>
  </si>
  <si>
    <t>5742141360</t>
  </si>
  <si>
    <t>2018-08-16</t>
  </si>
  <si>
    <t>YASH KULKARNI</t>
  </si>
  <si>
    <t>yash.kulkarni@company.com</t>
  </si>
  <si>
    <t>+91-7547515336</t>
  </si>
  <si>
    <t>Saxena, Anjali</t>
  </si>
  <si>
    <t>00751925</t>
  </si>
  <si>
    <t>2021-08-25</t>
  </si>
  <si>
    <t>Mehta, Simran</t>
  </si>
  <si>
    <t>76334906</t>
  </si>
  <si>
    <t>2021-01-26</t>
  </si>
  <si>
    <t>Arjun Naidu</t>
  </si>
  <si>
    <t>arjun.naidu@company.com</t>
  </si>
  <si>
    <t>6563048137</t>
  </si>
  <si>
    <t>2020-11-19</t>
  </si>
  <si>
    <t>3957614565</t>
  </si>
  <si>
    <t>2021-05-04</t>
  </si>
  <si>
    <t>Rs. 84,059</t>
  </si>
  <si>
    <t>+91-1773643289</t>
  </si>
  <si>
    <t>2018-03-09</t>
  </si>
  <si>
    <t>Rs. 94,903</t>
  </si>
  <si>
    <t>Agarwal, Aarav</t>
  </si>
  <si>
    <t>aaravagarwal@companycom</t>
  </si>
  <si>
    <t>2022-03-19</t>
  </si>
  <si>
    <t>₹51,253</t>
  </si>
  <si>
    <t>Menon, Suresh</t>
  </si>
  <si>
    <t>suresh.menon@company.com</t>
  </si>
  <si>
    <t>96162 16894</t>
  </si>
  <si>
    <t>2018-04-12</t>
  </si>
  <si>
    <t>Bose, Simran</t>
  </si>
  <si>
    <t>simran.bose@company.com</t>
  </si>
  <si>
    <t>3918682067</t>
  </si>
  <si>
    <t>Reddy, Priya</t>
  </si>
  <si>
    <t>2019-10-27</t>
  </si>
  <si>
    <t>Rs. 111,945</t>
  </si>
  <si>
    <t>Priya  Kapoor</t>
  </si>
  <si>
    <t>3083793881</t>
  </si>
  <si>
    <t>2023-12-15</t>
  </si>
  <si>
    <t>Deepak Agarwal</t>
  </si>
  <si>
    <t>deepak.agarwal@company.com</t>
  </si>
  <si>
    <t>68414 70089</t>
  </si>
  <si>
    <t>2019-09-15</t>
  </si>
  <si>
    <t>₹142,930</t>
  </si>
  <si>
    <t>Bose, Rohan</t>
  </si>
  <si>
    <t>rohan.bose@company.com</t>
  </si>
  <si>
    <t>2024-05-14</t>
  </si>
  <si>
    <t>₹162,349</t>
  </si>
  <si>
    <t>Pillai, Vikram</t>
  </si>
  <si>
    <t xml:space="preserve">vikram.pillai@company.com </t>
  </si>
  <si>
    <t>7509619239</t>
  </si>
  <si>
    <t>2019-03-22</t>
  </si>
  <si>
    <t>Rs. 86,731</t>
  </si>
  <si>
    <t>Mehta, Karthik</t>
  </si>
  <si>
    <t>karthik.mehta@company.com</t>
  </si>
  <si>
    <t>+91-4683673221</t>
  </si>
  <si>
    <t>2018-09-09</t>
  </si>
  <si>
    <t>Shah, Meenal</t>
  </si>
  <si>
    <t>meenal.shah@company.com</t>
  </si>
  <si>
    <t>3255366934</t>
  </si>
  <si>
    <t>2019-06-16</t>
  </si>
  <si>
    <t>Trivedi, Sneha</t>
  </si>
  <si>
    <t>sneha.trivedi@company.com</t>
  </si>
  <si>
    <t>3194275879</t>
  </si>
  <si>
    <t>2020-02-03</t>
  </si>
  <si>
    <t>Oct 22, 2024</t>
  </si>
  <si>
    <t>neha bhatt</t>
  </si>
  <si>
    <t>neha.bhatt@company.com</t>
  </si>
  <si>
    <t>+91-8844536849</t>
  </si>
  <si>
    <t>2023-09-17</t>
  </si>
  <si>
    <t>Naidu, Deepak</t>
  </si>
  <si>
    <t>+91-6411288126</t>
  </si>
  <si>
    <t>2021-04-09</t>
  </si>
  <si>
    <t>Trivedi, Rajesh</t>
  </si>
  <si>
    <t>2024-01-18</t>
  </si>
  <si>
    <t>Iyer, Pooja</t>
  </si>
  <si>
    <t>pooja.iyer@company.com</t>
  </si>
  <si>
    <t>+91-3272941176</t>
  </si>
  <si>
    <t>2021-12-01</t>
  </si>
  <si>
    <t>meenal kulkarni</t>
  </si>
  <si>
    <t>meenal.kulkarni@company.com</t>
  </si>
  <si>
    <t>3658410973</t>
  </si>
  <si>
    <t>2022-11-21</t>
  </si>
  <si>
    <t>Tanvi  Desai</t>
  </si>
  <si>
    <t>tanvi.desai@company.com</t>
  </si>
  <si>
    <t>4940132850</t>
  </si>
  <si>
    <t>2024-02-23</t>
  </si>
  <si>
    <t>Divya Bhatt</t>
  </si>
  <si>
    <t>divya.bhatt@company.com</t>
  </si>
  <si>
    <t>2022-01-18</t>
  </si>
  <si>
    <t>Naidu, Suresh</t>
  </si>
  <si>
    <t>suresh.naidu@company.com</t>
  </si>
  <si>
    <t>8498114333</t>
  </si>
  <si>
    <t>2023-03-25</t>
  </si>
  <si>
    <t>78,181</t>
  </si>
  <si>
    <t>Ritu  Verma</t>
  </si>
  <si>
    <t>rituverma@companycom</t>
  </si>
  <si>
    <t>₹102,002</t>
  </si>
  <si>
    <t>Isha Trivedi</t>
  </si>
  <si>
    <t>isha.trivedi@company.com</t>
  </si>
  <si>
    <t>19003 27894</t>
  </si>
  <si>
    <t>2022-08-13</t>
  </si>
  <si>
    <t>5901909782</t>
  </si>
  <si>
    <t>2022-09-15</t>
  </si>
  <si>
    <t>Bhatt, Rahul</t>
  </si>
  <si>
    <t xml:space="preserve">rahul.bhatt@company.com </t>
  </si>
  <si>
    <t>86222460</t>
  </si>
  <si>
    <t>2020-10-07</t>
  </si>
  <si>
    <t>Isha Agarwal</t>
  </si>
  <si>
    <t>isha.agarwal@company.com</t>
  </si>
  <si>
    <t>+91-1322817180</t>
  </si>
  <si>
    <t>0095235420</t>
  </si>
  <si>
    <t>2019-02-15</t>
  </si>
  <si>
    <t>₹163,562</t>
  </si>
  <si>
    <t>Karthik Saxena</t>
  </si>
  <si>
    <t>karthiksaxena@companycom</t>
  </si>
  <si>
    <t>14821 45862</t>
  </si>
  <si>
    <t>2022-09-22</t>
  </si>
  <si>
    <t>124,988</t>
  </si>
  <si>
    <t>10544 46877</t>
  </si>
  <si>
    <t>2020-03-04</t>
  </si>
  <si>
    <t>Nov 04, 2023</t>
  </si>
  <si>
    <t>Rs. 120,490</t>
  </si>
  <si>
    <t>Bhatt, Priya</t>
  </si>
  <si>
    <t>priya.bhatt@company.com</t>
  </si>
  <si>
    <t>+91-5306661211</t>
  </si>
  <si>
    <t>2019-02-18</t>
  </si>
  <si>
    <t>pooja.chopra@company.com</t>
  </si>
  <si>
    <t>Mehta, Suresh</t>
  </si>
  <si>
    <t>+91-5611923779</t>
  </si>
  <si>
    <t>2021-10-18</t>
  </si>
  <si>
    <t>162,016</t>
  </si>
  <si>
    <t>Manish  Joshi</t>
  </si>
  <si>
    <t>manish.joshi@company.com</t>
  </si>
  <si>
    <t>68901974</t>
  </si>
  <si>
    <t>sanjay kulkarni</t>
  </si>
  <si>
    <t>sanjay.kulkarni@company.com</t>
  </si>
  <si>
    <t>+91-8465141916</t>
  </si>
  <si>
    <t>2021-02-27</t>
  </si>
  <si>
    <t>Rs. 175,789</t>
  </si>
  <si>
    <t>DEEPAK KAPOOR</t>
  </si>
  <si>
    <t>deepak.kapoor@company.com</t>
  </si>
  <si>
    <t>0559874906</t>
  </si>
  <si>
    <t>2020-04-19</t>
  </si>
  <si>
    <t>Shreya Pillai</t>
  </si>
  <si>
    <t>shreya.pillai@company.com</t>
  </si>
  <si>
    <t>37469 11719</t>
  </si>
  <si>
    <t>2018-10-02</t>
  </si>
  <si>
    <t>Rs. 65,738</t>
  </si>
  <si>
    <t>Naidu, Rohan</t>
  </si>
  <si>
    <t>rohan.naidu@company.com</t>
  </si>
  <si>
    <t>+91-7049372052</t>
  </si>
  <si>
    <t>2022-10-15</t>
  </si>
  <si>
    <t>YASH IYER</t>
  </si>
  <si>
    <t>+91-7204962486</t>
  </si>
  <si>
    <t>2022-12-23</t>
  </si>
  <si>
    <t>Rs. 126,767</t>
  </si>
  <si>
    <t>Chopra, Amit</t>
  </si>
  <si>
    <t>3873716786</t>
  </si>
  <si>
    <t>2021-11-22</t>
  </si>
  <si>
    <t>2022-03-09</t>
  </si>
  <si>
    <t>Kulkarni, Sneha</t>
  </si>
  <si>
    <t>56806880</t>
  </si>
  <si>
    <t>2020-06-07</t>
  </si>
  <si>
    <t>simran gupta</t>
  </si>
  <si>
    <t>simran.gupta@company.com</t>
  </si>
  <si>
    <t>1924957561</t>
  </si>
  <si>
    <t>2021-06-17</t>
  </si>
  <si>
    <t>Rao, Varun</t>
  </si>
  <si>
    <t xml:space="preserve">varun.rao@company.com </t>
  </si>
  <si>
    <t>8288179751</t>
  </si>
  <si>
    <t>2018-12-20</t>
  </si>
  <si>
    <t>Pillai, Rahul</t>
  </si>
  <si>
    <t xml:space="preserve">rahul.pillai@company.com </t>
  </si>
  <si>
    <t>03499 71755</t>
  </si>
  <si>
    <t>2020-11-22</t>
  </si>
  <si>
    <t>₹161,726</t>
  </si>
  <si>
    <t>Simran Agarwal</t>
  </si>
  <si>
    <t>simran.agarwal@company.com</t>
  </si>
  <si>
    <t>1636246770</t>
  </si>
  <si>
    <t>2020-07-25</t>
  </si>
  <si>
    <t>Iyer, Priya</t>
  </si>
  <si>
    <t>priya.iyer@company.com</t>
  </si>
  <si>
    <t>8654657707</t>
  </si>
  <si>
    <t>2022-08-22</t>
  </si>
  <si>
    <t>80,024</t>
  </si>
  <si>
    <t>Agarwal, Vikram</t>
  </si>
  <si>
    <t>vikram.agarwal@company.com</t>
  </si>
  <si>
    <t>5039020475</t>
  </si>
  <si>
    <t>2022-12-10</t>
  </si>
  <si>
    <t>Amit Naidu</t>
  </si>
  <si>
    <t>amit.naidu@company.com</t>
  </si>
  <si>
    <t>18955 59797</t>
  </si>
  <si>
    <t>Iyer, Anjali</t>
  </si>
  <si>
    <t>anjali.iyer@company.com</t>
  </si>
  <si>
    <t>+91-7202397923</t>
  </si>
  <si>
    <t>2023-07-10</t>
  </si>
  <si>
    <t>Rs. 160,293</t>
  </si>
  <si>
    <t>Reddy, Manish</t>
  </si>
  <si>
    <t xml:space="preserve">manish.reddy@company.com </t>
  </si>
  <si>
    <t>3255605628</t>
  </si>
  <si>
    <t>2023-10-27</t>
  </si>
  <si>
    <t>Verma, Pooja</t>
  </si>
  <si>
    <t>2021-10-19</t>
  </si>
  <si>
    <t>Rs. 81,211</t>
  </si>
  <si>
    <t>suresh mehta</t>
  </si>
  <si>
    <t>suresh.mehta@company.com</t>
  </si>
  <si>
    <t>6335001067</t>
  </si>
  <si>
    <t>2021-06-02</t>
  </si>
  <si>
    <t>Rohan Mehta</t>
  </si>
  <si>
    <t>rohanmehta@companycom</t>
  </si>
  <si>
    <t>73136191</t>
  </si>
  <si>
    <t>2022-06-14</t>
  </si>
  <si>
    <t>Rs. 89,665</t>
  </si>
  <si>
    <t>8622976314</t>
  </si>
  <si>
    <t>2021-12-10</t>
  </si>
  <si>
    <t>Joshi, Simran</t>
  </si>
  <si>
    <t>simran.joshi@company.com</t>
  </si>
  <si>
    <t>+91-8137226561</t>
  </si>
  <si>
    <t>2020-08-03</t>
  </si>
  <si>
    <t>Nikhil Rao</t>
  </si>
  <si>
    <t xml:space="preserve">nikhil.rao@company.com </t>
  </si>
  <si>
    <t>85709 51585</t>
  </si>
  <si>
    <t>2022-02-12</t>
  </si>
  <si>
    <t>0652710028</t>
  </si>
  <si>
    <t>2022-12-07</t>
  </si>
  <si>
    <t>₹63,621</t>
  </si>
  <si>
    <t>Shah, Vikram</t>
  </si>
  <si>
    <t xml:space="preserve">vikram.shah@company.com </t>
  </si>
  <si>
    <t>3409978371</t>
  </si>
  <si>
    <t>2020-01-18</t>
  </si>
  <si>
    <t>Rs. 42,883</t>
  </si>
  <si>
    <t>Arjun Kapoor</t>
  </si>
  <si>
    <t>arjun.kapoor@company.com</t>
  </si>
  <si>
    <t>2019-08-09</t>
  </si>
  <si>
    <t>Rs. 157,614</t>
  </si>
  <si>
    <t>Joshi, Anjali</t>
  </si>
  <si>
    <t>anjali.joshi@company.com</t>
  </si>
  <si>
    <t>65272845</t>
  </si>
  <si>
    <t>2023-12-06</t>
  </si>
  <si>
    <t>₹72,177</t>
  </si>
  <si>
    <t>DIVYA SAXENA</t>
  </si>
  <si>
    <t xml:space="preserve">divya.saxena@company.com </t>
  </si>
  <si>
    <t>72326793</t>
  </si>
  <si>
    <t>2019-03-07</t>
  </si>
  <si>
    <t>Feb 26, 2021</t>
  </si>
  <si>
    <t>+91-3312459956</t>
  </si>
  <si>
    <t>2023-11-05</t>
  </si>
  <si>
    <t>Agarwal, Simran</t>
  </si>
  <si>
    <t>simranagarwal@companycom</t>
  </si>
  <si>
    <t>3814064269</t>
  </si>
  <si>
    <t>2024-06-24</t>
  </si>
  <si>
    <t>Rao, Aarav</t>
  </si>
  <si>
    <t>aarav.rao@company.com</t>
  </si>
  <si>
    <t>1953816133</t>
  </si>
  <si>
    <t>2019-08-04</t>
  </si>
  <si>
    <t>₹71,281</t>
  </si>
  <si>
    <t>Divya Menon</t>
  </si>
  <si>
    <t>divya.menon@company.com</t>
  </si>
  <si>
    <t>4963666937</t>
  </si>
  <si>
    <t>2024-05-10</t>
  </si>
  <si>
    <t>₹122,042</t>
  </si>
  <si>
    <t>Kavya Menon</t>
  </si>
  <si>
    <t>kavya.menon@company.com</t>
  </si>
  <si>
    <t>4706589893</t>
  </si>
  <si>
    <t>2018-06-24</t>
  </si>
  <si>
    <t>₹161,247</t>
  </si>
  <si>
    <t>Yash Kapoor</t>
  </si>
  <si>
    <t>yash.kapoor@company.com</t>
  </si>
  <si>
    <t>9513511766</t>
  </si>
  <si>
    <t>2021-12-14</t>
  </si>
  <si>
    <t>68,940</t>
  </si>
  <si>
    <t>2968611874</t>
  </si>
  <si>
    <t>2019-01-11</t>
  </si>
  <si>
    <t>Rs. 113,382</t>
  </si>
  <si>
    <t>Manish Saxena</t>
  </si>
  <si>
    <t>9692913072</t>
  </si>
  <si>
    <t>2021-05-15</t>
  </si>
  <si>
    <t>Rao, Sanjay</t>
  </si>
  <si>
    <t>sanjay.rao@company.com</t>
  </si>
  <si>
    <t>+91-5369942340</t>
  </si>
  <si>
    <t>2018-04-10</t>
  </si>
  <si>
    <t>Reddy, Tanvi</t>
  </si>
  <si>
    <t xml:space="preserve">tanvi.reddy@company.com </t>
  </si>
  <si>
    <t>91970 03552</t>
  </si>
  <si>
    <t>2021-06-20</t>
  </si>
  <si>
    <t>Anita Saxena</t>
  </si>
  <si>
    <t>anita.saxena@company.com</t>
  </si>
  <si>
    <t>96755766</t>
  </si>
  <si>
    <t>2021-04-12</t>
  </si>
  <si>
    <t>Nov 16, 2023</t>
  </si>
  <si>
    <t>₹63,797</t>
  </si>
  <si>
    <t>Simran Joshi</t>
  </si>
  <si>
    <t>6076311346</t>
  </si>
  <si>
    <t>2018-04-13</t>
  </si>
  <si>
    <t>₹165,280</t>
  </si>
  <si>
    <t>Pillai, Priya</t>
  </si>
  <si>
    <t>priya.pillai@company.com</t>
  </si>
  <si>
    <t>7495288314</t>
  </si>
  <si>
    <t>2022-08-18</t>
  </si>
  <si>
    <t>Rajesh Mehta</t>
  </si>
  <si>
    <t>rajesh.mehta@company.com</t>
  </si>
  <si>
    <t>2553802848</t>
  </si>
  <si>
    <t>2023-06-01</t>
  </si>
  <si>
    <t>₹144,556</t>
  </si>
  <si>
    <t>2322761077</t>
  </si>
  <si>
    <t>2020-06-05</t>
  </si>
  <si>
    <t>₹76,283</t>
  </si>
  <si>
    <t>Amit Verma</t>
  </si>
  <si>
    <t xml:space="preserve">amit.verma@company.com </t>
  </si>
  <si>
    <t>38344922</t>
  </si>
  <si>
    <t>2019-11-26</t>
  </si>
  <si>
    <t>pooja shah</t>
  </si>
  <si>
    <t>2438146228</t>
  </si>
  <si>
    <t>Varun Desai</t>
  </si>
  <si>
    <t>+91-7238083681</t>
  </si>
  <si>
    <t>2018-05-25</t>
  </si>
  <si>
    <t>24/08/2020</t>
  </si>
  <si>
    <t>Simran Kulkarni</t>
  </si>
  <si>
    <t>simran.kulkarni@company.com</t>
  </si>
  <si>
    <t>2018-01-02</t>
  </si>
  <si>
    <t>Rohan Saxena</t>
  </si>
  <si>
    <t>rohan.saxena@company.com</t>
  </si>
  <si>
    <t>Vikram Trivedi</t>
  </si>
  <si>
    <t>vikram.trivedi@company.com</t>
  </si>
  <si>
    <t>1826330434</t>
  </si>
  <si>
    <t>2021-12-06</t>
  </si>
  <si>
    <t>40,609</t>
  </si>
  <si>
    <t>Nikhil Bhatt</t>
  </si>
  <si>
    <t>1041422618</t>
  </si>
  <si>
    <t>2019-09-10</t>
  </si>
  <si>
    <t>Sep 09, 2021</t>
  </si>
  <si>
    <t>Rs. 141,889</t>
  </si>
  <si>
    <t>Saxena, Ritu</t>
  </si>
  <si>
    <t>ritusaxena@companycom</t>
  </si>
  <si>
    <t>3001113275</t>
  </si>
  <si>
    <t>2019-12-11</t>
  </si>
  <si>
    <t>2020-01-10</t>
  </si>
  <si>
    <t>50,004</t>
  </si>
  <si>
    <t>Anjali Pillai</t>
  </si>
  <si>
    <t>anjali.pillai@company.com</t>
  </si>
  <si>
    <t>78519130</t>
  </si>
  <si>
    <t>1145931862</t>
  </si>
  <si>
    <t>2024-04-02</t>
  </si>
  <si>
    <t>Rs. 162,620</t>
  </si>
  <si>
    <t>58656 11658</t>
  </si>
  <si>
    <t>2019-12-12</t>
  </si>
  <si>
    <t>₹37,000</t>
  </si>
  <si>
    <t>SNEHA AGARWAL</t>
  </si>
  <si>
    <t>sneha.agarwal@company.com</t>
  </si>
  <si>
    <t>+91-2315616156</t>
  </si>
  <si>
    <t>2023-04-22</t>
  </si>
  <si>
    <t>₹86,892</t>
  </si>
  <si>
    <t>2021-11-30</t>
  </si>
  <si>
    <t>Rs. 89,361</t>
  </si>
  <si>
    <t>Kapoor, Isha</t>
  </si>
  <si>
    <t>isha.kapoor@company.com</t>
  </si>
  <si>
    <t>6264525235</t>
  </si>
  <si>
    <t>2022-12-16</t>
  </si>
  <si>
    <t>Sneha Naidu</t>
  </si>
  <si>
    <t>sneha.naidu@company.com</t>
  </si>
  <si>
    <t>3765928697</t>
  </si>
  <si>
    <t>2024-09-07</t>
  </si>
  <si>
    <t>53,442</t>
  </si>
  <si>
    <t>71242 48109</t>
  </si>
  <si>
    <t>2020-06-10</t>
  </si>
  <si>
    <t>Aug 26, 2022</t>
  </si>
  <si>
    <t>Deepak Kulkarni</t>
  </si>
  <si>
    <t>deepak.kulkarni@company.com</t>
  </si>
  <si>
    <t>+91-8452984153</t>
  </si>
  <si>
    <t>2022-05-04</t>
  </si>
  <si>
    <t>Rs. 90,236</t>
  </si>
  <si>
    <t>Sanjay Chopra</t>
  </si>
  <si>
    <t>sanjay.chopra@company.com</t>
  </si>
  <si>
    <t>8866750957</t>
  </si>
  <si>
    <t>2018-07-14</t>
  </si>
  <si>
    <t>KIRTI KAPOOR</t>
  </si>
  <si>
    <t>kirti.kapoor@company.com</t>
  </si>
  <si>
    <t>Sanjay Pillai</t>
  </si>
  <si>
    <t>sanjay.pillai@company.com</t>
  </si>
  <si>
    <t>33358 51907</t>
  </si>
  <si>
    <t>2024-06-06</t>
  </si>
  <si>
    <t>170,930</t>
  </si>
  <si>
    <t>Gupta, Ritu</t>
  </si>
  <si>
    <t>2018-06-10</t>
  </si>
  <si>
    <t>2022-12-28</t>
  </si>
  <si>
    <t>Pillai, Meenal</t>
  </si>
  <si>
    <t>8281264644</t>
  </si>
  <si>
    <t>2020-04-13</t>
  </si>
  <si>
    <t>Rs. 161,748</t>
  </si>
  <si>
    <t>Sneha Agarwal</t>
  </si>
  <si>
    <t>Sanjay  Chopra</t>
  </si>
  <si>
    <t>0040910686</t>
  </si>
  <si>
    <t>2020-04-06</t>
  </si>
  <si>
    <t>Joshi, Yash</t>
  </si>
  <si>
    <t>+91-4116130205</t>
  </si>
  <si>
    <t>2020-01-06</t>
  </si>
  <si>
    <t>Tanvi Rao</t>
  </si>
  <si>
    <t>1823147652</t>
  </si>
  <si>
    <t>2022-04-18</t>
  </si>
  <si>
    <t>₹73,471</t>
  </si>
  <si>
    <t>Vikram Saxena</t>
  </si>
  <si>
    <t>+91-1412786036</t>
  </si>
  <si>
    <t>2020-11-20</t>
  </si>
  <si>
    <t>13/05/2022</t>
  </si>
  <si>
    <t>Rs. 102,924</t>
  </si>
  <si>
    <t>Kapoor, Deepak</t>
  </si>
  <si>
    <t>7780772737</t>
  </si>
  <si>
    <t>2022-12-02</t>
  </si>
  <si>
    <t>₹66,043</t>
  </si>
  <si>
    <t>Verma, Amit</t>
  </si>
  <si>
    <t>amit.verma@company.com</t>
  </si>
  <si>
    <t>+91-8091874892</t>
  </si>
  <si>
    <t>Iyer, Karthik</t>
  </si>
  <si>
    <t>karthik.iyer@company.com</t>
  </si>
  <si>
    <t>9229992314</t>
  </si>
  <si>
    <t>2018-09-03</t>
  </si>
  <si>
    <t>₹133,452</t>
  </si>
  <si>
    <t>Suresh Bhatt</t>
  </si>
  <si>
    <t>suresh.bhatt@company.com</t>
  </si>
  <si>
    <t>+91-0668745852</t>
  </si>
  <si>
    <t>2023-03-07</t>
  </si>
  <si>
    <t>Nikhil Naidu</t>
  </si>
  <si>
    <t>nikhil.naidu@company.com</t>
  </si>
  <si>
    <t>0090518772</t>
  </si>
  <si>
    <t>2022-10-11</t>
  </si>
  <si>
    <t>Verma, Simran</t>
  </si>
  <si>
    <t>simran.verma@company.com</t>
  </si>
  <si>
    <t>+91-8757503368</t>
  </si>
  <si>
    <t>2020-08-22</t>
  </si>
  <si>
    <t>Desai, Deepak</t>
  </si>
  <si>
    <t>8795610909</t>
  </si>
  <si>
    <t>2022-03-03</t>
  </si>
  <si>
    <t>92,783</t>
  </si>
  <si>
    <t>ISHA AGARWAL</t>
  </si>
  <si>
    <t>7217513451</t>
  </si>
  <si>
    <t>2023-09-22</t>
  </si>
  <si>
    <t>2025-05-28</t>
  </si>
  <si>
    <t>Anita Rao</t>
  </si>
  <si>
    <t>anita.rao@company.com</t>
  </si>
  <si>
    <t>2019-01-05</t>
  </si>
  <si>
    <t>Trivedi, Rohan</t>
  </si>
  <si>
    <t xml:space="preserve">rohan.trivedi@company.com </t>
  </si>
  <si>
    <t>+91-9317348688</t>
  </si>
  <si>
    <t>2020-08-05</t>
  </si>
  <si>
    <t>₹158,703</t>
  </si>
  <si>
    <t>Kavya  Kapoor</t>
  </si>
  <si>
    <t>kavya.kapoor@company.com</t>
  </si>
  <si>
    <t>2021-08-22</t>
  </si>
  <si>
    <t>₹110,892</t>
  </si>
  <si>
    <t>nikhil.bhatt@company.com</t>
  </si>
  <si>
    <t>+91-4833935442</t>
  </si>
  <si>
    <t>2022-11-26</t>
  </si>
  <si>
    <t>Isha Menon</t>
  </si>
  <si>
    <t>ishamenon@companycom</t>
  </si>
  <si>
    <t>5296813454</t>
  </si>
  <si>
    <t>2022-12-31</t>
  </si>
  <si>
    <t>2024-12-26</t>
  </si>
  <si>
    <t>157,613</t>
  </si>
  <si>
    <t>kavya kapoor</t>
  </si>
  <si>
    <t>RAJESH TRIVEDI</t>
  </si>
  <si>
    <t>2806692084</t>
  </si>
  <si>
    <t>2023-06-02</t>
  </si>
  <si>
    <t>₹127,991</t>
  </si>
  <si>
    <t>Suresh Trivedi</t>
  </si>
  <si>
    <t>suresh.trivedi@company.com</t>
  </si>
  <si>
    <t>2385052528</t>
  </si>
  <si>
    <t>2019-12-04</t>
  </si>
  <si>
    <t>Rajesh  Saxena</t>
  </si>
  <si>
    <t>rajesh.saxena@company.com</t>
  </si>
  <si>
    <t>15901 09281</t>
  </si>
  <si>
    <t>2019-03-01</t>
  </si>
  <si>
    <t>Rajesh Desai</t>
  </si>
  <si>
    <t>rajesh.desai@company.com</t>
  </si>
  <si>
    <t>3556752334</t>
  </si>
  <si>
    <t>2018-12-31</t>
  </si>
  <si>
    <t>Aug 26, 2020</t>
  </si>
  <si>
    <t>Priya  Menon</t>
  </si>
  <si>
    <t>priya.menon@company.com</t>
  </si>
  <si>
    <t>5251526053</t>
  </si>
  <si>
    <t>2021-03-09</t>
  </si>
  <si>
    <t>Rs. 131,831</t>
  </si>
  <si>
    <t>Anjali Iyer</t>
  </si>
  <si>
    <t>2021-05-08</t>
  </si>
  <si>
    <t>₹174,698</t>
  </si>
  <si>
    <t>Rao, Sneha</t>
  </si>
  <si>
    <t>sneha.rao@company.com</t>
  </si>
  <si>
    <t>+91-3670066384</t>
  </si>
  <si>
    <t>2021-05-22</t>
  </si>
  <si>
    <t>Rs. 86,430</t>
  </si>
  <si>
    <t>Bose, Amit</t>
  </si>
  <si>
    <t>amit.bose@company.com</t>
  </si>
  <si>
    <t>7270238544</t>
  </si>
  <si>
    <t>2018-07-26</t>
  </si>
  <si>
    <t>anita mehta</t>
  </si>
  <si>
    <t>anita.mehta@company.com</t>
  </si>
  <si>
    <t>+91-1773284857</t>
  </si>
  <si>
    <t>Karthik Joshi</t>
  </si>
  <si>
    <t>karthik.joshi@company.com</t>
  </si>
  <si>
    <t>2019-05-19</t>
  </si>
  <si>
    <t>ritu desai</t>
  </si>
  <si>
    <t>73933 73474</t>
  </si>
  <si>
    <t>₹161,932</t>
  </si>
  <si>
    <t>Rohan  Kulkarni</t>
  </si>
  <si>
    <t>4718227205</t>
  </si>
  <si>
    <t>2023-09-24</t>
  </si>
  <si>
    <t>Kavya Iyer</t>
  </si>
  <si>
    <t>kavya.iyer@company.com</t>
  </si>
  <si>
    <t>7785986365</t>
  </si>
  <si>
    <t>2022-07-21</t>
  </si>
  <si>
    <t>Suresh Gupta</t>
  </si>
  <si>
    <t>sureshgupta@companycom</t>
  </si>
  <si>
    <t>2901195203</t>
  </si>
  <si>
    <t>2020-06-13</t>
  </si>
  <si>
    <t>₹109,091</t>
  </si>
  <si>
    <t>Shah, Tanvi</t>
  </si>
  <si>
    <t>tanvi.shah@company.com</t>
  </si>
  <si>
    <t>2023-09-08</t>
  </si>
  <si>
    <t>2023-06-12</t>
  </si>
  <si>
    <t>2025-05-03</t>
  </si>
  <si>
    <t>₹118,825</t>
  </si>
  <si>
    <t>neha.naidu@company.com</t>
  </si>
  <si>
    <t>39409910</t>
  </si>
  <si>
    <t>2020-04-01</t>
  </si>
  <si>
    <t>ritu.joshi@company.com</t>
  </si>
  <si>
    <t>71051280</t>
  </si>
  <si>
    <t>2018-02-16</t>
  </si>
  <si>
    <t xml:space="preserve">rajesh.mehta@company.com </t>
  </si>
  <si>
    <t>18365 46107</t>
  </si>
  <si>
    <t>2021-09-20</t>
  </si>
  <si>
    <t>₹55,510</t>
  </si>
  <si>
    <t>priya.agarwal@company.com</t>
  </si>
  <si>
    <t>+91-2392391793</t>
  </si>
  <si>
    <t>2019-01-14</t>
  </si>
  <si>
    <t>₹78,366</t>
  </si>
  <si>
    <t>deepak.bhatt@company.com</t>
  </si>
  <si>
    <t>6421293279</t>
  </si>
  <si>
    <t>2019-02-17</t>
  </si>
  <si>
    <t>74,087</t>
  </si>
  <si>
    <t>Department Directory</t>
  </si>
  <si>
    <t>Department Name</t>
  </si>
  <si>
    <t>Manager</t>
  </si>
  <si>
    <t>Ananya Sen</t>
  </si>
  <si>
    <t>Rajiv Kapoor</t>
  </si>
  <si>
    <t>Sunita Rao</t>
  </si>
  <si>
    <t>Vivek Malhotra</t>
  </si>
  <si>
    <t>Leela Iyer</t>
  </si>
  <si>
    <t>Faisal Ahmed</t>
  </si>
  <si>
    <t>Performance Rating Scale</t>
  </si>
  <si>
    <t>Numeric</t>
  </si>
  <si>
    <t>Text Label</t>
  </si>
  <si>
    <t>Phone new</t>
  </si>
  <si>
    <t>Phone(remove space)</t>
  </si>
  <si>
    <t xml:space="preserve">INR  </t>
  </si>
  <si>
    <t>Jun 30,2025</t>
  </si>
  <si>
    <t>30-04-2025</t>
  </si>
  <si>
    <t>Rajesh Trivedi</t>
  </si>
  <si>
    <t>Rajesh Shah</t>
  </si>
  <si>
    <t>Varun Shah</t>
  </si>
  <si>
    <t>Arjun Mehta</t>
  </si>
  <si>
    <t>Yash Desai</t>
  </si>
  <si>
    <t>Vikram Joshi</t>
  </si>
  <si>
    <t>Kirti Saxena</t>
  </si>
  <si>
    <t>Isha Rao</t>
  </si>
  <si>
    <t>Deepak Reddy</t>
  </si>
  <si>
    <t>Manish Trivedi</t>
  </si>
  <si>
    <t>Isha Mehta</t>
  </si>
  <si>
    <t>Anita Desai</t>
  </si>
  <si>
    <t>Karthik Bhatt</t>
  </si>
  <si>
    <t>Rahul Shah</t>
  </si>
  <si>
    <t>Anita Agarwal</t>
  </si>
  <si>
    <t>Rahul Iyer</t>
  </si>
  <si>
    <t>Aarav Menon</t>
  </si>
  <si>
    <t>Varun Iyer</t>
  </si>
  <si>
    <t>Divya Mehta</t>
  </si>
  <si>
    <t>Anjali Menon</t>
  </si>
  <si>
    <t>Divya Agarwal</t>
  </si>
  <si>
    <t>Kirti Bose</t>
  </si>
  <si>
    <t>Neha Trivedi</t>
  </si>
  <si>
    <t>Amit Chopra</t>
  </si>
  <si>
    <t>Anjali Naidu</t>
  </si>
  <si>
    <t>Sneha Menon</t>
  </si>
  <si>
    <t>Varun Mehta</t>
  </si>
  <si>
    <t>Meenal Verma</t>
  </si>
  <si>
    <t>Rahul Reddy</t>
  </si>
  <si>
    <t>Amit Desai</t>
  </si>
  <si>
    <t>Aarav Chopra</t>
  </si>
  <si>
    <t>Kavya Bhatt</t>
  </si>
  <si>
    <t>Meenal Bhatt</t>
  </si>
  <si>
    <t>Varun Bose</t>
  </si>
  <si>
    <t>Anita Pillai</t>
  </si>
  <si>
    <t>Sanjay Reddy</t>
  </si>
  <si>
    <t>Varun Reddy</t>
  </si>
  <si>
    <t>Shreya Naidu</t>
  </si>
  <si>
    <t>Rajesh Verma</t>
  </si>
  <si>
    <t>Anita Kapoor</t>
  </si>
  <si>
    <t>Manish Shah</t>
  </si>
  <si>
    <t>Suresh Saxena</t>
  </si>
  <si>
    <t>Divya Trivedi</t>
  </si>
  <si>
    <t>Meenal Iyer</t>
  </si>
  <si>
    <t>Yash Iyer</t>
  </si>
  <si>
    <t>Ritu Bose</t>
  </si>
  <si>
    <t>Arjun Bhatt</t>
  </si>
  <si>
    <t>Tanvi Bose</t>
  </si>
  <si>
    <t>Isha Iyer</t>
  </si>
  <si>
    <t>Varun Kulkarni</t>
  </si>
  <si>
    <t>Rajesh Reddy</t>
  </si>
  <si>
    <t>Ritu Kulkarni</t>
  </si>
  <si>
    <t>Yash Gupta</t>
  </si>
  <si>
    <t>Sneha Reddy</t>
  </si>
  <si>
    <t>Simran Shah</t>
  </si>
  <si>
    <t>Rohan Pillai</t>
  </si>
  <si>
    <t>Yash Joshi</t>
  </si>
  <si>
    <t>Priya Bose</t>
  </si>
  <si>
    <t>Aarav Trivedi</t>
  </si>
  <si>
    <t>Sanjay Kapoor</t>
  </si>
  <si>
    <t>Rajesh Rao</t>
  </si>
  <si>
    <t>Kavya Bose</t>
  </si>
  <si>
    <t>Kirti Shah</t>
  </si>
  <si>
    <t>Manish Mehta</t>
  </si>
  <si>
    <t>Nikhil Desai</t>
  </si>
  <si>
    <t>Kirti Rao</t>
  </si>
  <si>
    <t>Anita Joshi</t>
  </si>
  <si>
    <t>Vikram Reddy</t>
  </si>
  <si>
    <t>Ritu Rao</t>
  </si>
  <si>
    <t>Ritu Gupta</t>
  </si>
  <si>
    <t>Priya Reddy</t>
  </si>
  <si>
    <t>Kavya Mehta</t>
  </si>
  <si>
    <t>Anjali Rao</t>
  </si>
  <si>
    <t>Kavya Kulkarni</t>
  </si>
  <si>
    <t>Arjun Shah</t>
  </si>
  <si>
    <t>Aarav Joshi</t>
  </si>
  <si>
    <t>Anjali Chopra</t>
  </si>
  <si>
    <t>Kirti Joshi</t>
  </si>
  <si>
    <t>Deepak Iyer</t>
  </si>
  <si>
    <t>Neha Shah</t>
  </si>
  <si>
    <t>Neha Gupta</t>
  </si>
  <si>
    <t>Varun Joshi</t>
  </si>
  <si>
    <t>Arjun Gupta</t>
  </si>
  <si>
    <t>Vikram Naidu</t>
  </si>
  <si>
    <t>Rohan Gupta</t>
  </si>
  <si>
    <t>Yash Kulkarni</t>
  </si>
  <si>
    <t>Aarav Agarwal</t>
  </si>
  <si>
    <t>Suresh Menon</t>
  </si>
  <si>
    <t>Simran Bose</t>
  </si>
  <si>
    <t>Rohan Bose</t>
  </si>
  <si>
    <t>Vikram Pillai</t>
  </si>
  <si>
    <t>Karthik Mehta</t>
  </si>
  <si>
    <t>Meenal Shah</t>
  </si>
  <si>
    <t>Sneha Trivedi</t>
  </si>
  <si>
    <t>Neha Bhatt</t>
  </si>
  <si>
    <t>Pooja Iyer</t>
  </si>
  <si>
    <t>Meenal Kulkarni</t>
  </si>
  <si>
    <t>Tanvi Desai</t>
  </si>
  <si>
    <t>Suresh Naidu</t>
  </si>
  <si>
    <t>Ritu Verma</t>
  </si>
  <si>
    <t>Rahul Bhatt</t>
  </si>
  <si>
    <t>Priya Bhatt</t>
  </si>
  <si>
    <t>Suresh Mehta</t>
  </si>
  <si>
    <t>Manish Joshi</t>
  </si>
  <si>
    <t>Sanjay Kulkarni</t>
  </si>
  <si>
    <t>Deepak Kapoor</t>
  </si>
  <si>
    <t>Rohan Naidu</t>
  </si>
  <si>
    <t>Simran Gupta</t>
  </si>
  <si>
    <t>Rahul Pillai</t>
  </si>
  <si>
    <t>Priya Iyer</t>
  </si>
  <si>
    <t>Vikram Agarwal</t>
  </si>
  <si>
    <t>Manish Reddy</t>
  </si>
  <si>
    <t>Vikram Shah</t>
  </si>
  <si>
    <t>Anjali Joshi</t>
  </si>
  <si>
    <t>Divya Saxena</t>
  </si>
  <si>
    <t>Aarav Rao</t>
  </si>
  <si>
    <t>Sanjay Rao</t>
  </si>
  <si>
    <t>Tanvi Reddy</t>
  </si>
  <si>
    <t>Priya Pillai</t>
  </si>
  <si>
    <t>Ritu Saxena</t>
  </si>
  <si>
    <t>Isha Kapoor</t>
  </si>
  <si>
    <t>Kirti Kapoor</t>
  </si>
  <si>
    <t>Karthik Iyer</t>
  </si>
  <si>
    <t>Simran Verma</t>
  </si>
  <si>
    <t>Kavya Kapoor</t>
  </si>
  <si>
    <t>Rajesh Saxena</t>
  </si>
  <si>
    <t>Priya Menon</t>
  </si>
  <si>
    <t>Sneha Rao</t>
  </si>
  <si>
    <t>Amit Bose</t>
  </si>
  <si>
    <t>Anita Mehta</t>
  </si>
  <si>
    <t>amitnaidu@company.com</t>
  </si>
  <si>
    <t>rohankapoor@company.com</t>
  </si>
  <si>
    <t>deepakreddy@company.com</t>
  </si>
  <si>
    <t>No Email ID</t>
  </si>
  <si>
    <t>simransaxena@company.com</t>
  </si>
  <si>
    <t>ritukapoor@company.com</t>
  </si>
  <si>
    <t>karthikshah@company.com</t>
  </si>
  <si>
    <t>manishshah@company.com</t>
  </si>
  <si>
    <t>amitgupta@company.com</t>
  </si>
  <si>
    <t>kirtishah@company.com</t>
  </si>
  <si>
    <t>nehachopra@company.com</t>
  </si>
  <si>
    <t>aaravagarwal@company.com</t>
  </si>
  <si>
    <t>rituverma@company.com</t>
  </si>
  <si>
    <t>karthiksaxena@company.com</t>
  </si>
  <si>
    <t>rohanmehta@company.com</t>
  </si>
  <si>
    <t>simranagarwal@company.com</t>
  </si>
  <si>
    <t>ritusaxena@company.com</t>
  </si>
  <si>
    <t>ishamenon@company.com</t>
  </si>
  <si>
    <t>sureshgupta@company.com</t>
  </si>
  <si>
    <t>Incomplete</t>
  </si>
  <si>
    <t>+91-3302610219</t>
  </si>
  <si>
    <t>Invalid</t>
  </si>
  <si>
    <t>+91-4762020274</t>
  </si>
  <si>
    <t>+91-4819825539</t>
  </si>
  <si>
    <t>+91-4301540486</t>
  </si>
  <si>
    <t>+91-6358814765</t>
  </si>
  <si>
    <t>+91-0084745378</t>
  </si>
  <si>
    <t>+91-8046774548</t>
  </si>
  <si>
    <t>+91-9742803407</t>
  </si>
  <si>
    <t>+91-1533142044</t>
  </si>
  <si>
    <t>+91-4907969025</t>
  </si>
  <si>
    <t>+91-4293557591</t>
  </si>
  <si>
    <t>+91-3326596442</t>
  </si>
  <si>
    <t>+91-7175635077</t>
  </si>
  <si>
    <t>+91-5604428899</t>
  </si>
  <si>
    <t>+91-5974426531</t>
  </si>
  <si>
    <t>+91-7774951879</t>
  </si>
  <si>
    <t>+91-6626662039</t>
  </si>
  <si>
    <t>+91-0518215638</t>
  </si>
  <si>
    <t>+91-2704534577</t>
  </si>
  <si>
    <t>+91-5667552288</t>
  </si>
  <si>
    <t>+91-5691555422</t>
  </si>
  <si>
    <t>+91-6626220139</t>
  </si>
  <si>
    <t>+91-2227918058</t>
  </si>
  <si>
    <t>+91-7080061465</t>
  </si>
  <si>
    <t>+91-9348792346</t>
  </si>
  <si>
    <t>+91-1387837576</t>
  </si>
  <si>
    <t>+91-6055319088</t>
  </si>
  <si>
    <t>+91-1319800199</t>
  </si>
  <si>
    <t>+91-3294168973</t>
  </si>
  <si>
    <t>+91-9205983997</t>
  </si>
  <si>
    <t>+91-7889148654</t>
  </si>
  <si>
    <t>+91-0789077095</t>
  </si>
  <si>
    <t>+91-7889322584</t>
  </si>
  <si>
    <t>+91-2985186010</t>
  </si>
  <si>
    <t>+91-6261635458</t>
  </si>
  <si>
    <t>+91-2048050183</t>
  </si>
  <si>
    <t>+91-9348156758</t>
  </si>
  <si>
    <t>+91-6078738212</t>
  </si>
  <si>
    <t>+91-5925778201</t>
  </si>
  <si>
    <t>+91-0406145908</t>
  </si>
  <si>
    <t>+91-2672567281</t>
  </si>
  <si>
    <t>+91-3019659265</t>
  </si>
  <si>
    <t>+91-6130445166</t>
  </si>
  <si>
    <t>+91-8682889093</t>
  </si>
  <si>
    <t>+91-7700673992</t>
  </si>
  <si>
    <t>+91-1163726516</t>
  </si>
  <si>
    <t>+91-5998920813</t>
  </si>
  <si>
    <t>+91-6537400165</t>
  </si>
  <si>
    <t>+91-1695722008</t>
  </si>
  <si>
    <t>+91-7964700595</t>
  </si>
  <si>
    <t>+91-5011708617</t>
  </si>
  <si>
    <t>+91-2507469471</t>
  </si>
  <si>
    <t>+91-7048784588</t>
  </si>
  <si>
    <t>+91-4067589351</t>
  </si>
  <si>
    <t>+91-7426106891</t>
  </si>
  <si>
    <t>+91-5785335223</t>
  </si>
  <si>
    <t>+91-6584853715</t>
  </si>
  <si>
    <t>+91-5872398026</t>
  </si>
  <si>
    <t>+91-8799268767</t>
  </si>
  <si>
    <t>+91-4901161939</t>
  </si>
  <si>
    <t>+91-8694927774</t>
  </si>
  <si>
    <t>+91-8800215810</t>
  </si>
  <si>
    <t>+91-9397846950</t>
  </si>
  <si>
    <t>+91-8755191889</t>
  </si>
  <si>
    <t>+91-2462858365</t>
  </si>
  <si>
    <t>+91-1624682457</t>
  </si>
  <si>
    <t>+91-8794898573</t>
  </si>
  <si>
    <t>+91-6148265000</t>
  </si>
  <si>
    <t>+91-6017553715</t>
  </si>
  <si>
    <t>+91-2420556073</t>
  </si>
  <si>
    <t>+91-4259472487</t>
  </si>
  <si>
    <t>+91-2082486176</t>
  </si>
  <si>
    <t>+91-3363387500</t>
  </si>
  <si>
    <t>+91-2948470052</t>
  </si>
  <si>
    <t>+91-8507882057</t>
  </si>
  <si>
    <t>+91-9363857849</t>
  </si>
  <si>
    <t>+91-9097394161</t>
  </si>
  <si>
    <t>+91-4314453888</t>
  </si>
  <si>
    <t>+91-8224792009</t>
  </si>
  <si>
    <t>+91-1986571528</t>
  </si>
  <si>
    <t>+91-4465129814</t>
  </si>
  <si>
    <t>+91-0337129589</t>
  </si>
  <si>
    <t>+91-3801412690</t>
  </si>
  <si>
    <t>+91-1771127757</t>
  </si>
  <si>
    <t>+91-0343738218</t>
  </si>
  <si>
    <t>+91-3296736731</t>
  </si>
  <si>
    <t>+91-5052309717</t>
  </si>
  <si>
    <t>+91-0261964986</t>
  </si>
  <si>
    <t>+91-3081336019</t>
  </si>
  <si>
    <t>+91-2970572042</t>
  </si>
  <si>
    <t>+91-4093136649</t>
  </si>
  <si>
    <t>+91-4402685995</t>
  </si>
  <si>
    <t>+91-2228053773</t>
  </si>
  <si>
    <t>+91-7206317979</t>
  </si>
  <si>
    <t>+91-6068831067</t>
  </si>
  <si>
    <t>+91-6754529708</t>
  </si>
  <si>
    <t>+91-1876780036</t>
  </si>
  <si>
    <t>+91-3943018608</t>
  </si>
  <si>
    <t>+91-4517920566</t>
  </si>
  <si>
    <t>+91-3843025561</t>
  </si>
  <si>
    <t>+91-3480770110</t>
  </si>
  <si>
    <t>+91-6804856711</t>
  </si>
  <si>
    <t>+91-9530552034</t>
  </si>
  <si>
    <t>+91-4414360636</t>
  </si>
  <si>
    <t>+91-7674284269</t>
  </si>
  <si>
    <t>+91-6978464936</t>
  </si>
  <si>
    <t>+91-0202711700</t>
  </si>
  <si>
    <t>+91-3271124640</t>
  </si>
  <si>
    <t>+91-5109589187</t>
  </si>
  <si>
    <t>+91-8378058567</t>
  </si>
  <si>
    <t>+91-8056048152</t>
  </si>
  <si>
    <t>+91-8115356904</t>
  </si>
  <si>
    <t>+91-1301517703</t>
  </si>
  <si>
    <t>+91-9297480402</t>
  </si>
  <si>
    <t>+91-1977458805</t>
  </si>
  <si>
    <t>+91-9720510520</t>
  </si>
  <si>
    <t>+91-1803250854</t>
  </si>
  <si>
    <t>+91-2790559772</t>
  </si>
  <si>
    <t>+91-8624618957</t>
  </si>
  <si>
    <t>+91-3966579925</t>
  </si>
  <si>
    <t>+91-1721239535</t>
  </si>
  <si>
    <t>+91-4833742781</t>
  </si>
  <si>
    <t>+91-5742141360</t>
  </si>
  <si>
    <t>+91-6563048137</t>
  </si>
  <si>
    <t>+91-3957614565</t>
  </si>
  <si>
    <t>+91-9616216894</t>
  </si>
  <si>
    <t>+91-3918682067</t>
  </si>
  <si>
    <t>+91-3083793881</t>
  </si>
  <si>
    <t>+91-6841470089</t>
  </si>
  <si>
    <t>+91-7509619239</t>
  </si>
  <si>
    <t>+91-3255366934</t>
  </si>
  <si>
    <t>+91-3194275879</t>
  </si>
  <si>
    <t>+91-3658410973</t>
  </si>
  <si>
    <t>+91-4940132850</t>
  </si>
  <si>
    <t>+91-8498114333</t>
  </si>
  <si>
    <t>+91-1900327894</t>
  </si>
  <si>
    <t>+91-5901909782</t>
  </si>
  <si>
    <t>+91-0095235420</t>
  </si>
  <si>
    <t>+91-1482145862</t>
  </si>
  <si>
    <t>+91-1054446877</t>
  </si>
  <si>
    <t>+91-1114817019</t>
  </si>
  <si>
    <t>+91-0559874906</t>
  </si>
  <si>
    <t>+91-3746911719</t>
  </si>
  <si>
    <t>+91-3873716786</t>
  </si>
  <si>
    <t>+91-1924957561</t>
  </si>
  <si>
    <t>+91-8288179751</t>
  </si>
  <si>
    <t>+91-0349971755</t>
  </si>
  <si>
    <t>+91-1636246770</t>
  </si>
  <si>
    <t>+91-8654657707</t>
  </si>
  <si>
    <t>+91-5039020475</t>
  </si>
  <si>
    <t>+91-1895559797</t>
  </si>
  <si>
    <t>+91-3255605628</t>
  </si>
  <si>
    <t>+91-6335001067</t>
  </si>
  <si>
    <t>+91-8622976314</t>
  </si>
  <si>
    <t>+91-8570951585</t>
  </si>
  <si>
    <t>+91-0652710028</t>
  </si>
  <si>
    <t>+91-3409978371</t>
  </si>
  <si>
    <t>+91-3814064269</t>
  </si>
  <si>
    <t>+91-1953816133</t>
  </si>
  <si>
    <t>+91-4963666937</t>
  </si>
  <si>
    <t>+91-4706589893</t>
  </si>
  <si>
    <t>+91-9513511766</t>
  </si>
  <si>
    <t>+91-2968611874</t>
  </si>
  <si>
    <t>+91-9692913072</t>
  </si>
  <si>
    <t>+91-9197003552</t>
  </si>
  <si>
    <t>+91-6076311346</t>
  </si>
  <si>
    <t>+91-7495288314</t>
  </si>
  <si>
    <t>+91-2553802848</t>
  </si>
  <si>
    <t>+91-2322761077</t>
  </si>
  <si>
    <t>+91-2438146228</t>
  </si>
  <si>
    <t>+91-1826330434</t>
  </si>
  <si>
    <t>+91-1041422618</t>
  </si>
  <si>
    <t>+91-3001113275</t>
  </si>
  <si>
    <t>+91-1145931862</t>
  </si>
  <si>
    <t>+91-5865611658</t>
  </si>
  <si>
    <t>+91-6264525235</t>
  </si>
  <si>
    <t>+91-3765928697</t>
  </si>
  <si>
    <t>+91-7124248109</t>
  </si>
  <si>
    <t>+91-8866750957</t>
  </si>
  <si>
    <t>+91-3929372352</t>
  </si>
  <si>
    <t>+91-3335851907</t>
  </si>
  <si>
    <t>+91-8281264644</t>
  </si>
  <si>
    <t>+91-4854035353</t>
  </si>
  <si>
    <t>+91-0040910686</t>
  </si>
  <si>
    <t>+91-1823147652</t>
  </si>
  <si>
    <t>+91-7780772737</t>
  </si>
  <si>
    <t>+91-9229992314</t>
  </si>
  <si>
    <t>+91-0090518772</t>
  </si>
  <si>
    <t>+91-8795610909</t>
  </si>
  <si>
    <t>+91-7217513451</t>
  </si>
  <si>
    <t>+91-5296813454</t>
  </si>
  <si>
    <t>+91-2806692084</t>
  </si>
  <si>
    <t>+91-2385052528</t>
  </si>
  <si>
    <t>+91-1590109281</t>
  </si>
  <si>
    <t>+91-3556752334</t>
  </si>
  <si>
    <t>+91-5251526053</t>
  </si>
  <si>
    <t>+91-7270238544</t>
  </si>
  <si>
    <t>+91-7393373474</t>
  </si>
  <si>
    <t>+91-4718227205</t>
  </si>
  <si>
    <t>+91-7785986365</t>
  </si>
  <si>
    <t>+91-2901195203</t>
  </si>
  <si>
    <t>Missing</t>
  </si>
  <si>
    <t>Not Rated</t>
  </si>
  <si>
    <t>Negate Leave</t>
  </si>
  <si>
    <t>Email ID</t>
  </si>
  <si>
    <t>Employee status</t>
  </si>
  <si>
    <t>Active</t>
  </si>
  <si>
    <t>Exited</t>
  </si>
  <si>
    <t>Employment Tenure</t>
  </si>
  <si>
    <t>7 Years, 11 Months, 13 Days</t>
  </si>
  <si>
    <t>6 Years, 0 Months, 28 Days</t>
  </si>
  <si>
    <t>4 Years, 10 Months, 27 Days</t>
  </si>
  <si>
    <t>1 Years, 10 Months, 26 Days</t>
  </si>
  <si>
    <t>4 Years, 5 Months, 1 Days</t>
  </si>
  <si>
    <t>3 Years, 9 Months, 29 Days</t>
  </si>
  <si>
    <t>6 Years, 2 Months, 19 Days</t>
  </si>
  <si>
    <t>2 Years, 2 Months, 10 Days</t>
  </si>
  <si>
    <t>2 Years, 4 Months, 6 Days</t>
  </si>
  <si>
    <t>3 Years, 3 Months, 13 Days</t>
  </si>
  <si>
    <t>4 Years, 7 Months, 23 Days</t>
  </si>
  <si>
    <t>7 Years, 5 Months, 4 Days</t>
  </si>
  <si>
    <t>5 Years, 2 Months, 3 Days</t>
  </si>
  <si>
    <t>6 Years, 4 Months, 26 Days</t>
  </si>
  <si>
    <t>3 Years, 10 Months, 19 Days</t>
  </si>
  <si>
    <t>4 Years, 3 Months, 22 Days</t>
  </si>
  <si>
    <t>3 Years, 6 Months, 29 Days</t>
  </si>
  <si>
    <t>6 Years, 6 Months, 12 Days</t>
  </si>
  <si>
    <t>7 Years, 2 Months, 20 Days</t>
  </si>
  <si>
    <t>4 Years, 8 Months, 5 Days</t>
  </si>
  <si>
    <t>4 Years, 11 Months, 13 Days</t>
  </si>
  <si>
    <t>3 Years, 1 Months, 11 Days</t>
  </si>
  <si>
    <t>2 Years, 8 Months, 27 Days</t>
  </si>
  <si>
    <t>5 Years, 5 Months, 12 Days</t>
  </si>
  <si>
    <t>0 Years, 8 Months, 9 Days</t>
  </si>
  <si>
    <t>5 Years, 9 Months, 4 Days</t>
  </si>
  <si>
    <t>6 Years, 8 Months, 26 Days</t>
  </si>
  <si>
    <t>7 Years, 8 Months, 9 Days</t>
  </si>
  <si>
    <t>2 Years, 5 Months, 9 Days</t>
  </si>
  <si>
    <t>2 Years, 2 Months, 29 Days</t>
  </si>
  <si>
    <t>3 Years, 3 Months, 9 Days</t>
  </si>
  <si>
    <t>5 Years, 1 Months, 5 Days</t>
  </si>
  <si>
    <t>4 Years, 1 Months, 25 Days</t>
  </si>
  <si>
    <t>4 Years, 6 Months, 28 Days</t>
  </si>
  <si>
    <t>4 Years, 4 Months, 25 Days</t>
  </si>
  <si>
    <t>6 Years, 2 Months, 9 Days</t>
  </si>
  <si>
    <t>2 Years, 6 Months, 27 Days</t>
  </si>
  <si>
    <t>5 Years, 11 Months, 16 Days</t>
  </si>
  <si>
    <t>2 Years, 7 Months, 11 Days</t>
  </si>
  <si>
    <t>5 Years, 7 Months, 13 Days</t>
  </si>
  <si>
    <t>1 Years, 11 Months, 0 Days</t>
  </si>
  <si>
    <t>3 Years, 2 Months, 29 Days</t>
  </si>
  <si>
    <t>2 Years, 1 Months, 21 Days</t>
  </si>
  <si>
    <t>5 Years, 7 Months, 15 Days</t>
  </si>
  <si>
    <t>6 Years, 5 Months, 8 Days</t>
  </si>
  <si>
    <t>3 Years, 3 Months, 11 Days</t>
  </si>
  <si>
    <t>2 Years, 8 Months, 18 Days</t>
  </si>
  <si>
    <t>5 Years, 9 Months, 29 Days</t>
  </si>
  <si>
    <t>6 Years, 8 Months, 12 Days</t>
  </si>
  <si>
    <t>1 Years, 7 Months, 24 Days</t>
  </si>
  <si>
    <t>3 Years, 1 Months, 8 Days</t>
  </si>
  <si>
    <t>4 Years, 1 Months, 24 Days</t>
  </si>
  <si>
    <t>4 Years, 11 Months, 9 Days</t>
  </si>
  <si>
    <t>2 Years, 7 Months, 24 Days</t>
  </si>
  <si>
    <t>7979 Years, 9 Months, 21 Days</t>
  </si>
  <si>
    <t>8 Years, 0 Months, 27 Days</t>
  </si>
  <si>
    <t>7 Years, 0 Months, 12 Days</t>
  </si>
  <si>
    <t>6 Years, 0 Months, 17 Days</t>
  </si>
  <si>
    <t>7 Years, 4 Months, 5 Days</t>
  </si>
  <si>
    <t>4 Years, 11 Months, 18 Days</t>
  </si>
  <si>
    <t>0 Years, 9 Months, 24 Days</t>
  </si>
  <si>
    <t>7 Years, 3 Months, 15 Days</t>
  </si>
  <si>
    <t>5 Years, 10 Months, 17 Days</t>
  </si>
  <si>
    <t>7 Years, 3 Months, 29 Days</t>
  </si>
  <si>
    <t>5 Years, 3 Months, 5 Days</t>
  </si>
  <si>
    <t>4 Years, 8 Months, 7 Days</t>
  </si>
  <si>
    <t>6 Years, 10 Months, 11 Days</t>
  </si>
  <si>
    <t>4 Years, 1 Months, 21 Days</t>
  </si>
  <si>
    <t>5 Years, 9 Months, 22 Days</t>
  </si>
  <si>
    <t>3 Years, 3 Months, 6 Days</t>
  </si>
  <si>
    <t>2 Years, 7 Months, 8 Days</t>
  </si>
  <si>
    <t>6 Years, 10 Months, 25 Days</t>
  </si>
  <si>
    <t>4 Years, 6 Months, 3 Days</t>
  </si>
  <si>
    <t>7976 Years, 5 Months, 6 Days</t>
  </si>
  <si>
    <t>5 Years, 4 Months, 2 Days</t>
  </si>
  <si>
    <t>4 Years, 1 Months, 26 Days</t>
  </si>
  <si>
    <t>7 Years, 9 Months, 29 Days</t>
  </si>
  <si>
    <t>6 Years, 7 Months, 0 Days</t>
  </si>
  <si>
    <t>5 Years, 0 Months, 12 Days</t>
  </si>
  <si>
    <t>3 Years, 11 Months, 0 Days</t>
  </si>
  <si>
    <t>2 Years, 5 Months, 6 Days</t>
  </si>
  <si>
    <t>4 Years, 7 Months, 9 Days</t>
  </si>
  <si>
    <t>3 Years, 7 Months, 10 Days</t>
  </si>
  <si>
    <t>7 Years, 5 Months, 12 Days</t>
  </si>
  <si>
    <t>5 Years, 9 Months, 8 Days</t>
  </si>
  <si>
    <t>3 Years, 2 Months, 4 Days</t>
  </si>
  <si>
    <t>4 Years, 5 Months, 25 Days</t>
  </si>
  <si>
    <t>5 Years, 7 Months, 0 Days</t>
  </si>
  <si>
    <t>5 Years, 2 Months, 2 Days</t>
  </si>
  <si>
    <t>6 Years, 3 Months, 7 Days</t>
  </si>
  <si>
    <t>7 Years, 2 Months, 1 Days</t>
  </si>
  <si>
    <t>1 Years, 9 Months, 14 Days</t>
  </si>
  <si>
    <t>3 Years, 7 Months, 24 Days</t>
  </si>
  <si>
    <t>3 Years, 0 Months, 20 Days</t>
  </si>
  <si>
    <t>6 Years, 9 Months, 25 Days</t>
  </si>
  <si>
    <t>3 Years, 6 Months, 4 Days</t>
  </si>
  <si>
    <t>3 Years, 7 Months, 28 Days</t>
  </si>
  <si>
    <t>4 Years, 5 Months, 13 Days</t>
  </si>
  <si>
    <t>1 Years, 3 Months, 15 Days</t>
  </si>
  <si>
    <t>4 Years, 8 Months, 3 Days</t>
  </si>
  <si>
    <t>7 Years, 4 Months, 19 Days</t>
  </si>
  <si>
    <t>7 Years, 1 Months, 14 Days</t>
  </si>
  <si>
    <t>1 Years, 2 Months, 7 Days</t>
  </si>
  <si>
    <t>5 Years, 8 Months, 18 Days</t>
  </si>
  <si>
    <t>6 Years, 0 Months, 19 Days</t>
  </si>
  <si>
    <t>3 Years, 2 Months, 23 Days</t>
  </si>
  <si>
    <t>6 Years, 3 Months, 24 Days</t>
  </si>
  <si>
    <t>6 Years, 5 Months, 11 Days</t>
  </si>
  <si>
    <t>2 Years, 5 Months, 15 Days</t>
  </si>
  <si>
    <t>6 Years, 9 Months, 16 Days</t>
  </si>
  <si>
    <t>2 Years, 1 Months, 5 Days</t>
  </si>
  <si>
    <t>4 Years, 11 Months, 5 Days</t>
  </si>
  <si>
    <t>1 Years, 8 Months, 17 Days</t>
  </si>
  <si>
    <t>1 Years, 8 Months, 22 Days</t>
  </si>
  <si>
    <t>5 Years, 3 Months, 19 Days</t>
  </si>
  <si>
    <t>2 Years, 3 Months, 13 Days</t>
  </si>
  <si>
    <t>6 Years, 8 Months, 8 Days</t>
  </si>
  <si>
    <t>6 Years, 5 Months, 17 Days</t>
  </si>
  <si>
    <t>1 Years, 9 Months, 7 Days</t>
  </si>
  <si>
    <t>4 Years, 8 Months, 16 Days</t>
  </si>
  <si>
    <t>5 Years, 11 Months, 18 Days</t>
  </si>
  <si>
    <t>6 Years, 10 Months, 23 Days</t>
  </si>
  <si>
    <t>6 Years, 0 Months, 15 Days</t>
  </si>
  <si>
    <t>5 Years, 6 Months, 10 Days</t>
  </si>
  <si>
    <t>7 Years, 3 Months, 17 Days</t>
  </si>
  <si>
    <t>4 Years, 5 Months, 16 Days</t>
  </si>
  <si>
    <t>2 Years, 0 Months, 24 Days</t>
  </si>
  <si>
    <t>4 Years, 0 Months, 2 Days</t>
  </si>
  <si>
    <t>2 Years, 10 Months, 1 Days</t>
  </si>
  <si>
    <t>3 Years, 1 Months, 6 Days</t>
  </si>
  <si>
    <t>5 Years, 7 Months, 29 Days</t>
  </si>
  <si>
    <t>3 Years, 7 Months, 11 Days</t>
  </si>
  <si>
    <t>4 Years, 0 Months, 21 Days</t>
  </si>
  <si>
    <t>3 Years, 1 Months, 3 Days</t>
  </si>
  <si>
    <t>5 Years, 0 Months, 0 Days</t>
  </si>
  <si>
    <t>2 Years, 2 Months, 13 Days</t>
  </si>
  <si>
    <t>4 Years, 6 Months, 15 Days</t>
  </si>
  <si>
    <t>3 Years, 9 Months, 13 Days</t>
  </si>
  <si>
    <t>2 Years, 11 Months, 15 Days</t>
  </si>
  <si>
    <t>1 Years, 6 Months, 16 Days</t>
  </si>
  <si>
    <t>1 Years, 8 Months, 10 Days</t>
  </si>
  <si>
    <t>2 Years, 3 Months, 2 Days</t>
  </si>
  <si>
    <t>2 Years, 11 Months, 10 Days</t>
  </si>
  <si>
    <t>6 Years, 9 Months, 4 Days</t>
  </si>
  <si>
    <t>2 Years, 9 Months, 1 Days</t>
  </si>
  <si>
    <t>7 Years, 2 Months, 27 Days</t>
  </si>
  <si>
    <t>6 Years, 9 Months, 14 Days</t>
  </si>
  <si>
    <t>4 Years, 5 Months, 17 Days</t>
  </si>
  <si>
    <t>6 Years, 5 Months, 19 Days</t>
  </si>
  <si>
    <t>2 Years, 11 Months, 29 Days</t>
  </si>
  <si>
    <t>4 Years, 9 Months, 10 Days</t>
  </si>
  <si>
    <t>4 Years, 6 Months, 5 Days</t>
  </si>
  <si>
    <t>6 Years, 10 Months, 5 Days</t>
  </si>
  <si>
    <t>6 Years, 5 Months, 14 Days</t>
  </si>
  <si>
    <t>2 Years, 11 Months, 8 Days</t>
  </si>
  <si>
    <t>5 Years, 3 Months, 9 Days</t>
  </si>
  <si>
    <t>6 Years, 9 Months, 6 Days</t>
  </si>
  <si>
    <t>6 Years, 1 Months, 7 Days</t>
  </si>
  <si>
    <t>4 Years, 7 Months, 3 Days</t>
  </si>
  <si>
    <t>7981 Years, 9 Months, 2 Days</t>
  </si>
  <si>
    <t>2 Years, 6 Months, 15 Days</t>
  </si>
  <si>
    <t>6 Years, 1 Months, 8 Days</t>
  </si>
  <si>
    <t>7 Years, 8 Months, 19 Days</t>
  </si>
  <si>
    <t>6 Years, 5 Months, 1 Days</t>
  </si>
  <si>
    <t>2 Years, 10 Months, 0 Days</t>
  </si>
  <si>
    <t>5 Years, 2 Months, 22 Days</t>
  </si>
  <si>
    <t>5 Years, 0 Months, 7 Days</t>
  </si>
  <si>
    <t>7 Years, 4 Months, 20 Days</t>
  </si>
  <si>
    <t>7 Years, 9 Months, 22 Days</t>
  </si>
  <si>
    <t>4 Years, 4 Months, 11 Days</t>
  </si>
  <si>
    <t>4 Years, 11 Months, 24 Days</t>
  </si>
  <si>
    <t>4 Years, 7 Months, 1 Days</t>
  </si>
  <si>
    <t>3 Years, 5 Months, 7 Days</t>
  </si>
  <si>
    <t>6 Years, 4 Months, 13 Days</t>
  </si>
  <si>
    <t>5 Years, 3 Months, 2 Days</t>
  </si>
  <si>
    <t>4 Years, 8 Months, 22 Days</t>
  </si>
  <si>
    <t>7 Years, 0 Months, 6 Days</t>
  </si>
  <si>
    <t>6 Years, 5 Months, 22 Days</t>
  </si>
  <si>
    <t>5 Years, 1 Months, 28 Days</t>
  </si>
  <si>
    <t>7 Years, 5 Months, 9 Days</t>
  </si>
  <si>
    <t>7 Years, 5 Months, 21 Days</t>
  </si>
  <si>
    <t>5 Years, 8 Months, 20 Days</t>
  </si>
  <si>
    <t>1 Years, 2 Months, 20 Days</t>
  </si>
  <si>
    <t>3 Years, 3 Months, 3 Days</t>
  </si>
  <si>
    <t>6 Years, 8 Months, 15 Days</t>
  </si>
  <si>
    <t>7 Years, 7 Months, 29 Days</t>
  </si>
  <si>
    <t>8 Years, 6 Months, 15 Days</t>
  </si>
  <si>
    <t>7 Years, 11 Months, 12 Days</t>
  </si>
  <si>
    <t>4 Years, 10 Months, 5 Days</t>
  </si>
  <si>
    <t>8 Years, 4 Months, 13 Days</t>
  </si>
  <si>
    <t>6 Years, 1 Months, 28 Days</t>
  </si>
  <si>
    <t>8 Years, 2 Months, 10 Days</t>
  </si>
  <si>
    <t>3 Years, 5 Months, 5 Days</t>
  </si>
  <si>
    <t>4 Years, 4 Months, 3 Days</t>
  </si>
  <si>
    <t>5 Years, 11 Months, 25 Days</t>
  </si>
  <si>
    <t>6 Years, 6 Months, 26 Days</t>
  </si>
  <si>
    <t>8 Years, 5 Months, 27 Days</t>
  </si>
  <si>
    <t>7 Years, 7 Months, 5 Days</t>
  </si>
  <si>
    <t>5 Years, 1 Months, 0 Days</t>
  </si>
  <si>
    <t>7 Years, 11 Months, 0 Days</t>
  </si>
  <si>
    <t>7977 Years, 3 Months, 18 Days</t>
  </si>
  <si>
    <t>4 Years, 10 Months, 21 Days</t>
  </si>
  <si>
    <t>4 Years, 5 Months, 4 Days</t>
  </si>
  <si>
    <t>5 Years, 7 Months, 27 Days</t>
  </si>
  <si>
    <t>8 Years, 4 Months, 7 Days</t>
  </si>
  <si>
    <t>4 Years, 3 Months, 27 Days</t>
  </si>
  <si>
    <t>8 Years, 3 Months, 4 Days</t>
  </si>
  <si>
    <t>6 Years, 8 Months, 19 Days</t>
  </si>
  <si>
    <t>1 Years, 6 Months, 15 Days</t>
  </si>
  <si>
    <t>6 Years, 10 Months, 1 Days</t>
  </si>
  <si>
    <t>2 Years, 2 Months, 2 Days</t>
  </si>
  <si>
    <t>7 Years, 3 Months, 24 Days</t>
  </si>
  <si>
    <t>7 Years, 10 Months, 7 Days</t>
  </si>
  <si>
    <t>7 Years, 1 Months, 0 Days</t>
  </si>
  <si>
    <t>4 Years, 8 Months, 19 Days</t>
  </si>
  <si>
    <t>2 Years, 9 Months, 29 Days</t>
  </si>
  <si>
    <t>5 Years, 3 Months, 7 Days</t>
  </si>
  <si>
    <t>2 Years, 5 Months, 28 Days</t>
  </si>
  <si>
    <t>4 Years, 7 Months, 15 Days</t>
  </si>
  <si>
    <t>3 Years, 7 Months, 25 Days</t>
  </si>
  <si>
    <t>2 Years, 4 Months, 23 Days</t>
  </si>
  <si>
    <t>4 Years, 5 Months, 28 Days</t>
  </si>
  <si>
    <t>2 Years, 3 Months, 5 Days</t>
  </si>
  <si>
    <t>3 Years, 11 Months, 3 Days</t>
  </si>
  <si>
    <t>3 Years, 10 Months, 1 Days</t>
  </si>
  <si>
    <t>5 Years, 9 Months, 9 Days</t>
  </si>
  <si>
    <t>7 Years, 5 Months, 1 Days</t>
  </si>
  <si>
    <t>3 Years, 9 Months, 24 Days</t>
  </si>
  <si>
    <t>3 Years, 8 Months, 0 Days</t>
  </si>
  <si>
    <t>7 Years, 4 Months, 28 Days</t>
  </si>
  <si>
    <t>7981 Years, 4 Months, 5 Days</t>
  </si>
  <si>
    <t>4 Years, 8 Months, 28 Days</t>
  </si>
  <si>
    <t>6 Years, 2 Months, 27 Days</t>
  </si>
  <si>
    <t>7 Years, 9 Months, 14 Days</t>
  </si>
  <si>
    <t>3 Years, 9 Months, 1 Days</t>
  </si>
  <si>
    <t>3 Years, 6 Months, 23 Days</t>
  </si>
  <si>
    <t>1 Years, 10 Months, 23 Days</t>
  </si>
  <si>
    <t>4 Years, 4 Months, 7 Days</t>
  </si>
  <si>
    <t>6 Years, 1 Months, 9 Days</t>
  </si>
  <si>
    <t>5 Years, 0 Months, 29 Days</t>
  </si>
  <si>
    <t>7 Years, 6 Months, 26 Days</t>
  </si>
  <si>
    <t>5 Years, 7 Months, 24 Days</t>
  </si>
  <si>
    <t>5 Years, 11 Months, 21 Days</t>
  </si>
  <si>
    <t>3 Years, 10 Months, 24 Days</t>
  </si>
  <si>
    <t>3 Years, 7 Months, 6 Days</t>
  </si>
  <si>
    <t>1 Years, 11 Months, 20 Days</t>
  </si>
  <si>
    <t>2 Years, 8 Months, 19 Days</t>
  </si>
  <si>
    <t>4 Years, 8 Months, 27 Days</t>
  </si>
  <si>
    <t>5 Years, 1 Months, 14 Days</t>
  </si>
  <si>
    <t>4 Years, 1 Months, 2 Days</t>
  </si>
  <si>
    <t>4 Years, 7 Months, 6 Days</t>
  </si>
  <si>
    <t>5 Years, 11 Months, 13 Days</t>
  </si>
  <si>
    <t>3 Years, 7 Months, 9 Days</t>
  </si>
  <si>
    <t>6 Years, 5 Months, 28 Days</t>
  </si>
  <si>
    <t>6 Years, 11 Months, 7 Days</t>
  </si>
  <si>
    <t>1 Years, 6 Months, 24 Days</t>
  </si>
  <si>
    <t>1 Years, 11 Months, 19 Days</t>
  </si>
  <si>
    <t>1 Years, 7 Months, 25 Days</t>
  </si>
  <si>
    <t>2 Years, 0 Months, 22 Days</t>
  </si>
  <si>
    <t>6 Years, 11 Months, 12 Days</t>
  </si>
  <si>
    <t>2 Years, 2 Months, 6 Days</t>
  </si>
  <si>
    <t>8 Years, 0 Months, 22 Days</t>
  </si>
  <si>
    <t>4 Years, 7 Months, 2 Days</t>
  </si>
  <si>
    <t>7 Years, 6 Months, 5 Days</t>
  </si>
  <si>
    <t>5 Years, 2 Months, 1 Days</t>
  </si>
  <si>
    <t>8 Years, 3 Months, 6 Days</t>
  </si>
  <si>
    <t>5 Years, 0 Months, 26 Days</t>
  </si>
  <si>
    <t>2 Years, 7 Months, 4 Days</t>
  </si>
  <si>
    <t>8 Years, 3 Months, 3 Days</t>
  </si>
  <si>
    <t>3 Years, 10 Months, 28 Days</t>
  </si>
  <si>
    <t>2 Years, 0 Months, 29 Days</t>
  </si>
  <si>
    <t>6 Years, 1 Months, 11 Days</t>
  </si>
  <si>
    <t>6 Years, 7 Months, 20 Days</t>
  </si>
  <si>
    <t>2 Years, 2 Months, 30 Days</t>
  </si>
  <si>
    <t>8 Years, 6 Months, 14 Days</t>
  </si>
  <si>
    <t>2 Years, 2 Months, 7 Days</t>
  </si>
  <si>
    <t>4 Years, 7 Months, 10 Days</t>
  </si>
  <si>
    <t>1 Years, 11 Months, 30 Days</t>
  </si>
  <si>
    <t>6 Years, 7 Months, 5 Days</t>
  </si>
  <si>
    <t>6 Years, 6 Months, 6 Days</t>
  </si>
  <si>
    <t>2 Years, 3 Months, 14 Days</t>
  </si>
  <si>
    <t>6 Years, 7 Months, 4 Days</t>
  </si>
  <si>
    <t>2 Years, 2 Months, 8 Days</t>
  </si>
  <si>
    <t>4 Years, 7 Months, 16 Days</t>
  </si>
  <si>
    <t>3 Years, 7 Months, 0 Days</t>
  </si>
  <si>
    <t>5 Years, 5 Months, 6 Days</t>
  </si>
  <si>
    <t>2 Years, 2 Months, 16 Days</t>
  </si>
  <si>
    <t>4 Years, 2 Months, 12 Days</t>
  </si>
  <si>
    <t>8 Years, 0 Months, 2 Days</t>
  </si>
  <si>
    <t>7978 Years, 11 Months, 16 Days</t>
  </si>
  <si>
    <t>1 Years, 0 Months, 24 Days</t>
  </si>
  <si>
    <t>4 Years, 6 Months, 18 Days</t>
  </si>
  <si>
    <t>6 Years, 3 Months, 3 Days</t>
  </si>
  <si>
    <t>7980 Years, 1 Months, 22 Days</t>
  </si>
  <si>
    <t>6 Years, 3 Months, 10 Days</t>
  </si>
  <si>
    <t>6 Years, 6 Months, 10 Days</t>
  </si>
  <si>
    <t>4 Years, 2 Months, 28 Days</t>
  </si>
  <si>
    <t>1 Years, 5 Months, 23 Days</t>
  </si>
  <si>
    <t>3 Years, 7 Months, 14 Days</t>
  </si>
  <si>
    <t>7 Years, 10 Months, 13 Days</t>
  </si>
  <si>
    <t>2 Years, 3 Months, 23 Days</t>
  </si>
  <si>
    <t>3 Years, 9 Months, 5 Days</t>
  </si>
  <si>
    <t>4 Years, 10 Months, 8 Days</t>
  </si>
  <si>
    <t>4 Years, 4 Months, 13 Days</t>
  </si>
  <si>
    <t>1 Years, 8 Months, 6 Days</t>
  </si>
  <si>
    <t>7 Years, 6 Months, 11 Days</t>
  </si>
  <si>
    <t>5 Years, 11 Months, 11 Days</t>
  </si>
  <si>
    <t>4 Years, 10 Months, 24 Days</t>
  </si>
  <si>
    <t>3 Years, 7 Months, 20 Days</t>
  </si>
  <si>
    <t>1 Years, 11 Months, 25 Days</t>
  </si>
  <si>
    <t>4 Years, 2 Months, 23 Days</t>
  </si>
  <si>
    <t>3 Years, 1 Months, 14 Days</t>
  </si>
  <si>
    <t>6 Years, 7 Months, 12 Days</t>
  </si>
  <si>
    <t>7 Years, 4 Months, 15 Days</t>
  </si>
  <si>
    <t>1 Years, 7 Months, 26 Days</t>
  </si>
  <si>
    <t>5 Years, 4 Months, 7 Days</t>
  </si>
  <si>
    <t>5 Years, 2 Months, 8 Days</t>
  </si>
  <si>
    <t>5 Years, 1 Months, 24 Days</t>
  </si>
  <si>
    <t>7 Years, 11 Months, 20 Days</t>
  </si>
  <si>
    <t>7 Years, 1 Months, 27 Days</t>
  </si>
  <si>
    <t>2 Years, 9 Months, 22 Days</t>
  </si>
  <si>
    <t>3 Years, 11 Months, 25 Days</t>
  </si>
  <si>
    <t>6 Years, 1 Months, 3 Days</t>
  </si>
  <si>
    <t>manager Name</t>
  </si>
  <si>
    <t>Manager Name</t>
  </si>
  <si>
    <t>No Dept</t>
  </si>
  <si>
    <t>Head Count</t>
  </si>
  <si>
    <t>Avg Tenure</t>
  </si>
  <si>
    <t>IFERROR(AVERAGEIFS($D$2:$D$296, $B$2:$B$296, H2), 0)</t>
  </si>
  <si>
    <t>Avg Tenure by dept</t>
  </si>
  <si>
    <t>Total Employees</t>
  </si>
  <si>
    <t>Count of Employee ID</t>
  </si>
  <si>
    <t>Average of Monthly Salary</t>
  </si>
  <si>
    <t>Departments</t>
  </si>
  <si>
    <t>2018</t>
  </si>
  <si>
    <t>2019</t>
  </si>
  <si>
    <t>2020</t>
  </si>
  <si>
    <t>2021</t>
  </si>
  <si>
    <t>2022</t>
  </si>
  <si>
    <t>2024</t>
  </si>
  <si>
    <t>Count of Employee status</t>
  </si>
  <si>
    <t>Date of Exit(Year)</t>
  </si>
  <si>
    <t/>
  </si>
  <si>
    <t>Year</t>
  </si>
  <si>
    <t>7 years,11months,15 days</t>
  </si>
  <si>
    <t>Tenure</t>
  </si>
  <si>
    <t>Dept wise Tenure</t>
  </si>
  <si>
    <t>Headcount</t>
  </si>
  <si>
    <t>Active Employees</t>
  </si>
  <si>
    <t xml:space="preserve"> Attrition Rate = (Number of Employees Who Left ÷ Average Number of Employees) × 100</t>
  </si>
  <si>
    <t>Exited Employees</t>
  </si>
  <si>
    <t>Avg Headcount</t>
  </si>
  <si>
    <t>Attrition Rate</t>
  </si>
  <si>
    <t>If a company had 343 employees at the start of the year, ended with 277, and lost 66 people total during the year (some replaced), using average headcount</t>
  </si>
  <si>
    <t>Average Tenure</t>
  </si>
  <si>
    <t xml:space="preserve">Male </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</si>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</sst>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yyyy\-mm\-dd"/>
    <numFmt numFmtId="165" formatCode="yyyy\-mm\-dd;@"/>
    <numFmt numFmtId="166" formatCode="_([$INR]\ * #,##0.00_);_([$INR]\ * \(#,##0.00\);_([$INR]\ * &quot;-&quot;??_);_(@_)"/>
    <numFmt numFmtId="167" formatCode="_([$INR]\ * #,##0_);_([$INR]\ * \(#,##0\);_([$INR]\ * &quot;-&quot;??_);_(@_)"/>
    <numFmt numFmtId="168" formatCode="&quot;$&quot;#,##0"/>
  </numFmts>
  <fonts count="14" x14ac:knownFonts="1">
    <font>
      <sz val="11"/>
      <color theme="1"/>
      <name val="Calibri"/>
      <family val="2"/>
      <scheme val="minor"/>
    </font>
    <font>
      <b/>
      <sz val="11"/>
      <color rgb="FFFFFFFF"/>
      <name val="Arial"/>
    </font>
    <font>
      <sz val="10"/>
      <name val="Arial"/>
    </font>
    <font>
      <b/>
      <sz val="13"/>
      <color rgb="FF1F3864"/>
      <name val="Arial"/>
    </font>
    <font>
      <b/>
      <sz val="16"/>
      <color rgb="FF1F3864"/>
      <name val="Arial"/>
    </font>
    <font>
      <i/>
      <sz val="10"/>
      <color rgb="FF595959"/>
      <name val="Arial"/>
    </font>
    <font>
      <b/>
      <sz val="12"/>
      <color rgb="FF1F3864"/>
      <name val="Arial"/>
    </font>
    <font>
      <sz val="10.5"/>
      <name val="Arial"/>
    </font>
    <font>
      <sz val="10"/>
      <name val="Arial"/>
      <family val="2"/>
    </font>
    <font>
      <sz val="11"/>
      <color theme="1"/>
      <name val="Calibri"/>
      <family val="2"/>
      <scheme val="minor"/>
    </font>
    <font>
      <b/>
      <sz val="12"/>
      <color theme="0"/>
      <name val="Cambria"/>
      <family val="1"/>
      <scheme val="major"/>
    </font>
    <font>
      <b/>
      <sz val="11"/>
      <color rgb="FFFFFFFF"/>
      <name val="Arial"/>
      <family val="2"/>
    </font>
    <font>
      <sz val="10.5"/>
      <name val="Arial"/>
      <family val="2"/>
    </font>
    <font>
      <sz val="11"/>
      <color theme="6" tint="-0.499984740745262"/>
      <name val="Calibri"/>
      <family val="2"/>
      <scheme val="minor"/>
    </font>
  </fonts>
  <fills count="6">
    <fill>
      <patternFill patternType="none"/>
    </fill>
    <fill>
      <patternFill patternType="gray125"/>
    </fill>
    <fill>
      <patternFill patternType="solid">
        <fgColor rgb="FF1F3864"/>
        <bgColor rgb="FF1F3864"/>
      </patternFill>
    </fill>
    <fill>
      <patternFill patternType="solid">
        <fgColor theme="3"/>
        <bgColor rgb="FF1F3864"/>
      </patternFill>
    </fill>
    <fill>
      <patternFill patternType="solid">
        <fgColor theme="3"/>
        <bgColor indexed="64"/>
      </patternFill>
    </fill>
    <fill>
      <patternFill patternType="solid">
        <fgColor theme="6" tint="-0.249977111117893"/>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44" fontId="9" fillId="0" borderId="0" applyFont="0" applyFill="0" applyBorder="0" applyAlignment="0" applyProtection="0"/>
  </cellStyleXfs>
  <cellXfs count="48">
    <xf numFmtId="0" fontId="0" fillId="0" borderId="0" xfId="0"/>
    <xf numFmtId="0" fontId="4" fillId="0" borderId="0" xfId="0" applyFont="1"/>
    <xf numFmtId="0" fontId="5" fillId="0" borderId="0" xfId="0" applyFont="1"/>
    <xf numFmtId="0" fontId="6" fillId="0" borderId="0" xfId="0" applyFont="1"/>
    <xf numFmtId="0" fontId="7" fillId="0" borderId="0" xfId="0" applyFont="1" applyAlignment="1">
      <alignment vertical="top" wrapText="1"/>
    </xf>
    <xf numFmtId="0" fontId="5" fillId="0" borderId="0" xfId="0" applyFont="1" applyAlignment="1">
      <alignment wrapText="1"/>
    </xf>
    <xf numFmtId="0" fontId="1" fillId="2" borderId="1" xfId="0" applyFont="1" applyFill="1" applyBorder="1" applyAlignment="1">
      <alignment horizontal="center" vertical="center" wrapText="1"/>
    </xf>
    <xf numFmtId="0" fontId="2" fillId="0" borderId="1" xfId="0" applyFont="1" applyBorder="1"/>
    <xf numFmtId="164" fontId="2" fillId="0" borderId="1" xfId="0" applyNumberFormat="1" applyFont="1" applyBorder="1"/>
    <xf numFmtId="0" fontId="3" fillId="0" borderId="0" xfId="0" applyFont="1"/>
    <xf numFmtId="0" fontId="1" fillId="2" borderId="0" xfId="0" applyFont="1" applyFill="1" applyAlignment="1">
      <alignment horizontal="center"/>
    </xf>
    <xf numFmtId="0" fontId="2" fillId="0" borderId="0" xfId="0" applyFont="1"/>
    <xf numFmtId="0" fontId="1" fillId="2" borderId="0" xfId="0" applyFont="1" applyFill="1"/>
    <xf numFmtId="165" fontId="1" fillId="2" borderId="1" xfId="0" applyNumberFormat="1" applyFont="1" applyFill="1" applyBorder="1" applyAlignment="1">
      <alignment horizontal="center" vertical="center" wrapText="1"/>
    </xf>
    <xf numFmtId="165" fontId="2" fillId="0" borderId="1" xfId="0" applyNumberFormat="1" applyFont="1" applyBorder="1"/>
    <xf numFmtId="165" fontId="0" fillId="0" borderId="0" xfId="0" applyNumberFormat="1"/>
    <xf numFmtId="166" fontId="2" fillId="0" borderId="1" xfId="1" applyNumberFormat="1" applyFont="1" applyBorder="1"/>
    <xf numFmtId="167" fontId="1" fillId="2" borderId="1" xfId="1" applyNumberFormat="1" applyFont="1" applyFill="1" applyBorder="1" applyAlignment="1">
      <alignment horizontal="center" vertical="center" wrapText="1"/>
    </xf>
    <xf numFmtId="167" fontId="8" fillId="0" borderId="1" xfId="1" applyNumberFormat="1" applyFont="1" applyBorder="1"/>
    <xf numFmtId="167" fontId="2" fillId="0" borderId="1" xfId="1" applyNumberFormat="1" applyFont="1" applyBorder="1"/>
    <xf numFmtId="167" fontId="0" fillId="0" borderId="0" xfId="1" applyNumberFormat="1" applyFont="1"/>
    <xf numFmtId="166" fontId="1" fillId="2" borderId="1" xfId="0" applyNumberFormat="1" applyFont="1" applyFill="1" applyBorder="1" applyAlignment="1">
      <alignment horizontal="center" vertical="center" wrapText="1"/>
    </xf>
    <xf numFmtId="166" fontId="2" fillId="0" borderId="1" xfId="0" applyNumberFormat="1" applyFont="1" applyBorder="1"/>
    <xf numFmtId="166" fontId="0" fillId="0" borderId="0" xfId="0" applyNumberFormat="1"/>
    <xf numFmtId="14" fontId="0" fillId="0" borderId="0" xfId="0" applyNumberFormat="1"/>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0" xfId="0" applyFont="1" applyFill="1" applyAlignment="1">
      <alignment horizontal="center" vertical="center" wrapText="1"/>
    </xf>
    <xf numFmtId="165" fontId="11" fillId="2" borderId="1" xfId="0" applyNumberFormat="1" applyFont="1" applyFill="1" applyBorder="1" applyAlignment="1">
      <alignment horizontal="center" vertical="center" wrapText="1"/>
    </xf>
    <xf numFmtId="2" fontId="0" fillId="0" borderId="0" xfId="0" applyNumberFormat="1"/>
    <xf numFmtId="0" fontId="11" fillId="2" borderId="1" xfId="0" applyFont="1" applyFill="1" applyBorder="1" applyAlignment="1">
      <alignment horizontal="center" vertical="center" wrapText="1"/>
    </xf>
    <xf numFmtId="0" fontId="8" fillId="0" borderId="1" xfId="0" applyFont="1" applyBorder="1"/>
    <xf numFmtId="0" fontId="10" fillId="4" borderId="0" xfId="0" applyFont="1" applyFill="1" applyAlignment="1">
      <alignment horizontal="center" vertical="center"/>
    </xf>
    <xf numFmtId="0" fontId="0" fillId="0" borderId="0" xfId="0" applyAlignment="1">
      <alignment horizontal="center" vertical="center"/>
    </xf>
    <xf numFmtId="165" fontId="10" fillId="3" borderId="0" xfId="0" applyNumberFormat="1"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wrapText="1"/>
    </xf>
    <xf numFmtId="0" fontId="12" fillId="0" borderId="0" xfId="0" applyFont="1" applyAlignment="1">
      <alignment vertical="top" wrapText="1"/>
    </xf>
    <xf numFmtId="1" fontId="0" fillId="0" borderId="0" xfId="0" applyNumberFormat="1"/>
    <xf numFmtId="168" fontId="10" fillId="3" borderId="0" xfId="0" applyNumberFormat="1" applyFont="1" applyFill="1" applyAlignment="1">
      <alignment horizontal="center" vertical="center" wrapText="1"/>
    </xf>
    <xf numFmtId="168" fontId="0" fillId="0" borderId="0" xfId="1" applyNumberFormat="1" applyFont="1"/>
    <xf numFmtId="168" fontId="0" fillId="0" borderId="0" xfId="0" applyNumberFormat="1"/>
    <xf numFmtId="165" fontId="10" fillId="3" borderId="1" xfId="0" applyNumberFormat="1" applyFont="1" applyFill="1" applyBorder="1" applyAlignment="1">
      <alignment horizontal="center" vertical="center" wrapText="1"/>
    </xf>
    <xf numFmtId="0" fontId="0" fillId="0" borderId="0" xfId="0" applyAlignment="1">
      <alignment wrapText="1"/>
    </xf>
    <xf numFmtId="0" fontId="13" fillId="5" borderId="0" xfId="0" applyFont="1" applyFill="1"/>
    <xf numFmtId="0" fontId="0" fillId="5" borderId="0" xfId="0" applyFill="1"/>
    <xf numFmtId="0" fontId="0" fillId="0" borderId="0" xfId="0" applyNumberFormat="1"/>
  </cellXfs>
  <cellStyles count="2">
    <cellStyle name="Currency" xfId="1" builtinId="4"/>
    <cellStyle name="Normal" xfId="0" builtinId="0"/>
  </cellStyles>
  <dxfs count="92">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s>
  <tableStyles count="1" defaultTableStyle="TableStyleMedium9" defaultPivotStyle="PivotStyleLight16">
    <tableStyle name="Slicer Style 1" pivot="0" table="0" count="0" xr9:uid="{EA434668-7B22-46ED-9873-CB4A8F77223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[HR_Employee_Practice_Dataset.xlsx]PivotTables!PivotTable7</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Head Count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PivotTables!$A$35:$A$40</c:f>
              <c:strCache>
                <c:ptCount val="6"/>
                <c:pt idx="0">
                  <c:v>Customer Support</c:v>
                </c:pt>
                <c:pt idx="1">
                  <c:v>Engineering</c:v>
                </c:pt>
                <c:pt idx="2">
                  <c:v>Finance</c:v>
                </c:pt>
                <c:pt idx="3">
                  <c:v>HR</c:v>
                </c:pt>
                <c:pt idx="4">
                  <c:v>Marketing</c:v>
                </c:pt>
                <c:pt idx="5">
                  <c:v>Sales</c:v>
                </c:pt>
              </c:strCache>
            </c:strRef>
          </c:cat>
          <c:val>
            <c:numRef>
              <c:f>PivotTables!$B$35:$B$40</c:f>
              <c:numCache>
                <c:formatCode>General</c:formatCode>
                <c:ptCount val="6"/>
                <c:pt idx="0">
                  <c:v>13</c:v>
                </c:pt>
                <c:pt idx="1">
                  <c:v>16</c:v>
                </c:pt>
                <c:pt idx="2">
                  <c:v>9</c:v>
                </c:pt>
                <c:pt idx="3">
                  <c:v>7</c:v>
                </c:pt>
                <c:pt idx="4">
                  <c:v>11</c:v>
                </c:pt>
                <c:pt idx="5">
                  <c:v>10</c:v>
                </c:pt>
              </c:numCache>
            </c:numRef>
          </c:val>
          <c:extLst>
            <c:ext xmlns:c16="http://schemas.microsoft.com/office/drawing/2014/chart" uri="{C3380CC4-5D6E-409C-BE32-E72D297353CC}">
              <c16:uniqueId val="{00000000-4023-4365-B7AD-B9E1A59DB9E3}"/>
            </c:ext>
          </c:extLst>
        </c:ser>
        <c:dLbls>
          <c:dLblPos val="outEnd"/>
          <c:showLegendKey val="0"/>
          <c:showVal val="1"/>
          <c:showCatName val="0"/>
          <c:showSerName val="0"/>
          <c:showPercent val="0"/>
          <c:showBubbleSize val="0"/>
        </c:dLbls>
        <c:gapWidth val="115"/>
        <c:overlap val="-20"/>
        <c:axId val="1952021023"/>
        <c:axId val="1952021503"/>
      </c:barChart>
      <c:catAx>
        <c:axId val="1952021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2021503"/>
        <c:crosses val="autoZero"/>
        <c:auto val="1"/>
        <c:lblAlgn val="ctr"/>
        <c:lblOffset val="100"/>
        <c:noMultiLvlLbl val="0"/>
      </c:catAx>
      <c:valAx>
        <c:axId val="1952021503"/>
        <c:scaling>
          <c:orientation val="minMax"/>
        </c:scaling>
        <c:delete val="1"/>
        <c:axPos val="b"/>
        <c:numFmt formatCode="General" sourceLinked="1"/>
        <c:majorTickMark val="none"/>
        <c:minorTickMark val="none"/>
        <c:tickLblPos val="nextTo"/>
        <c:crossAx val="19520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[HR_Employee_Practice_Dataset.xlsx]PivotTables!PivotTable8</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Employees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tint val="77000"/>
            </a:schemeClr>
          </a:solidFill>
          <a:ln w="19050">
            <a:solidFill>
              <a:schemeClr val="lt1"/>
            </a:solidFill>
          </a:ln>
          <a:effectLst/>
        </c:spPr>
      </c:pivotFmt>
      <c:pivotFmt>
        <c:idx val="6"/>
        <c:spPr>
          <a:solidFill>
            <a:schemeClr val="accent3">
              <a:shade val="76000"/>
            </a:schemeClr>
          </a:solidFill>
          <a:ln w="19050">
            <a:solidFill>
              <a:schemeClr val="lt1"/>
            </a:solidFill>
          </a:ln>
          <a:effectLst/>
        </c:spPr>
      </c:pivotFmt>
    </c:pivotFmts>
    <c:plotArea>
      <c:layout/>
      <c:pieChart>
        <c:varyColors val="1"/>
        <c:ser>
          <c:idx val="0"/>
          <c:order val="0"/>
          <c:tx>
            <c:strRef>
              <c:f>PivotTables!$B$47</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9CB7-4F44-8F81-E3B557BBB5F1}"/>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9CB7-4F44-8F81-E3B557BBB5F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PivotTables!$A$48:$A$49</c:f>
              <c:strCache>
                <c:ptCount val="2"/>
                <c:pt idx="0">
                  <c:v>Female</c:v>
                </c:pt>
                <c:pt idx="1">
                  <c:v>Male</c:v>
                </c:pt>
              </c:strCache>
            </c:strRef>
          </c:cat>
          <c:val>
            <c:numRef>
              <c:f>PivotTables!$B$48:$B$49</c:f>
              <c:numCache>
                <c:formatCode>General</c:formatCode>
                <c:ptCount val="2"/>
                <c:pt idx="0">
                  <c:v>33</c:v>
                </c:pt>
                <c:pt idx="1">
                  <c:v>33</c:v>
                </c:pt>
              </c:numCache>
            </c:numRef>
          </c:val>
          <c:extLst>
            <c:ext xmlns:c16="http://schemas.microsoft.com/office/drawing/2014/chart" uri="{C3380CC4-5D6E-409C-BE32-E72D297353CC}">
              <c16:uniqueId val="{00000004-9CB7-4F44-8F81-E3B557BBB5F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[HR_Employee_Practice_Dataset.xlsx]PivotTables!PivotTable3</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Hiring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PivotTables!$B$20</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PivotTables!$A$21:$A$26</c:f>
              <c:strCache>
                <c:ptCount val="6"/>
                <c:pt idx="0">
                  <c:v>2018</c:v>
                </c:pt>
                <c:pt idx="1">
                  <c:v>2019</c:v>
                </c:pt>
                <c:pt idx="2">
                  <c:v>2020</c:v>
                </c:pt>
                <c:pt idx="3">
                  <c:v>2021</c:v>
                </c:pt>
                <c:pt idx="4">
                  <c:v>2022</c:v>
                </c:pt>
                <c:pt idx="5">
                  <c:v>2024</c:v>
                </c:pt>
              </c:strCache>
            </c:strRef>
          </c:cat>
          <c:val>
            <c:numRef>
              <c:f>PivotTables!$B$21:$B$26</c:f>
              <c:numCache>
                <c:formatCode>0</c:formatCode>
                <c:ptCount val="6"/>
                <c:pt idx="0">
                  <c:v>1</c:v>
                </c:pt>
                <c:pt idx="1">
                  <c:v>1</c:v>
                </c:pt>
                <c:pt idx="2">
                  <c:v>4</c:v>
                </c:pt>
                <c:pt idx="3">
                  <c:v>3</c:v>
                </c:pt>
                <c:pt idx="4">
                  <c:v>3</c:v>
                </c:pt>
                <c:pt idx="5">
                  <c:v>1</c:v>
                </c:pt>
              </c:numCache>
            </c:numRef>
          </c:val>
          <c:smooth val="0"/>
          <c:extLst>
            <c:ext xmlns:c16="http://schemas.microsoft.com/office/drawing/2014/chart" uri="{C3380CC4-5D6E-409C-BE32-E72D297353CC}">
              <c16:uniqueId val="{00000000-AC24-426E-8255-7F76A743B0B1}"/>
            </c:ext>
          </c:extLst>
        </c:ser>
        <c:dLbls>
          <c:dLblPos val="t"/>
          <c:showLegendKey val="0"/>
          <c:showVal val="1"/>
          <c:showCatName val="0"/>
          <c:showSerName val="0"/>
          <c:showPercent val="0"/>
          <c:showBubbleSize val="0"/>
        </c:dLbls>
        <c:marker val="1"/>
        <c:smooth val="0"/>
        <c:axId val="1073304207"/>
        <c:axId val="1073303727"/>
      </c:lineChart>
      <c:catAx>
        <c:axId val="107330420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3303727"/>
        <c:crosses val="autoZero"/>
        <c:auto val="1"/>
        <c:lblAlgn val="ctr"/>
        <c:lblOffset val="100"/>
        <c:noMultiLvlLbl val="0"/>
      </c:catAx>
      <c:valAx>
        <c:axId val="1073303727"/>
        <c:scaling>
          <c:orientation val="minMax"/>
        </c:scaling>
        <c:delete val="1"/>
        <c:axPos val="l"/>
        <c:numFmt formatCode="0" sourceLinked="1"/>
        <c:majorTickMark val="out"/>
        <c:minorTickMark val="none"/>
        <c:tickLblPos val="nextTo"/>
        <c:crossAx val="107330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[HR_Employee_Practice_Dataset.xlsx]PivotTables!PivotTable7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PivotTables!$A$35:$A$40</c:f>
              <c:strCache>
                <c:ptCount val="6"/>
                <c:pt idx="0">
                  <c:v>Customer Support</c:v>
                </c:pt>
                <c:pt idx="1">
                  <c:v>Engineering</c:v>
                </c:pt>
                <c:pt idx="2">
                  <c:v>Finance</c:v>
                </c:pt>
                <c:pt idx="3">
                  <c:v>HR</c:v>
                </c:pt>
                <c:pt idx="4">
                  <c:v>Marketing</c:v>
                </c:pt>
                <c:pt idx="5">
                  <c:v>Sales</c:v>
                </c:pt>
              </c:strCache>
            </c:strRef>
          </c:cat>
          <c:val>
            <c:numRef>
              <c:f>PivotTables!$B$35:$B$40</c:f>
              <c:numCache>
                <c:formatCode>General</c:formatCode>
                <c:ptCount val="6"/>
                <c:pt idx="0">
                  <c:v>13</c:v>
                </c:pt>
                <c:pt idx="1">
                  <c:v>16</c:v>
                </c:pt>
                <c:pt idx="2">
                  <c:v>9</c:v>
                </c:pt>
                <c:pt idx="3">
                  <c:v>7</c:v>
                </c:pt>
                <c:pt idx="4">
                  <c:v>11</c:v>
                </c:pt>
                <c:pt idx="5">
                  <c:v>10</c:v>
                </c:pt>
              </c:numCache>
            </c:numRef>
          </c:val>
          <c:extLst>
            <c:ext xmlns:c16="http://schemas.microsoft.com/office/drawing/2014/chart" uri="{C3380CC4-5D6E-409C-BE32-E72D297353CC}">
              <c16:uniqueId val="{00000000-E239-4AEA-BC52-FA1A00853C08}"/>
            </c:ext>
          </c:extLst>
        </c:ser>
        <c:dLbls>
          <c:dLblPos val="outEnd"/>
          <c:showLegendKey val="0"/>
          <c:showVal val="1"/>
          <c:showCatName val="0"/>
          <c:showSerName val="0"/>
          <c:showPercent val="0"/>
          <c:showBubbleSize val="0"/>
        </c:dLbls>
        <c:gapWidth val="182"/>
        <c:axId val="1952021023"/>
        <c:axId val="1952021503"/>
      </c:barChart>
      <c:catAx>
        <c:axId val="195202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21503"/>
        <c:crosses val="autoZero"/>
        <c:auto val="1"/>
        <c:lblAlgn val="ctr"/>
        <c:lblOffset val="100"/>
        <c:noMultiLvlLbl val="0"/>
      </c:catAx>
      <c:valAx>
        <c:axId val="1952021503"/>
        <c:scaling>
          <c:orientation val="minMax"/>
        </c:scaling>
        <c:delete val="1"/>
        <c:axPos val="b"/>
        <c:numFmt formatCode="General" sourceLinked="1"/>
        <c:majorTickMark val="none"/>
        <c:minorTickMark val="none"/>
        <c:tickLblPos val="nextTo"/>
        <c:crossAx val="19520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[HR_Employee_Practice_Dataset.xlsx]PivotTables!PivotTable8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tint val="77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s>
    <c:plotArea>
      <c:layout/>
      <c:pieChart>
        <c:varyColors val="1"/>
        <c:ser>
          <c:idx val="0"/>
          <c:order val="0"/>
          <c:tx>
            <c:strRef>
              <c:f>PivotTables!$B$47</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9C97-40DB-9091-DDE282D4D6CF}"/>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9C97-40DB-9091-DDE282D4D6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PivotTables!$A$48:$A$49</c:f>
              <c:strCache>
                <c:ptCount val="2"/>
                <c:pt idx="0">
                  <c:v>Female</c:v>
                </c:pt>
                <c:pt idx="1">
                  <c:v>Male</c:v>
                </c:pt>
              </c:strCache>
            </c:strRef>
          </c:cat>
          <c:val>
            <c:numRef>
              <c:f>PivotTables!$B$48:$B$49</c:f>
              <c:numCache>
                <c:formatCode>General</c:formatCode>
                <c:ptCount val="2"/>
                <c:pt idx="0">
                  <c:v>33</c:v>
                </c:pt>
                <c:pt idx="1">
                  <c:v>33</c:v>
                </c:pt>
              </c:numCache>
            </c:numRef>
          </c:val>
          <c:extLst>
            <c:ext xmlns:c16="http://schemas.microsoft.com/office/drawing/2014/chart" uri="{C3380CC4-5D6E-409C-BE32-E72D297353CC}">
              <c16:uniqueId val="{00000000-98E9-43E4-9A81-5F2157812F4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[HR_Employee_Practice_Dataset.xlsx]PivotTables!PivotTable3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PivotTables!$A$21:$A$26</c:f>
              <c:strCache>
                <c:ptCount val="6"/>
                <c:pt idx="0">
                  <c:v>2018</c:v>
                </c:pt>
                <c:pt idx="1">
                  <c:v>2019</c:v>
                </c:pt>
                <c:pt idx="2">
                  <c:v>2020</c:v>
                </c:pt>
                <c:pt idx="3">
                  <c:v>2021</c:v>
                </c:pt>
                <c:pt idx="4">
                  <c:v>2022</c:v>
                </c:pt>
                <c:pt idx="5">
                  <c:v>2024</c:v>
                </c:pt>
              </c:strCache>
            </c:strRef>
          </c:cat>
          <c:val>
            <c:numRef>
              <c:f>PivotTables!$B$21:$B$26</c:f>
              <c:numCache>
                <c:formatCode>0</c:formatCode>
                <c:ptCount val="6"/>
                <c:pt idx="0">
                  <c:v>1</c:v>
                </c:pt>
                <c:pt idx="1">
                  <c:v>1</c:v>
                </c:pt>
                <c:pt idx="2">
                  <c:v>4</c:v>
                </c:pt>
                <c:pt idx="3">
                  <c:v>3</c:v>
                </c:pt>
                <c:pt idx="4">
                  <c:v>3</c:v>
                </c:pt>
                <c:pt idx="5">
                  <c:v>1</c:v>
                </c:pt>
              </c:numCache>
            </c:numRef>
          </c:val>
          <c:smooth val="0"/>
          <c:extLst>
            <c:ext xmlns:c16="http://schemas.microsoft.com/office/drawing/2014/chart" uri="{C3380CC4-5D6E-409C-BE32-E72D297353CC}">
              <c16:uniqueId val="{00000000-B755-43EC-92B1-DB526E398431}"/>
            </c:ext>
          </c:extLst>
        </c:ser>
        <c:dLbls>
          <c:dLblPos val="t"/>
          <c:showLegendKey val="0"/>
          <c:showVal val="1"/>
          <c:showCatName val="0"/>
          <c:showSerName val="0"/>
          <c:showPercent val="0"/>
          <c:showBubbleSize val="0"/>
        </c:dLbls>
        <c:marker val="1"/>
        <c:smooth val="0"/>
        <c:axId val="1073304207"/>
        <c:axId val="1073303727"/>
      </c:lineChart>
      <c:catAx>
        <c:axId val="107330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303727"/>
        <c:crosses val="autoZero"/>
        <c:auto val="1"/>
        <c:lblAlgn val="ctr"/>
        <c:lblOffset val="100"/>
        <c:noMultiLvlLbl val="0"/>
      </c:catAx>
      <c:valAx>
        <c:axId val="1073303727"/>
        <c:scaling>
          <c:orientation val="minMax"/>
        </c:scaling>
        <c:delete val="1"/>
        <c:axPos val="l"/>
        <c:numFmt formatCode="0" sourceLinked="1"/>
        <c:majorTickMark val="none"/>
        <c:minorTickMark val="none"/>
        <c:tickLblPos val="nextTo"/>
        <c:crossAx val="107330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441960</xdr:colOff>
      <xdr:row>0</xdr:row>
      <xdr:rowOff>22860</xdr:rowOff>
    </xdr:from>
    <xdr:to>
      <xdr:col>13</xdr:col>
      <xdr:colOff>114300</xdr:colOff>
      <xdr:row>2</xdr:row>
      <xdr:rowOff>167640</xdr:rowOff>
    </xdr:to>
    <xdr:sp macro="" textlink="">
      <xdr:nvSpPr>
        <xdr:cNvPr id="2" name="TextBox 1">
          <a:extLst>
            <a:ext uri="{FF2B5EF4-FFF2-40B4-BE49-F238E27FC236}">
              <a16:creationId xmlns:a16="http://schemas.microsoft.com/office/drawing/2014/main" id="{3FB71E52-635F-C0DC-4253-99B0262BE6DF}"/>
            </a:ext>
          </a:extLst>
        </xdr:cNvPr>
        <xdr:cNvSpPr txBox="1"/>
      </xdr:nvSpPr>
      <xdr:spPr>
        <a:xfrm>
          <a:off x="4099560" y="22860"/>
          <a:ext cx="3939540" cy="51054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latin typeface="+mj-lt"/>
            </a:rPr>
            <a:t>HR Management</a:t>
          </a:r>
          <a:r>
            <a:rPr lang="en-US" sz="2000" baseline="0">
              <a:solidFill>
                <a:schemeClr val="bg1"/>
              </a:solidFill>
              <a:latin typeface="+mj-lt"/>
            </a:rPr>
            <a:t> System</a:t>
          </a:r>
          <a:endParaRPr lang="en-US" sz="2000">
            <a:solidFill>
              <a:schemeClr val="bg1"/>
            </a:solidFill>
            <a:latin typeface="+mj-lt"/>
          </a:endParaRPr>
        </a:p>
      </xdr:txBody>
    </xdr:sp>
    <xdr:clientData/>
  </xdr:twoCellAnchor>
  <xdr:twoCellAnchor editAs="oneCell">
    <xdr:from>
      <xdr:col>5</xdr:col>
      <xdr:colOff>426720</xdr:colOff>
      <xdr:row>0</xdr:row>
      <xdr:rowOff>38100</xdr:rowOff>
    </xdr:from>
    <xdr:to>
      <xdr:col>6</xdr:col>
      <xdr:colOff>297180</xdr:colOff>
      <xdr:row>2</xdr:row>
      <xdr:rowOff>152400</xdr:rowOff>
    </xdr:to>
    <xdr:pic>
      <xdr:nvPicPr>
        <xdr:cNvPr id="4" name="Graphic 3" descr="Group of women with solid fill">
          <a:extLst>
            <a:ext uri="{FF2B5EF4-FFF2-40B4-BE49-F238E27FC236}">
              <a16:creationId xmlns:a16="http://schemas.microsoft.com/office/drawing/2014/main" id="{11D450A3-62DE-D9E5-559B-8C9564233E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74720" y="38100"/>
          <a:ext cx="480060" cy="480060"/>
        </a:xfrm>
        <a:prstGeom prst="rect">
          <a:avLst/>
        </a:prstGeom>
      </xdr:spPr>
    </xdr:pic>
    <xdr:clientData/>
  </xdr:twoCellAnchor>
  <xdr:twoCellAnchor editAs="oneCell">
    <xdr:from>
      <xdr:col>13</xdr:col>
      <xdr:colOff>266700</xdr:colOff>
      <xdr:row>0</xdr:row>
      <xdr:rowOff>38100</xdr:rowOff>
    </xdr:from>
    <xdr:to>
      <xdr:col>14</xdr:col>
      <xdr:colOff>137159</xdr:colOff>
      <xdr:row>2</xdr:row>
      <xdr:rowOff>152400</xdr:rowOff>
    </xdr:to>
    <xdr:pic>
      <xdr:nvPicPr>
        <xdr:cNvPr id="5" name="Graphic 4" descr="Group of women with solid fill">
          <a:extLst>
            <a:ext uri="{FF2B5EF4-FFF2-40B4-BE49-F238E27FC236}">
              <a16:creationId xmlns:a16="http://schemas.microsoft.com/office/drawing/2014/main" id="{0474CEB5-A8BE-46B5-9161-701F8690BE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1500" y="38100"/>
          <a:ext cx="480060" cy="480060"/>
        </a:xfrm>
        <a:prstGeom prst="rect">
          <a:avLst/>
        </a:prstGeom>
      </xdr:spPr>
    </xdr:pic>
    <xdr:clientData/>
  </xdr:twoCellAnchor>
  <xdr:twoCellAnchor>
    <xdr:from>
      <xdr:col>1</xdr:col>
      <xdr:colOff>495300</xdr:colOff>
      <xdr:row>4</xdr:row>
      <xdr:rowOff>7620</xdr:rowOff>
    </xdr:from>
    <xdr:to>
      <xdr:col>4</xdr:col>
      <xdr:colOff>510540</xdr:colOff>
      <xdr:row>7</xdr:row>
      <xdr:rowOff>22860</xdr:rowOff>
    </xdr:to>
    <xdr:grpSp>
      <xdr:nvGrpSpPr>
        <xdr:cNvPr id="12" name="Group 11">
          <a:extLst>
            <a:ext uri="{FF2B5EF4-FFF2-40B4-BE49-F238E27FC236}">
              <a16:creationId xmlns:a16="http://schemas.microsoft.com/office/drawing/2014/main" id="{D57959B9-FAA2-1849-91F0-6785B018C645}"/>
            </a:ext>
          </a:extLst>
        </xdr:cNvPr>
        <xdr:cNvGrpSpPr/>
      </xdr:nvGrpSpPr>
      <xdr:grpSpPr>
        <a:xfrm>
          <a:off x="1656104" y="748256"/>
          <a:ext cx="1852586" cy="570716"/>
          <a:chOff x="518160" y="723900"/>
          <a:chExt cx="1303020" cy="563880"/>
        </a:xfrm>
      </xdr:grpSpPr>
      <xdr:sp macro="" textlink="">
        <xdr:nvSpPr>
          <xdr:cNvPr id="6" name="TextBox 5">
            <a:extLst>
              <a:ext uri="{FF2B5EF4-FFF2-40B4-BE49-F238E27FC236}">
                <a16:creationId xmlns:a16="http://schemas.microsoft.com/office/drawing/2014/main" id="{588B2FBC-EE52-234C-7B53-70EC948D143C}"/>
              </a:ext>
            </a:extLst>
          </xdr:cNvPr>
          <xdr:cNvSpPr txBox="1"/>
        </xdr:nvSpPr>
        <xdr:spPr>
          <a:xfrm>
            <a:off x="518160" y="723900"/>
            <a:ext cx="1303020" cy="563880"/>
          </a:xfrm>
          <a:prstGeom prst="flowChartAlternateProcess">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100" b="1" cap="none" spc="0">
                <a:ln/>
                <a:solidFill>
                  <a:schemeClr val="accent3"/>
                </a:solidFill>
                <a:effectLst/>
                <a:latin typeface="+mj-lt"/>
              </a:rPr>
              <a:t>Total</a:t>
            </a:r>
            <a:r>
              <a:rPr lang="en-US" sz="1100" b="1" cap="none" spc="0" baseline="0">
                <a:ln/>
                <a:solidFill>
                  <a:schemeClr val="accent3"/>
                </a:solidFill>
                <a:effectLst/>
                <a:latin typeface="+mj-lt"/>
              </a:rPr>
              <a:t> Head Count</a:t>
            </a:r>
          </a:p>
          <a:p>
            <a:r>
              <a:rPr lang="en-US" sz="1100" b="1" cap="none" spc="0" baseline="0">
                <a:ln/>
                <a:solidFill>
                  <a:schemeClr val="accent3"/>
                </a:solidFill>
                <a:effectLst/>
                <a:latin typeface="+mj-lt"/>
              </a:rPr>
              <a:t>           </a:t>
            </a:r>
            <a:endParaRPr lang="en-US" sz="1100" b="1" cap="none" spc="0">
              <a:ln/>
              <a:solidFill>
                <a:schemeClr val="accent3"/>
              </a:solidFill>
              <a:effectLst/>
              <a:latin typeface="+mj-lt"/>
            </a:endParaRPr>
          </a:p>
        </xdr:txBody>
      </xdr:sp>
      <xdr:sp macro="" textlink="'Clean Data'!Z2">
        <xdr:nvSpPr>
          <xdr:cNvPr id="7" name="Flowchart: Process 6">
            <a:extLst>
              <a:ext uri="{FF2B5EF4-FFF2-40B4-BE49-F238E27FC236}">
                <a16:creationId xmlns:a16="http://schemas.microsoft.com/office/drawing/2014/main" id="{0102D8B4-5280-F683-8198-9DE78CC71F94}"/>
              </a:ext>
            </a:extLst>
          </xdr:cNvPr>
          <xdr:cNvSpPr/>
        </xdr:nvSpPr>
        <xdr:spPr>
          <a:xfrm>
            <a:off x="839113" y="990600"/>
            <a:ext cx="579120" cy="251460"/>
          </a:xfrm>
          <a:prstGeom prst="flowChartProcess">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215C1A13-B01F-4EC6-A004-1C35DF458FDB}" type="TxLink">
              <a:rPr lang="en-US" sz="1100" b="0" i="0" u="none" strike="noStrike">
                <a:solidFill>
                  <a:srgbClr val="000000"/>
                </a:solidFill>
                <a:latin typeface="+mj-lt"/>
                <a:ea typeface="Calibri"/>
                <a:cs typeface="Calibri"/>
              </a:rPr>
              <a:pPr algn="ctr"/>
              <a:t>343</a:t>
            </a:fld>
            <a:endParaRPr lang="en-US" sz="1100">
              <a:latin typeface="+mj-lt"/>
            </a:endParaRPr>
          </a:p>
        </xdr:txBody>
      </xdr:sp>
    </xdr:grpSp>
    <xdr:clientData/>
  </xdr:twoCellAnchor>
  <xdr:twoCellAnchor>
    <xdr:from>
      <xdr:col>7</xdr:col>
      <xdr:colOff>182880</xdr:colOff>
      <xdr:row>4</xdr:row>
      <xdr:rowOff>7620</xdr:rowOff>
    </xdr:from>
    <xdr:to>
      <xdr:col>10</xdr:col>
      <xdr:colOff>201168</xdr:colOff>
      <xdr:row>7</xdr:row>
      <xdr:rowOff>25908</xdr:rowOff>
    </xdr:to>
    <xdr:grpSp>
      <xdr:nvGrpSpPr>
        <xdr:cNvPr id="14" name="Group 13">
          <a:extLst>
            <a:ext uri="{FF2B5EF4-FFF2-40B4-BE49-F238E27FC236}">
              <a16:creationId xmlns:a16="http://schemas.microsoft.com/office/drawing/2014/main" id="{01FF321C-4F34-FC9C-12FE-96FF232547C7}"/>
            </a:ext>
          </a:extLst>
        </xdr:cNvPr>
        <xdr:cNvGrpSpPr/>
      </xdr:nvGrpSpPr>
      <xdr:grpSpPr>
        <a:xfrm>
          <a:off x="5018375" y="748256"/>
          <a:ext cx="1855634" cy="573764"/>
          <a:chOff x="2545080" y="718902"/>
          <a:chExt cx="1307592" cy="518160"/>
        </a:xfrm>
      </xdr:grpSpPr>
      <xdr:sp macro="" textlink="">
        <xdr:nvSpPr>
          <xdr:cNvPr id="8" name="Rectangle: Rounded Corners 7">
            <a:extLst>
              <a:ext uri="{FF2B5EF4-FFF2-40B4-BE49-F238E27FC236}">
                <a16:creationId xmlns:a16="http://schemas.microsoft.com/office/drawing/2014/main" id="{CECE4BAF-467B-0270-73E3-88942B72C1B0}"/>
              </a:ext>
            </a:extLst>
          </xdr:cNvPr>
          <xdr:cNvSpPr/>
        </xdr:nvSpPr>
        <xdr:spPr>
          <a:xfrm>
            <a:off x="2545080" y="718902"/>
            <a:ext cx="1307592" cy="5181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100" b="1" cap="none" spc="0">
                <a:ln/>
                <a:solidFill>
                  <a:schemeClr val="accent3"/>
                </a:solidFill>
                <a:effectLst/>
                <a:latin typeface="+mj-lt"/>
              </a:rPr>
              <a:t>Active Employees</a:t>
            </a:r>
          </a:p>
        </xdr:txBody>
      </xdr:sp>
      <xdr:sp macro="" textlink="'Clean Data'!Z5">
        <xdr:nvSpPr>
          <xdr:cNvPr id="9" name="Rectangle: Rounded Corners 8">
            <a:extLst>
              <a:ext uri="{FF2B5EF4-FFF2-40B4-BE49-F238E27FC236}">
                <a16:creationId xmlns:a16="http://schemas.microsoft.com/office/drawing/2014/main" id="{34BE8379-7B6B-02B8-C31E-26E62C35D8E7}"/>
              </a:ext>
            </a:extLst>
          </xdr:cNvPr>
          <xdr:cNvSpPr/>
        </xdr:nvSpPr>
        <xdr:spPr>
          <a:xfrm>
            <a:off x="2906389" y="962087"/>
            <a:ext cx="576072" cy="256032"/>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18267DCF-FBCF-4D05-B2C5-54404B91A5C4}" type="TxLink">
              <a:rPr lang="en-US" sz="1100" b="0" i="0" u="none" strike="noStrike">
                <a:solidFill>
                  <a:srgbClr val="000000"/>
                </a:solidFill>
                <a:latin typeface="+mj-lt"/>
                <a:ea typeface="Calibri"/>
                <a:cs typeface="Calibri"/>
              </a:rPr>
              <a:pPr algn="ctr"/>
              <a:t>277</a:t>
            </a:fld>
            <a:endParaRPr lang="en-US" sz="1100">
              <a:latin typeface="+mj-lt"/>
            </a:endParaRPr>
          </a:p>
        </xdr:txBody>
      </xdr:sp>
    </xdr:grpSp>
    <xdr:clientData/>
  </xdr:twoCellAnchor>
  <xdr:twoCellAnchor>
    <xdr:from>
      <xdr:col>12</xdr:col>
      <xdr:colOff>342900</xdr:colOff>
      <xdr:row>4</xdr:row>
      <xdr:rowOff>7619</xdr:rowOff>
    </xdr:from>
    <xdr:to>
      <xdr:col>15</xdr:col>
      <xdr:colOff>361188</xdr:colOff>
      <xdr:row>7</xdr:row>
      <xdr:rowOff>25907</xdr:rowOff>
    </xdr:to>
    <xdr:grpSp>
      <xdr:nvGrpSpPr>
        <xdr:cNvPr id="15" name="Group 14">
          <a:extLst>
            <a:ext uri="{FF2B5EF4-FFF2-40B4-BE49-F238E27FC236}">
              <a16:creationId xmlns:a16="http://schemas.microsoft.com/office/drawing/2014/main" id="{64213F59-4C41-4D78-BD71-B1882A0BCA48}"/>
            </a:ext>
          </a:extLst>
        </xdr:cNvPr>
        <xdr:cNvGrpSpPr/>
      </xdr:nvGrpSpPr>
      <xdr:grpSpPr>
        <a:xfrm>
          <a:off x="8240638" y="748255"/>
          <a:ext cx="1855634" cy="573764"/>
          <a:chOff x="2545080" y="711937"/>
          <a:chExt cx="1307592" cy="518160"/>
        </a:xfrm>
      </xdr:grpSpPr>
      <xdr:sp macro="" textlink="">
        <xdr:nvSpPr>
          <xdr:cNvPr id="16" name="Rectangle: Rounded Corners 15">
            <a:extLst>
              <a:ext uri="{FF2B5EF4-FFF2-40B4-BE49-F238E27FC236}">
                <a16:creationId xmlns:a16="http://schemas.microsoft.com/office/drawing/2014/main" id="{A718AA97-392B-F4C2-1C1D-B2253F29F79B}"/>
              </a:ext>
            </a:extLst>
          </xdr:cNvPr>
          <xdr:cNvSpPr/>
        </xdr:nvSpPr>
        <xdr:spPr>
          <a:xfrm>
            <a:off x="2545080" y="711937"/>
            <a:ext cx="1307592" cy="5181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100" b="1" cap="none" spc="0">
                <a:ln/>
                <a:solidFill>
                  <a:schemeClr val="accent3"/>
                </a:solidFill>
                <a:effectLst/>
                <a:latin typeface="+mj-lt"/>
              </a:rPr>
              <a:t> Attrition Rate</a:t>
            </a:r>
          </a:p>
        </xdr:txBody>
      </xdr:sp>
      <xdr:sp macro="" textlink="'Clean Data'!AC11">
        <xdr:nvSpPr>
          <xdr:cNvPr id="17" name="Rectangle: Rounded Corners 16">
            <a:extLst>
              <a:ext uri="{FF2B5EF4-FFF2-40B4-BE49-F238E27FC236}">
                <a16:creationId xmlns:a16="http://schemas.microsoft.com/office/drawing/2014/main" id="{3E2E3A27-B4E8-6D15-D819-6BC4A68B9A39}"/>
              </a:ext>
            </a:extLst>
          </xdr:cNvPr>
          <xdr:cNvSpPr/>
        </xdr:nvSpPr>
        <xdr:spPr>
          <a:xfrm>
            <a:off x="2874022" y="948158"/>
            <a:ext cx="708660" cy="256032"/>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5B91E2A6-2CBB-49E8-AFDD-DC871CCAC339}" type="TxLink">
              <a:rPr lang="en-US" sz="1100" b="0" i="0" u="none" strike="noStrike">
                <a:solidFill>
                  <a:srgbClr val="000000"/>
                </a:solidFill>
                <a:latin typeface="Calibri"/>
                <a:ea typeface="Calibri"/>
                <a:cs typeface="Calibri"/>
              </a:rPr>
              <a:pPr algn="ctr"/>
              <a:t>21.29%</a:t>
            </a:fld>
            <a:endParaRPr lang="en-US" sz="1100"/>
          </a:p>
        </xdr:txBody>
      </xdr:sp>
    </xdr:grpSp>
    <xdr:clientData/>
  </xdr:twoCellAnchor>
  <xdr:twoCellAnchor>
    <xdr:from>
      <xdr:col>17</xdr:col>
      <xdr:colOff>381000</xdr:colOff>
      <xdr:row>4</xdr:row>
      <xdr:rowOff>0</xdr:rowOff>
    </xdr:from>
    <xdr:to>
      <xdr:col>20</xdr:col>
      <xdr:colOff>399288</xdr:colOff>
      <xdr:row>7</xdr:row>
      <xdr:rowOff>18288</xdr:rowOff>
    </xdr:to>
    <xdr:grpSp>
      <xdr:nvGrpSpPr>
        <xdr:cNvPr id="18" name="Group 17">
          <a:extLst>
            <a:ext uri="{FF2B5EF4-FFF2-40B4-BE49-F238E27FC236}">
              <a16:creationId xmlns:a16="http://schemas.microsoft.com/office/drawing/2014/main" id="{5D57CF77-EBBE-4DCA-BC82-694312848B41}"/>
            </a:ext>
          </a:extLst>
        </xdr:cNvPr>
        <xdr:cNvGrpSpPr/>
      </xdr:nvGrpSpPr>
      <xdr:grpSpPr>
        <a:xfrm>
          <a:off x="11340981" y="740636"/>
          <a:ext cx="1855634" cy="573764"/>
          <a:chOff x="2545080" y="746760"/>
          <a:chExt cx="1307592" cy="518160"/>
        </a:xfrm>
      </xdr:grpSpPr>
      <xdr:sp macro="" textlink="">
        <xdr:nvSpPr>
          <xdr:cNvPr id="19" name="Rectangle: Rounded Corners 18">
            <a:extLst>
              <a:ext uri="{FF2B5EF4-FFF2-40B4-BE49-F238E27FC236}">
                <a16:creationId xmlns:a16="http://schemas.microsoft.com/office/drawing/2014/main" id="{86E9210D-3304-B22E-AF5A-B4EDB53EB258}"/>
              </a:ext>
            </a:extLst>
          </xdr:cNvPr>
          <xdr:cNvSpPr/>
        </xdr:nvSpPr>
        <xdr:spPr>
          <a:xfrm>
            <a:off x="2545080" y="746760"/>
            <a:ext cx="1307592" cy="5181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100" b="1" cap="none" spc="0">
                <a:ln/>
                <a:solidFill>
                  <a:schemeClr val="accent3"/>
                </a:solidFill>
                <a:effectLst/>
                <a:latin typeface="+mj-lt"/>
              </a:rPr>
              <a:t>  Average Tenure</a:t>
            </a:r>
          </a:p>
        </xdr:txBody>
      </xdr:sp>
      <xdr:sp macro="" textlink="'Clean Data'!AD12">
        <xdr:nvSpPr>
          <xdr:cNvPr id="20" name="Rectangle: Rounded Corners 19">
            <a:extLst>
              <a:ext uri="{FF2B5EF4-FFF2-40B4-BE49-F238E27FC236}">
                <a16:creationId xmlns:a16="http://schemas.microsoft.com/office/drawing/2014/main" id="{606DA0C3-FA42-A337-7929-ED813B09A627}"/>
              </a:ext>
            </a:extLst>
          </xdr:cNvPr>
          <xdr:cNvSpPr/>
        </xdr:nvSpPr>
        <xdr:spPr>
          <a:xfrm>
            <a:off x="2804160" y="969051"/>
            <a:ext cx="922020" cy="256032"/>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192A2E20-1A09-4ECB-9C56-4F8B1AA96FFF}" type="TxLink">
              <a:rPr lang="en-US" sz="1100" b="0" i="0" u="none" strike="noStrike">
                <a:solidFill>
                  <a:srgbClr val="000000"/>
                </a:solidFill>
                <a:latin typeface="Calibri"/>
                <a:ea typeface="Calibri"/>
                <a:cs typeface="Calibri"/>
              </a:rPr>
              <a:pPr algn="ctr"/>
              <a:t>4Y 11M 5D</a:t>
            </a:fld>
            <a:endParaRPr lang="en-US" sz="1100"/>
          </a:p>
        </xdr:txBody>
      </xdr:sp>
    </xdr:grpSp>
    <xdr:clientData/>
  </xdr:twoCellAnchor>
  <xdr:twoCellAnchor>
    <xdr:from>
      <xdr:col>3</xdr:col>
      <xdr:colOff>487680</xdr:colOff>
      <xdr:row>8</xdr:row>
      <xdr:rowOff>0</xdr:rowOff>
    </xdr:from>
    <xdr:to>
      <xdr:col>10</xdr:col>
      <xdr:colOff>259080</xdr:colOff>
      <xdr:row>21</xdr:row>
      <xdr:rowOff>76200</xdr:rowOff>
    </xdr:to>
    <xdr:graphicFrame macro="">
      <xdr:nvGraphicFramePr>
        <xdr:cNvPr id="21" name="Chart 20">
          <a:extLst>
            <a:ext uri="{FF2B5EF4-FFF2-40B4-BE49-F238E27FC236}">
              <a16:creationId xmlns:a16="http://schemas.microsoft.com/office/drawing/2014/main" id="{4CB2959A-E369-4AD0-96FF-766A91185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533400</xdr:colOff>
      <xdr:row>8</xdr:row>
      <xdr:rowOff>7620</xdr:rowOff>
    </xdr:from>
    <xdr:to>
      <xdr:col>16</xdr:col>
      <xdr:colOff>358140</xdr:colOff>
      <xdr:row>21</xdr:row>
      <xdr:rowOff>91440</xdr:rowOff>
    </xdr:to>
    <xdr:graphicFrame macro="">
      <xdr:nvGraphicFramePr>
        <xdr:cNvPr id="22" name="Chart 21">
          <a:extLst>
            <a:ext uri="{FF2B5EF4-FFF2-40B4-BE49-F238E27FC236}">
              <a16:creationId xmlns:a16="http://schemas.microsoft.com/office/drawing/2014/main" id="{2F226F2B-8373-4006-8B0B-CA4646ED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586740</xdr:colOff>
      <xdr:row>8</xdr:row>
      <xdr:rowOff>22860</xdr:rowOff>
    </xdr:from>
    <xdr:to>
      <xdr:col>22</xdr:col>
      <xdr:colOff>289560</xdr:colOff>
      <xdr:row>21</xdr:row>
      <xdr:rowOff>99060</xdr:rowOff>
    </xdr:to>
    <xdr:graphicFrame macro="">
      <xdr:nvGraphicFramePr>
        <xdr:cNvPr id="23" name="Chart 22">
          <a:extLst>
            <a:ext uri="{FF2B5EF4-FFF2-40B4-BE49-F238E27FC236}">
              <a16:creationId xmlns:a16="http://schemas.microsoft.com/office/drawing/2014/main" id="{AB67193A-F673-4EA1-B94F-6F7586A48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156673</xdr:rowOff>
    </xdr:from>
    <xdr:to>
      <xdr:col>2</xdr:col>
      <xdr:colOff>35608</xdr:colOff>
      <xdr:row>12</xdr:row>
      <xdr:rowOff>92579</xdr:rowOff>
    </xdr:to>
    <mc:AlternateContent xmlns:mc="http://schemas.openxmlformats.org/markup-compatibility/2006">
      <mc:Choice xmlns:a14="http://schemas.microsoft.com/office/drawing/2010/main" Requires="a14">
        <xdr:graphicFrame macro="">
          <xdr:nvGraphicFramePr>
            <xdr:cNvPr id="3" name="Employee status 1">
              <a:extLst>
                <a:ext uri="{FF2B5EF4-FFF2-40B4-BE49-F238E27FC236}">
                  <a16:creationId xmlns:a16="http://schemas.microsoft.com/office/drawing/2014/main" id="{9B6A53D1-EC18-4FF1-BA71-EF0D0D58712F}"/>
                </a:ext>
              </a:extLst>
            </xdr:cNvPr>
            <xdr:cNvGraphicFramePr/>
          </xdr:nvGraphicFramePr>
          <xdr:xfrm>
            <a:off x="0" y="0"/>
            <a:ext cx="0" cy="0"/>
          </xdr:xfrm>
          <a:graphic>
            <a:graphicData uri="http://schemas.microsoft.com/office/drawing/2010/slicer">
              <sle:slicer xmlns:sle="http://schemas.microsoft.com/office/drawing/2010/slicer" name="Employee status 1"/>
            </a:graphicData>
          </a:graphic>
        </xdr:graphicFrame>
      </mc:Choice>
      <mc:Fallback>
        <xdr:sp macro="" textlink="">
          <xdr:nvSpPr>
            <xdr:cNvPr id="0" name=""/>
            <xdr:cNvSpPr>
              <a:spLocks noTextEdit="1"/>
            </xdr:cNvSpPr>
          </xdr:nvSpPr>
          <xdr:spPr>
            <a:xfrm>
              <a:off x="0" y="1452785"/>
              <a:ext cx="1808860" cy="861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14243</xdr:colOff>
      <xdr:row>13</xdr:row>
      <xdr:rowOff>128187</xdr:rowOff>
    </xdr:from>
    <xdr:to>
      <xdr:col>2</xdr:col>
      <xdr:colOff>69791</xdr:colOff>
      <xdr:row>24</xdr:row>
      <xdr:rowOff>80258</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9638B62A-383A-425B-9CEE-A13117D8E65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243" y="2535252"/>
              <a:ext cx="1828800" cy="1988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114300</xdr:rowOff>
    </xdr:from>
    <xdr:to>
      <xdr:col>6</xdr:col>
      <xdr:colOff>320040</xdr:colOff>
      <xdr:row>1</xdr:row>
      <xdr:rowOff>160020</xdr:rowOff>
    </xdr:to>
    <xdr:sp macro="" textlink="">
      <xdr:nvSpPr>
        <xdr:cNvPr id="2" name="TextBox 1">
          <a:extLst>
            <a:ext uri="{FF2B5EF4-FFF2-40B4-BE49-F238E27FC236}">
              <a16:creationId xmlns:a16="http://schemas.microsoft.com/office/drawing/2014/main" id="{380C9D72-255F-D42A-AE5D-94C71B261ACA}"/>
            </a:ext>
          </a:extLst>
        </xdr:cNvPr>
        <xdr:cNvSpPr txBox="1"/>
      </xdr:nvSpPr>
      <xdr:spPr>
        <a:xfrm>
          <a:off x="76200" y="114300"/>
          <a:ext cx="4861560" cy="228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Headcount (Count of Employee ID) by Department and Gender.</a:t>
          </a:r>
        </a:p>
      </xdr:txBody>
    </xdr:sp>
    <xdr:clientData/>
  </xdr:twoCellAnchor>
  <xdr:twoCellAnchor>
    <xdr:from>
      <xdr:col>0</xdr:col>
      <xdr:colOff>76200</xdr:colOff>
      <xdr:row>7</xdr:row>
      <xdr:rowOff>114300</xdr:rowOff>
    </xdr:from>
    <xdr:to>
      <xdr:col>4</xdr:col>
      <xdr:colOff>99060</xdr:colOff>
      <xdr:row>9</xdr:row>
      <xdr:rowOff>7620</xdr:rowOff>
    </xdr:to>
    <xdr:sp macro="" textlink="">
      <xdr:nvSpPr>
        <xdr:cNvPr id="3" name="TextBox 2">
          <a:extLst>
            <a:ext uri="{FF2B5EF4-FFF2-40B4-BE49-F238E27FC236}">
              <a16:creationId xmlns:a16="http://schemas.microsoft.com/office/drawing/2014/main" id="{73F27295-4FE2-A78B-2173-56ADB3765344}"/>
            </a:ext>
          </a:extLst>
        </xdr:cNvPr>
        <xdr:cNvSpPr txBox="1"/>
      </xdr:nvSpPr>
      <xdr:spPr>
        <a:xfrm>
          <a:off x="76200" y="1394460"/>
          <a:ext cx="3985260" cy="25908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Average Monthly Salary by Department sorted Largest to Smallest</a:t>
          </a:r>
        </a:p>
      </xdr:txBody>
    </xdr:sp>
    <xdr:clientData/>
  </xdr:twoCellAnchor>
  <xdr:twoCellAnchor>
    <xdr:from>
      <xdr:col>0</xdr:col>
      <xdr:colOff>91440</xdr:colOff>
      <xdr:row>17</xdr:row>
      <xdr:rowOff>114300</xdr:rowOff>
    </xdr:from>
    <xdr:to>
      <xdr:col>6</xdr:col>
      <xdr:colOff>266700</xdr:colOff>
      <xdr:row>18</xdr:row>
      <xdr:rowOff>160020</xdr:rowOff>
    </xdr:to>
    <xdr:sp macro="" textlink="">
      <xdr:nvSpPr>
        <xdr:cNvPr id="4" name="TextBox 3">
          <a:extLst>
            <a:ext uri="{FF2B5EF4-FFF2-40B4-BE49-F238E27FC236}">
              <a16:creationId xmlns:a16="http://schemas.microsoft.com/office/drawing/2014/main" id="{81C7DCF9-24D5-DC74-9514-531881A58817}"/>
            </a:ext>
          </a:extLst>
        </xdr:cNvPr>
        <xdr:cNvSpPr txBox="1"/>
      </xdr:nvSpPr>
      <xdr:spPr>
        <a:xfrm>
          <a:off x="91440" y="3223260"/>
          <a:ext cx="4427220" cy="228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Group Date of Joining by Year in a PivotTable to see hiring trend over time</a:t>
          </a:r>
        </a:p>
      </xdr:txBody>
    </xdr:sp>
    <xdr:clientData/>
  </xdr:twoCellAnchor>
  <xdr:twoCellAnchor editAs="oneCell">
    <xdr:from>
      <xdr:col>7</xdr:col>
      <xdr:colOff>335280</xdr:colOff>
      <xdr:row>0</xdr:row>
      <xdr:rowOff>68581</xdr:rowOff>
    </xdr:from>
    <xdr:to>
      <xdr:col>8</xdr:col>
      <xdr:colOff>1424940</xdr:colOff>
      <xdr:row>5</xdr:row>
      <xdr:rowOff>7621</xdr:rowOff>
    </xdr:to>
    <mc:AlternateContent xmlns:mc="http://schemas.openxmlformats.org/markup-compatibility/2006" xmlns:a14="http://schemas.microsoft.com/office/drawing/2010/main">
      <mc:Choice Requires="a14">
        <xdr:graphicFrame macro="">
          <xdr:nvGraphicFramePr>
            <xdr:cNvPr id="5" name="Employee status">
              <a:extLst>
                <a:ext uri="{FF2B5EF4-FFF2-40B4-BE49-F238E27FC236}">
                  <a16:creationId xmlns:a16="http://schemas.microsoft.com/office/drawing/2014/main" id="{2CDE3077-CD68-9077-5F1C-E05281F76F86}"/>
                </a:ext>
              </a:extLst>
            </xdr:cNvPr>
            <xdr:cNvGraphicFramePr/>
          </xdr:nvGraphicFramePr>
          <xdr:xfrm>
            <a:off x="0" y="0"/>
            <a:ext cx="0" cy="0"/>
          </xdr:xfrm>
          <a:graphic>
            <a:graphicData uri="http://schemas.microsoft.com/office/drawing/2010/slicer">
              <sle:slicer xmlns:sle="http://schemas.microsoft.com/office/drawing/2010/slicer" name="Employee status"/>
            </a:graphicData>
          </a:graphic>
        </xdr:graphicFrame>
      </mc:Choice>
      <mc:Fallback xmlns="">
        <xdr:sp macro="" textlink="">
          <xdr:nvSpPr>
            <xdr:cNvPr id="0" name=""/>
            <xdr:cNvSpPr>
              <a:spLocks noTextEdit="1"/>
            </xdr:cNvSpPr>
          </xdr:nvSpPr>
          <xdr:spPr>
            <a:xfrm>
              <a:off x="4823460" y="68581"/>
              <a:ext cx="182880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220980</xdr:colOff>
      <xdr:row>0</xdr:row>
      <xdr:rowOff>68580</xdr:rowOff>
    </xdr:from>
    <xdr:to>
      <xdr:col>13</xdr:col>
      <xdr:colOff>563880</xdr:colOff>
      <xdr:row>11</xdr:row>
      <xdr:rowOff>45719</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2EA706FF-04A0-1610-FC8C-A5AD54111D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45780" y="68580"/>
              <a:ext cx="1828800" cy="1988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30480</xdr:colOff>
      <xdr:row>15</xdr:row>
      <xdr:rowOff>68580</xdr:rowOff>
    </xdr:from>
    <xdr:to>
      <xdr:col>11</xdr:col>
      <xdr:colOff>411480</xdr:colOff>
      <xdr:row>16</xdr:row>
      <xdr:rowOff>137160</xdr:rowOff>
    </xdr:to>
    <xdr:sp macro="" textlink="">
      <xdr:nvSpPr>
        <xdr:cNvPr id="10" name="TextBox 9">
          <a:extLst>
            <a:ext uri="{FF2B5EF4-FFF2-40B4-BE49-F238E27FC236}">
              <a16:creationId xmlns:a16="http://schemas.microsoft.com/office/drawing/2014/main" id="{2D27EC4F-797E-9080-50F1-7299ACE46442}"/>
            </a:ext>
          </a:extLst>
        </xdr:cNvPr>
        <xdr:cNvSpPr txBox="1"/>
      </xdr:nvSpPr>
      <xdr:spPr>
        <a:xfrm>
          <a:off x="5745480" y="2811780"/>
          <a:ext cx="3825240" cy="2514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count of 'Exited' employees by Department and by Year of exit.</a:t>
          </a:r>
        </a:p>
      </xdr:txBody>
    </xdr:sp>
    <xdr:clientData/>
  </xdr:twoCellAnchor>
  <xdr:twoCellAnchor>
    <xdr:from>
      <xdr:col>3</xdr:col>
      <xdr:colOff>419100</xdr:colOff>
      <xdr:row>30</xdr:row>
      <xdr:rowOff>68580</xdr:rowOff>
    </xdr:from>
    <xdr:to>
      <xdr:col>9</xdr:col>
      <xdr:colOff>922020</xdr:colOff>
      <xdr:row>45</xdr:row>
      <xdr:rowOff>68580</xdr:rowOff>
    </xdr:to>
    <xdr:graphicFrame macro="">
      <xdr:nvGraphicFramePr>
        <xdr:cNvPr id="11" name="Chart 10">
          <a:extLst>
            <a:ext uri="{FF2B5EF4-FFF2-40B4-BE49-F238E27FC236}">
              <a16:creationId xmlns:a16="http://schemas.microsoft.com/office/drawing/2014/main" id="{B43BAEF9-E9FE-9C4F-F77F-B6963375C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45</xdr:row>
      <xdr:rowOff>144780</xdr:rowOff>
    </xdr:from>
    <xdr:to>
      <xdr:col>8</xdr:col>
      <xdr:colOff>1546860</xdr:colOff>
      <xdr:row>57</xdr:row>
      <xdr:rowOff>83820</xdr:rowOff>
    </xdr:to>
    <xdr:graphicFrame macro="">
      <xdr:nvGraphicFramePr>
        <xdr:cNvPr id="12" name="Chart 11">
          <a:extLst>
            <a:ext uri="{FF2B5EF4-FFF2-40B4-BE49-F238E27FC236}">
              <a16:creationId xmlns:a16="http://schemas.microsoft.com/office/drawing/2014/main" id="{FD80E390-FAEE-3F4B-C1DE-2D9915408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20</xdr:row>
      <xdr:rowOff>76200</xdr:rowOff>
    </xdr:from>
    <xdr:to>
      <xdr:col>7</xdr:col>
      <xdr:colOff>548640</xdr:colOff>
      <xdr:row>27</xdr:row>
      <xdr:rowOff>144780</xdr:rowOff>
    </xdr:to>
    <xdr:graphicFrame macro="">
      <xdr:nvGraphicFramePr>
        <xdr:cNvPr id="13" name="Chart 12">
          <a:extLst>
            <a:ext uri="{FF2B5EF4-FFF2-40B4-BE49-F238E27FC236}">
              <a16:creationId xmlns:a16="http://schemas.microsoft.com/office/drawing/2014/main" id="{99A712BB-CCA4-B7D1-A05B-31492D732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i" refreshedDate="46221.66250972222" createdVersion="8" refreshedVersion="8" minRefreshableVersion="3" recordCount="351" xr:uid="{2D665F48-5B2C-4A93-83F1-009ADCAC33F5}">
  <cacheSource type="worksheet">
    <worksheetSource ref="A1:V1048576" sheet="Clean Data"/>
  </cacheSource>
  <cacheFields count="24">
    <cacheField name="Employee ID" numFmtId="0">
      <sharedItems containsString="0" containsBlank="1" containsNumber="1" containsInteger="1" minValue="5001" maxValue="5350"/>
    </cacheField>
    <cacheField name="Employee Name" numFmtId="0">
      <sharedItems containsBlank="1"/>
    </cacheField>
    <cacheField name="Gender" numFmtId="0">
      <sharedItems containsBlank="1" count="3">
        <s v="Female"/>
        <s v="Male"/>
        <m/>
      </sharedItems>
    </cacheField>
    <cacheField name="Department" numFmtId="0">
      <sharedItems containsBlank="1" count="7">
        <s v="Customer Support"/>
        <s v="Finance"/>
        <s v="Marketing"/>
        <s v="Engineering"/>
        <s v="Sales"/>
        <s v="HR"/>
        <m/>
      </sharedItems>
    </cacheField>
    <cacheField name="Dept Code" numFmtId="0">
      <sharedItems containsBlank="1"/>
    </cacheField>
    <cacheField name="Manager Name" numFmtId="0">
      <sharedItems containsBlank="1"/>
    </cacheField>
    <cacheField name="City" numFmtId="0">
      <sharedItems containsBlank="1"/>
    </cacheField>
    <cacheField name="Email ID" numFmtId="0">
      <sharedItems containsBlank="1"/>
    </cacheField>
    <cacheField name="Phone" numFmtId="0">
      <sharedItems containsBlank="1"/>
    </cacheField>
    <cacheField name="Date of Joining" numFmtId="165">
      <sharedItems containsNonDate="0" containsDate="1" containsString="0" containsBlank="1" minDate="2018-01-01T00:00:00" maxDate="2024-06-25T00:00:00" count="322">
        <d v="2018-08-03T00:00:00"/>
        <d v="2020-06-18T00:00:00"/>
        <d v="2019-04-08T00:00:00"/>
        <d v="2023-08-04T00:00:00"/>
        <d v="2020-11-29T00:00:00"/>
        <d v="2022-09-17T00:00:00"/>
        <d v="2020-04-27T00:00:00"/>
        <d v="2023-04-20T00:00:00"/>
        <d v="2024-03-10T00:00:00"/>
        <d v="2022-03-17T00:00:00"/>
        <d v="2021-11-23T00:00:00"/>
        <d v="2019-02-12T00:00:00"/>
        <d v="2021-05-13T00:00:00"/>
        <d v="2020-02-20T00:00:00"/>
        <d v="2022-08-27T00:00:00"/>
        <d v="2022-03-24T00:00:00"/>
        <d v="2018-03-13T00:00:00"/>
        <d v="2020-01-04T00:00:00"/>
        <d v="2019-04-26T00:00:00"/>
        <d v="2020-10-25T00:00:00"/>
        <d v="2021-08-03T00:00:00"/>
        <d v="2022-05-19T00:00:00"/>
        <d v="2023-10-19T00:00:00"/>
        <d v="2021-02-04T00:00:00"/>
        <d v="2024-01-31T00:00:00"/>
        <d v="2020-10-12T00:00:00"/>
        <d v="2019-10-20T00:00:00"/>
        <d v="2018-11-07T00:00:00"/>
        <d v="2024-02-07T00:00:00"/>
        <d v="2024-04-17T00:00:00"/>
        <d v="2023-04-07T00:00:00"/>
        <d v="2021-06-11T00:00:00"/>
        <d v="2022-05-21T00:00:00"/>
        <d v="2021-12-18T00:00:00"/>
        <d v="2022-02-21T00:00:00"/>
        <d v="2020-05-07T00:00:00"/>
        <d v="2023-12-19T00:00:00"/>
        <d v="2020-07-30T00:00:00"/>
        <d v="2023-12-05T00:00:00"/>
        <d v="2020-12-03T00:00:00"/>
        <d v="2020-06-25T00:00:00"/>
        <d v="2023-04-17T00:00:00"/>
        <d v="2024-05-25T00:00:00"/>
        <d v="2020-12-01T00:00:00"/>
        <d v="2020-02-08T00:00:00"/>
        <d v="2023-04-05T00:00:00"/>
        <d v="2023-10-28T00:00:00"/>
        <d v="2020-09-17T00:00:00"/>
        <d v="2019-11-04T00:00:00"/>
        <d v="2023-11-06T00:00:00"/>
        <d v="2023-06-08T00:00:00"/>
        <d v="2021-05-06T00:00:00"/>
        <d v="2020-01-07T00:00:00"/>
        <d v="2023-11-22T00:00:00"/>
        <d v="2019-12-30T00:00:00"/>
        <d v="2018-06-19T00:00:00"/>
        <d v="2019-07-04T00:00:00"/>
        <d v="2020-06-29T00:00:00"/>
        <d v="2019-03-11T00:00:00"/>
        <d v="2021-07-28T00:00:00"/>
        <d v="2022-03-16T00:00:00"/>
        <d v="2019-04-01T00:00:00"/>
        <d v="2020-08-29T00:00:00"/>
        <d v="2019-03-17T00:00:00"/>
        <d v="2020-03-25T00:00:00"/>
        <d v="2021-11-09T00:00:00"/>
        <d v="2019-09-05T00:00:00"/>
        <d v="2022-05-25T00:00:00"/>
        <d v="2020-09-24T00:00:00"/>
        <d v="2023-04-10T00:00:00"/>
        <d v="2023-12-08T00:00:00"/>
        <d v="2019-08-21T00:00:00"/>
        <d v="2022-01-13T00:00:00"/>
        <d v="2023-05-19T00:00:00"/>
        <d v="2021-03-14T00:00:00"/>
        <d v="2022-05-20T00:00:00"/>
        <d v="2018-09-17T00:00:00"/>
        <d v="2019-12-16T00:00:00"/>
        <d v="2021-07-04T00:00:00"/>
        <d v="2022-08-16T00:00:00"/>
        <d v="2022-04-30T00:00:00"/>
        <d v="2019-04-04T00:00:00"/>
        <d v="2022-12-06T00:00:00"/>
        <d v="2019-02-04T00:00:00"/>
        <d v="2020-10-08T00:00:00"/>
        <d v="2023-05-12T00:00:00"/>
        <d v="2022-01-21T00:00:00"/>
        <d v="2020-12-16T00:00:00"/>
        <d v="2021-05-14T00:00:00"/>
        <d v="2020-04-09T00:00:00"/>
        <d v="2019-05-15T00:00:00"/>
        <d v="2023-09-16T00:00:00"/>
        <d v="2022-11-22T00:00:00"/>
        <d v="2018-11-25T00:00:00"/>
        <d v="2019-09-21T00:00:00"/>
        <d v="2023-01-12T00:00:00"/>
        <d v="2022-11-18T00:00:00"/>
        <d v="2022-02-03T00:00:00"/>
        <d v="2024-03-15T00:00:00"/>
        <d v="2020-04-10T00:00:00"/>
        <d v="2019-02-27T00:00:00"/>
        <d v="2019-06-02T00:00:00"/>
        <d v="2024-04-23T00:00:00"/>
        <d v="2020-10-28T00:00:00"/>
        <d v="2020-06-27T00:00:00"/>
        <d v="2023-04-23T00:00:00"/>
        <d v="2020-03-22T00:00:00"/>
        <d v="2020-02-05T00:00:00"/>
        <d v="2024-02-01T00:00:00"/>
        <d v="2019-09-30T00:00:00"/>
        <d v="2023-05-25T00:00:00"/>
        <d v="2021-08-11T00:00:00"/>
        <d v="2023-10-13T00:00:00"/>
        <d v="2019-10-05T00:00:00"/>
        <d v="2021-03-27T00:00:00"/>
        <d v="2024-04-03T00:00:00"/>
        <d v="2019-11-08T00:00:00"/>
        <d v="2020-01-29T00:00:00"/>
        <d v="2022-07-22T00:00:00"/>
        <d v="2020-10-14T00:00:00"/>
        <d v="2020-07-28T00:00:00"/>
        <d v="2019-08-23T00:00:00"/>
        <d v="2020-07-01T00:00:00"/>
        <d v="2021-01-06T00:00:00"/>
        <d v="2019-03-29T00:00:00"/>
        <d v="2022-01-30T00:00:00"/>
        <d v="2024-06-22T00:00:00"/>
        <d v="2022-07-14T00:00:00"/>
        <d v="2023-09-15T00:00:00"/>
        <d v="2023-06-10T00:00:00"/>
        <d v="2020-11-17T00:00:00"/>
        <d v="2022-12-05T00:00:00"/>
        <d v="2022-06-25T00:00:00"/>
        <d v="2021-09-21T00:00:00"/>
        <d v="2021-07-16T00:00:00"/>
        <d v="2024-05-03T00:00:00"/>
        <d v="2021-12-31T00:00:00"/>
        <d v="2022-10-03T00:00:00"/>
        <d v="2023-07-31T00:00:00"/>
        <d v="2023-06-30T00:00:00"/>
        <d v="2018-08-26T00:00:00"/>
        <d v="2024-04-14T00:00:00"/>
        <d v="2023-08-06T00:00:00"/>
        <d v="2019-10-12T00:00:00"/>
        <d v="2023-10-15T00:00:00"/>
        <d v="2019-04-19T00:00:00"/>
        <d v="2019-10-02T00:00:00"/>
        <d v="2022-01-29T00:00:00"/>
        <d v="2020-01-27T00:00:00"/>
        <d v="2023-07-17T00:00:00"/>
        <d v="2021-10-06T00:00:00"/>
        <d v="2022-01-11T00:00:00"/>
        <d v="2019-09-11T00:00:00"/>
        <d v="2020-02-02T00:00:00"/>
        <d v="2020-10-18T00:00:00"/>
        <d v="2021-04-07T00:00:00"/>
        <d v="2019-10-10T00:00:00"/>
        <d v="2020-06-09T00:00:00"/>
        <d v="2018-12-25T00:00:00"/>
        <d v="2018-01-21T00:00:00"/>
        <d v="2023-12-31T00:00:00"/>
        <d v="2020-06-08T00:00:00"/>
        <d v="2018-10-27T00:00:00"/>
        <d v="2020-02-15T00:00:00"/>
        <d v="2021-04-24T00:00:00"/>
        <d v="2021-07-09T00:00:00"/>
        <d v="2019-02-26T00:00:00"/>
        <d v="2018-09-24T00:00:00"/>
        <d v="2022-03-05T00:00:00"/>
        <d v="2021-07-22T00:00:00"/>
        <d v="2021-12-15T00:00:00"/>
        <d v="2021-10-10T00:00:00"/>
        <d v="2020-03-03T00:00:00"/>
        <d v="2021-04-14T00:00:00"/>
        <d v="2019-07-10T00:00:00"/>
        <d v="2020-01-24T00:00:00"/>
        <d v="2021-05-18T00:00:00"/>
        <d v="2019-02-07T00:00:00"/>
        <d v="2019-01-25T00:00:00"/>
        <d v="2020-10-26T00:00:00"/>
        <d v="2024-04-10T00:00:00"/>
        <d v="2023-04-13T00:00:00"/>
        <d v="2019-11-01T00:00:00"/>
        <d v="2018-11-17T00:00:00"/>
        <d v="2018-01-01T00:00:00"/>
        <d v="2018-08-04T00:00:00"/>
        <d v="2021-09-11T00:00:00"/>
        <d v="2018-03-03T00:00:00"/>
        <d v="2020-05-18T00:00:00"/>
        <d v="2018-05-06T00:00:00"/>
        <d v="2023-02-11T00:00:00"/>
        <d v="2018-03-02T00:00:00"/>
        <d v="2020-07-21T00:00:00"/>
        <d v="2019-12-20T00:00:00"/>
        <d v="2018-01-19T00:00:00"/>
        <d v="2018-12-11T00:00:00"/>
        <d v="2021-06-16T00:00:00"/>
        <d v="2018-08-16T00:00:00"/>
        <d v="2022-07-05T00:00:00"/>
        <d v="2021-08-25T00:00:00"/>
        <d v="2021-01-26T00:00:00"/>
        <d v="2020-11-19T00:00:00"/>
        <d v="2021-05-04T00:00:00"/>
        <d v="2018-03-09T00:00:00"/>
        <d v="2022-03-19T00:00:00"/>
        <d v="2018-04-12T00:00:00"/>
        <d v="2019-10-27T00:00:00"/>
        <d v="2023-12-15T00:00:00"/>
        <d v="2019-09-15T00:00:00"/>
        <d v="2024-05-14T00:00:00"/>
        <d v="2019-03-22T00:00:00"/>
        <d v="2018-09-09T00:00:00"/>
        <d v="2019-06-16T00:00:00"/>
        <d v="2020-02-03T00:00:00"/>
        <d v="2023-09-17T00:00:00"/>
        <d v="2021-04-09T00:00:00"/>
        <d v="2024-01-18T00:00:00"/>
        <d v="2021-12-01T00:00:00"/>
        <d v="2022-11-21T00:00:00"/>
        <d v="2024-02-23T00:00:00"/>
        <d v="2022-01-18T00:00:00"/>
        <d v="2023-03-25T00:00:00"/>
        <d v="2022-08-13T00:00:00"/>
        <d v="2022-09-15T00:00:00"/>
        <d v="2020-10-07T00:00:00"/>
        <d v="2019-02-15T00:00:00"/>
        <d v="2022-09-22T00:00:00"/>
        <d v="2020-03-04T00:00:00"/>
        <d v="2019-02-18T00:00:00"/>
        <d v="2018-06-18T00:00:00"/>
        <d v="2021-10-18T00:00:00"/>
        <d v="2021-02-27T00:00:00"/>
        <d v="2020-04-19T00:00:00"/>
        <d v="2018-10-02T00:00:00"/>
        <d v="2022-10-15T00:00:00"/>
        <d v="2022-12-23T00:00:00"/>
        <d v="2021-11-22T00:00:00"/>
        <d v="2022-03-09T00:00:00"/>
        <d v="2020-06-07T00:00:00"/>
        <d v="2021-06-17T00:00:00"/>
        <d v="2018-12-20T00:00:00"/>
        <d v="2020-11-22T00:00:00"/>
        <d v="2020-07-25T00:00:00"/>
        <d v="2022-08-22T00:00:00"/>
        <d v="2022-12-10T00:00:00"/>
        <d v="2023-07-10T00:00:00"/>
        <d v="2023-10-27T00:00:00"/>
        <d v="2021-10-19T00:00:00"/>
        <d v="2021-06-02T00:00:00"/>
        <d v="2022-06-14T00:00:00"/>
        <d v="2021-12-10T00:00:00"/>
        <d v="2020-08-03T00:00:00"/>
        <d v="2022-02-12T00:00:00"/>
        <d v="2022-12-07T00:00:00"/>
        <d v="2020-01-18T00:00:00"/>
        <d v="2019-08-09T00:00:00"/>
        <d v="2023-12-06T00:00:00"/>
        <d v="2019-03-07T00:00:00"/>
        <d v="2023-11-05T00:00:00"/>
        <d v="2024-06-24T00:00:00"/>
        <d v="2019-08-04T00:00:00"/>
        <d v="2024-05-10T00:00:00"/>
        <d v="2018-06-24T00:00:00"/>
        <d v="2021-12-14T00:00:00"/>
        <d v="2019-01-11T00:00:00"/>
        <d v="2021-05-15T00:00:00"/>
        <d v="2018-04-10T00:00:00"/>
        <d v="2021-06-20T00:00:00"/>
        <d v="2021-04-12T00:00:00"/>
        <d v="2018-04-13T00:00:00"/>
        <d v="2022-08-18T00:00:00"/>
        <d v="2023-06-01T00:00:00"/>
        <d v="2020-06-05T00:00:00"/>
        <d v="2019-11-26T00:00:00"/>
        <d v="2018-05-25T00:00:00"/>
        <d v="2018-01-02T00:00:00"/>
        <d v="2021-12-06T00:00:00"/>
        <d v="2019-09-10T00:00:00"/>
        <d v="2019-12-11T00:00:00"/>
        <d v="2020-01-10T00:00:00"/>
        <d v="2024-04-02T00:00:00"/>
        <d v="2019-12-12T00:00:00"/>
        <d v="2023-04-22T00:00:00"/>
        <d v="2021-11-30T00:00:00"/>
        <d v="2022-12-16T00:00:00"/>
        <d v="2020-06-10T00:00:00"/>
        <d v="2022-05-04T00:00:00"/>
        <d v="2018-07-14T00:00:00"/>
        <d v="2020-11-09T00:00:00"/>
        <d v="2024-06-06T00:00:00"/>
        <d v="2018-06-10T00:00:00"/>
        <d v="2020-04-13T00:00:00"/>
        <d v="2019-08-29T00:00:00"/>
        <d v="2020-04-06T00:00:00"/>
        <d v="2020-01-06T00:00:00"/>
        <d v="2022-04-18T00:00:00"/>
        <d v="2020-11-20T00:00:00"/>
        <d v="2022-12-02T00:00:00"/>
        <d v="2018-09-03T00:00:00"/>
        <d v="2023-03-07T00:00:00"/>
        <d v="2022-10-11T00:00:00"/>
        <d v="2020-08-22T00:00:00"/>
        <d v="2022-03-03T00:00:00"/>
        <d v="2023-09-22T00:00:00"/>
        <d v="2019-01-05T00:00:00"/>
        <d v="2020-08-05T00:00:00"/>
        <d v="2021-08-22T00:00:00"/>
        <d v="2022-11-26T00:00:00"/>
        <d v="2022-12-31T00:00:00"/>
        <d v="2023-06-02T00:00:00"/>
        <d v="2019-12-04T00:00:00"/>
        <d v="2019-03-01T00:00:00"/>
        <d v="2018-12-31T00:00:00"/>
        <d v="2021-03-09T00:00:00"/>
        <d v="2021-05-08T00:00:00"/>
        <d v="2021-05-22T00:00:00"/>
        <d v="2018-07-26T00:00:00"/>
        <d v="2019-05-19T00:00:00"/>
        <d v="2023-09-24T00:00:00"/>
        <d v="2022-07-21T00:00:00"/>
        <d v="2020-06-13T00:00:00"/>
        <m/>
      </sharedItems>
      <fieldGroup par="23"/>
    </cacheField>
    <cacheField name="Date of Exit" numFmtId="165">
      <sharedItems containsDate="1" containsBlank="1" containsMixedTypes="1" minDate="2020-05-06T00:00:00" maxDate="2025-07-01T00:00:00"/>
    </cacheField>
    <cacheField name="Date of Exit(Year)" numFmtId="0">
      <sharedItems containsBlank="1" containsMixedTypes="1" containsNumber="1" containsInteger="1" minValue="2020" maxValue="2025" count="8">
        <s v=""/>
        <n v="2024"/>
        <n v="2025"/>
        <n v="2021"/>
        <n v="2022"/>
        <n v="2023"/>
        <n v="2020"/>
        <m/>
      </sharedItems>
    </cacheField>
    <cacheField name="Employment Tenure" numFmtId="0">
      <sharedItems containsBlank="1"/>
    </cacheField>
    <cacheField name="Tenure" numFmtId="0">
      <sharedItems containsString="0" containsBlank="1" containsNumber="1" minValue="252.52" maxValue="3121.64"/>
    </cacheField>
    <cacheField name="Employee status" numFmtId="0">
      <sharedItems containsBlank="1" count="3">
        <s v="Active"/>
        <s v="Exited"/>
        <m/>
      </sharedItems>
    </cacheField>
    <cacheField name="Monthly Salary" numFmtId="168">
      <sharedItems containsString="0" containsBlank="1" containsNumber="1" containsInteger="1" minValue="0" maxValue="179947"/>
    </cacheField>
    <cacheField name="Performance Rating" numFmtId="0">
      <sharedItems containsBlank="1"/>
    </cacheField>
    <cacheField name="Leave Balance" numFmtId="0">
      <sharedItems containsBlank="1" containsMixedTypes="1" containsNumber="1" containsInteger="1" minValue="0" maxValue="25"/>
    </cacheField>
    <cacheField name="Field19" caption="Field19" numFmtId="0">
      <sharedItems containsNonDate="0" containsString="0" containsBlank="1"/>
    </cacheField>
    <cacheField name="Field20" caption="Field20" numFmtId="0">
      <sharedItems containsNonDate="0" containsString="0" containsBlank="1"/>
    </cacheField>
    <cacheField name="Department2" numFmtId="0">
      <sharedItems containsBlank="1"/>
    </cacheField>
    <cacheField name="Head Count" numFmtId="0">
      <sharedItems containsBlank="1" containsMixedTypes="1" containsNumber="1" minValue="5" maxValue="1938.322307692308"/>
    </cacheField>
    <cacheField name="Months (Date of Joining)" numFmtId="0" databaseField="0">
      <fieldGroup base="9">
        <rangePr groupBy="months" startDate="2018-01-01T00:00:00" endDate="2024-06-25T00:00:00"/>
        <groupItems count="14">
          <s v="&lt;1/1/2018"/>
          <s v="Jan"/>
          <s v="Feb"/>
          <s v="Mar"/>
          <s v="Apr"/>
          <s v="May"/>
          <s v="Jun"/>
          <s v="Jul"/>
          <s v="Aug"/>
          <s v="Sep"/>
          <s v="Oct"/>
          <s v="Nov"/>
          <s v="Dec"/>
          <s v="&gt;6/25/2024"/>
        </groupItems>
      </fieldGroup>
    </cacheField>
    <cacheField name="Years (Date of Joining)" numFmtId="0" databaseField="0">
      <fieldGroup base="9">
        <rangePr groupBy="years" startDate="2018-01-01T00:00:00" endDate="2024-06-25T00:00:00"/>
        <groupItems count="9">
          <s v="&lt;1/1/2018"/>
          <s v="2018"/>
          <s v="2019"/>
          <s v="2020"/>
          <s v="2021"/>
          <s v="2022"/>
          <s v="2023"/>
          <s v="2024"/>
          <s v="&gt;6/25/2024"/>
        </groupItems>
      </fieldGroup>
    </cacheField>
  </cacheFields>
  <extLst>
    <ext xmlns:x14="http://schemas.microsoft.com/office/spreadsheetml/2009/9/main" uri="{725AE2AE-9491-48be-B2B4-4EB974FC3084}">
      <x14:pivotCacheDefinition pivotCacheId="243223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n v="5304"/>
    <s v="Rajesh Trivedi"/>
    <x v="0"/>
    <x v="0"/>
    <s v="D06"/>
    <s v="Faisal Ahmed"/>
    <s v="Mumbai"/>
    <s v="rajesh.trivedi@company.com"/>
    <s v="Incomplete"/>
    <x v="0"/>
    <s v="Missing"/>
    <x v="0"/>
    <s v="7 Years, 11 Months, 13 Days"/>
    <n v="2906.59"/>
    <x v="0"/>
    <n v="159086"/>
    <s v="Excellent"/>
    <n v="9"/>
    <m/>
    <m/>
    <s v="Customer Support"/>
    <n v="55"/>
  </r>
  <r>
    <n v="5129"/>
    <s v="Pooja Trivedi"/>
    <x v="1"/>
    <x v="1"/>
    <s v="D05"/>
    <s v="Leela Iyer"/>
    <s v="Kolkata"/>
    <s v="pooja.trivedi@company.com"/>
    <s v="+91-3302610219"/>
    <x v="1"/>
    <s v="Missing"/>
    <x v="0"/>
    <s v="6 Years, 0 Months, 28 Days"/>
    <n v="2221.94"/>
    <x v="0"/>
    <n v="89883"/>
    <s v="Not Rated"/>
    <n v="20"/>
    <m/>
    <m/>
    <s v="Finance"/>
    <n v="58"/>
  </r>
  <r>
    <n v="5014"/>
    <s v="Rajesh Shah"/>
    <x v="0"/>
    <x v="1"/>
    <s v="D05"/>
    <s v="Leela Iyer"/>
    <s v="Bengaluru"/>
    <s v="rajesh.shah@company.com"/>
    <s v="Incomplete"/>
    <x v="2"/>
    <d v="2024-03-06T00:00:00"/>
    <x v="1"/>
    <s v="4 Years, 10 Months, 27 Days"/>
    <n v="1792.4"/>
    <x v="1"/>
    <n v="62467"/>
    <s v="Average"/>
    <n v="19"/>
    <m/>
    <m/>
    <s v="Marketing"/>
    <n v="51"/>
  </r>
  <r>
    <n v="5260"/>
    <s v="Varun Shah"/>
    <x v="1"/>
    <x v="2"/>
    <s v="D04"/>
    <s v="Vivek Malhotra"/>
    <s v="Ahmedabad"/>
    <s v="varun.shah@company.com"/>
    <s v="Invalid"/>
    <x v="3"/>
    <d v="2025-06-30T00:00:00"/>
    <x v="2"/>
    <s v="1 Years, 10 Months, 26 Days"/>
    <n v="695.65000000000009"/>
    <x v="1"/>
    <n v="0"/>
    <s v="Average"/>
    <n v="25"/>
    <m/>
    <m/>
    <s v="Engineering"/>
    <n v="64"/>
  </r>
  <r>
    <n v="5330"/>
    <s v="Amit Naidu"/>
    <x v="1"/>
    <x v="3"/>
    <s v="D01"/>
    <s v="Ananya Sen"/>
    <s v="Pune"/>
    <s v="amitnaidu@company.com"/>
    <s v="Invalid"/>
    <x v="4"/>
    <d v="2025-04-30T00:00:00"/>
    <x v="2"/>
    <s v="4 Years, 5 Months, 1 Days"/>
    <n v="1614.2"/>
    <x v="1"/>
    <n v="162965"/>
    <s v="Excellent"/>
    <n v="16"/>
    <m/>
    <m/>
    <s v="Sales"/>
    <n v="68"/>
  </r>
  <r>
    <n v="5350"/>
    <s v="Arjun Mehta"/>
    <x v="0"/>
    <x v="1"/>
    <s v="D05"/>
    <s v="Leela Iyer"/>
    <s v="Chennai"/>
    <s v="arjun.mehta@company.com"/>
    <s v="Invalid"/>
    <x v="5"/>
    <s v="Missing"/>
    <x v="0"/>
    <s v="3 Years, 9 Months, 29 Days"/>
    <n v="1401.15"/>
    <x v="0"/>
    <n v="173211"/>
    <s v="Below Average"/>
    <n v="18"/>
    <m/>
    <m/>
    <s v="HR"/>
    <n v="54"/>
  </r>
  <r>
    <n v="5130"/>
    <s v="Priya Kapoor"/>
    <x v="1"/>
    <x v="4"/>
    <s v="D02"/>
    <s v="Rajiv Kapoor"/>
    <s v="Bengaluru"/>
    <s v="priya.kapoor@company.com"/>
    <s v="+91-4762020274"/>
    <x v="6"/>
    <s v="Missing"/>
    <x v="0"/>
    <s v="6 Years, 2 Months, 19 Days"/>
    <n v="2273.38"/>
    <x v="0"/>
    <n v="87855"/>
    <s v="Average"/>
    <n v="20"/>
    <m/>
    <m/>
    <s v="No Dept"/>
    <n v="5"/>
  </r>
  <r>
    <n v="5283"/>
    <s v="Meenal Pillai"/>
    <x v="1"/>
    <x v="3"/>
    <s v="D01"/>
    <s v="Ananya Sen"/>
    <s v="Ahmedabad"/>
    <s v="meenal.pillai@company.com"/>
    <s v="+91-4819825539"/>
    <x v="7"/>
    <d v="2025-06-30T00:00:00"/>
    <x v="2"/>
    <s v="2 Years, 2 Months, 10 Days"/>
    <n v="801.38"/>
    <x v="1"/>
    <n v="70870"/>
    <s v="Below Average"/>
    <n v="23"/>
    <m/>
    <m/>
    <m/>
    <m/>
  </r>
  <r>
    <n v="5179"/>
    <s v="Yash Desai"/>
    <x v="1"/>
    <x v="2"/>
    <s v="D04"/>
    <s v="Vivek Malhotra"/>
    <s v="Kolkata"/>
    <s v="yash.desai@company.com"/>
    <s v="+91-4763237185"/>
    <x v="8"/>
    <s v="Missing"/>
    <x v="0"/>
    <s v="2 Years, 4 Months, 6 Days"/>
    <n v="860.26"/>
    <x v="0"/>
    <n v="136375"/>
    <s v="Not Rated"/>
    <n v="23"/>
    <m/>
    <m/>
    <m/>
    <m/>
  </r>
  <r>
    <n v="5047"/>
    <s v="Rohan Kapoor"/>
    <x v="0"/>
    <x v="1"/>
    <s v="D05"/>
    <s v="Leela Iyer"/>
    <s v="Kolkata"/>
    <s v="rohankapoor@company.com"/>
    <s v="+91-4301540486"/>
    <x v="9"/>
    <d v="2025-06-30T00:00:00"/>
    <x v="2"/>
    <s v="3 Years, 3 Months, 13 Days"/>
    <n v="1200.07"/>
    <x v="1"/>
    <n v="56096"/>
    <s v="Average"/>
    <n v="25"/>
    <m/>
    <m/>
    <s v="Department"/>
    <s v="Avg Tenure by dept"/>
  </r>
  <r>
    <n v="5316"/>
    <s v="Yash Verma"/>
    <x v="0"/>
    <x v="1"/>
    <s v="D05"/>
    <s v="Leela Iyer"/>
    <s v="Delhi"/>
    <s v="yash.verma@company.com"/>
    <s v="+91-6358814765"/>
    <x v="10"/>
    <s v="Still Employed"/>
    <x v="0"/>
    <s v="4 Years, 7 Months, 23 Days"/>
    <n v="1699.08"/>
    <x v="0"/>
    <n v="130511"/>
    <s v="Poor"/>
    <n v="16"/>
    <m/>
    <m/>
    <s v="Customer Support"/>
    <n v="1724.8014545454546"/>
  </r>
  <r>
    <n v="5028"/>
    <s v="Vikram Joshi"/>
    <x v="0"/>
    <x v="0"/>
    <s v="D06"/>
    <s v="Faisal Ahmed"/>
    <s v="Ahmedabad"/>
    <s v="vikram.joshi@company.com"/>
    <s v="+91-0084745378"/>
    <x v="11"/>
    <s v="Still Employed"/>
    <x v="0"/>
    <s v="7 Years, 5 Months, 4 Days"/>
    <n v="2714.95"/>
    <x v="0"/>
    <n v="85253"/>
    <s v="Below Average"/>
    <n v="6"/>
    <m/>
    <m/>
    <s v="Finance"/>
    <n v="1810.7024561403516"/>
  </r>
  <r>
    <n v="5178"/>
    <s v="Kirti Saxena"/>
    <x v="0"/>
    <x v="4"/>
    <s v="D02"/>
    <s v="Rajiv Kapoor"/>
    <s v="Ahmedabad"/>
    <s v="kirti.saxena@company.com"/>
    <s v="+91-1004281152"/>
    <x v="12"/>
    <s v="N/A"/>
    <x v="0"/>
    <s v="5 Years, 2 Months, 3 Days"/>
    <n v="1892.13"/>
    <x v="0"/>
    <n v="124338"/>
    <s v="Good"/>
    <n v="2"/>
    <m/>
    <m/>
    <s v="Marketing"/>
    <n v="1803.1400000000003"/>
  </r>
  <r>
    <n v="5258"/>
    <s v="Tanvi Rao"/>
    <x v="1"/>
    <x v="0"/>
    <s v="D06"/>
    <s v="Faisal Ahmed"/>
    <s v="Chennai"/>
    <s v="tanvi.rao@company.com"/>
    <s v="+91-8046774548"/>
    <x v="13"/>
    <s v="Still Employed"/>
    <x v="0"/>
    <s v="6 Years, 4 Months, 26 Days"/>
    <n v="2341.2600000000002"/>
    <x v="0"/>
    <n v="118204"/>
    <s v="Good"/>
    <n v="24"/>
    <m/>
    <m/>
    <s v="Engineering"/>
    <n v="1746.0106451612908"/>
  </r>
  <r>
    <n v="5325"/>
    <s v="Arjun Desai"/>
    <x v="1"/>
    <x v="2"/>
    <s v="D04"/>
    <s v="Vivek Malhotra"/>
    <s v="Mumbai"/>
    <s v="arjun.desai@company.com"/>
    <s v="+91-7675703548"/>
    <x v="14"/>
    <s v="N/A"/>
    <x v="0"/>
    <s v="3 Years, 10 Months, 19 Days"/>
    <n v="1421.15"/>
    <x v="0"/>
    <n v="137736"/>
    <s v="Excellent"/>
    <n v="8"/>
    <m/>
    <m/>
    <s v="Sales"/>
    <n v="1938.322307692308"/>
  </r>
  <r>
    <n v="5342"/>
    <s v="Isha Rao"/>
    <x v="1"/>
    <x v="5"/>
    <s v="D03"/>
    <s v="Sunita Rao"/>
    <s v="Delhi"/>
    <s v="isha.rao@company.com "/>
    <s v="+91-9742803407"/>
    <x v="15"/>
    <s v="Missing"/>
    <x v="0"/>
    <s v="4 Years, 3 Months, 22 Days"/>
    <n v="1576.32"/>
    <x v="0"/>
    <n v="64962"/>
    <s v="Poor"/>
    <n v="22"/>
    <m/>
    <m/>
    <s v="HR"/>
    <n v="1765.685740740741"/>
  </r>
  <r>
    <n v="5185"/>
    <s v="Tanvi Menon"/>
    <x v="1"/>
    <x v="0"/>
    <s v="D06"/>
    <s v="Faisal Ahmed"/>
    <s v="Mumbai"/>
    <s v="tanvi.menon@company.com"/>
    <s v="+91-0838728322"/>
    <x v="16"/>
    <d v="2021-10-12T00:00:00"/>
    <x v="3"/>
    <s v="3 Years, 6 Months, 29 Days"/>
    <n v="1307.3900000000001"/>
    <x v="1"/>
    <n v="129820"/>
    <s v="Good"/>
    <n v="19"/>
    <m/>
    <m/>
    <m/>
    <m/>
  </r>
  <r>
    <n v="5119"/>
    <s v="Kavya Naidu"/>
    <x v="0"/>
    <x v="3"/>
    <s v="D01"/>
    <s v="Ananya Sen"/>
    <s v="Bengaluru"/>
    <s v="kavya.naidu@company.com"/>
    <s v="+91-1533142044"/>
    <x v="17"/>
    <s v="Still Employed"/>
    <x v="0"/>
    <s v="6 Years, 6 Months, 12 Days"/>
    <n v="2388.14"/>
    <x v="0"/>
    <n v="0"/>
    <s v="Not Rated"/>
    <n v="10"/>
    <m/>
    <m/>
    <m/>
    <m/>
  </r>
  <r>
    <n v="5262"/>
    <s v="Varun Rao"/>
    <x v="0"/>
    <x v="4"/>
    <s v="D02"/>
    <s v="Rajiv Kapoor"/>
    <s v="Delhi"/>
    <s v="varun.rao@company.com"/>
    <s v="+91-4907969025"/>
    <x v="18"/>
    <s v="Still Employed"/>
    <x v="0"/>
    <s v="7 Years, 2 Months, 20 Days"/>
    <n v="2639.63"/>
    <x v="0"/>
    <n v="171338"/>
    <s v="Below Average"/>
    <n v="13"/>
    <m/>
    <m/>
    <s v="Performance Rating"/>
    <s v="Total Employees"/>
  </r>
  <r>
    <n v="5033"/>
    <s v="Deepak Reddy"/>
    <x v="0"/>
    <x v="3"/>
    <s v="D01"/>
    <s v="Ananya Sen"/>
    <s v="Kolkata"/>
    <s v="deepakreddy@company.com"/>
    <s v="+91-4293557591"/>
    <x v="19"/>
    <d v="2025-06-30T00:00:00"/>
    <x v="2"/>
    <s v="4 Years, 8 Months, 5 Days"/>
    <n v="1709.52"/>
    <x v="1"/>
    <n v="69788"/>
    <s v="Good"/>
    <s v="Negate Leave"/>
    <m/>
    <m/>
    <s v="Excellent"/>
    <n v="57"/>
  </r>
  <r>
    <n v="5187"/>
    <s v="Kirti Iyer"/>
    <x v="0"/>
    <x v="2"/>
    <s v="D04"/>
    <s v="Vivek Malhotra"/>
    <s v="Chennai"/>
    <s v="kirti.iyer@company.com"/>
    <s v="+91-3326596442"/>
    <x v="20"/>
    <s v="Still Employed"/>
    <x v="0"/>
    <s v="4 Years, 11 Months, 13 Days"/>
    <n v="1810.8400000000001"/>
    <x v="0"/>
    <n v="177349"/>
    <s v="Good"/>
    <n v="7"/>
    <m/>
    <m/>
    <s v="Not Rated"/>
    <n v="27"/>
  </r>
  <r>
    <n v="5234"/>
    <s v="Manish Trivedi"/>
    <x v="0"/>
    <x v="0"/>
    <s v="D06"/>
    <s v="Faisal Ahmed"/>
    <s v="Mumbai"/>
    <s v="manish.trivedi@company.com"/>
    <s v="+91-1825477549"/>
    <x v="21"/>
    <d v="2025-06-30T00:00:00"/>
    <x v="2"/>
    <s v="3 Years, 1 Months, 11 Days"/>
    <n v="1137.19"/>
    <x v="1"/>
    <n v="157049"/>
    <s v="Below Average"/>
    <n v="18"/>
    <m/>
    <m/>
    <s v="Average"/>
    <n v="77"/>
  </r>
  <r>
    <n v="5257"/>
    <s v="Kavya Naidu"/>
    <x v="1"/>
    <x v="5"/>
    <s v="D03"/>
    <s v="Sunita Rao"/>
    <s v="Hyderabad"/>
    <s v="kavya.naidu@company.com"/>
    <s v="+91-7175635077"/>
    <x v="22"/>
    <s v="N/A"/>
    <x v="0"/>
    <s v="2 Years, 8 Months, 27 Days"/>
    <n v="1003.02"/>
    <x v="0"/>
    <n v="68179"/>
    <s v="Poor"/>
    <n v="11"/>
    <m/>
    <m/>
    <s v="Below Average"/>
    <n v="46"/>
  </r>
  <r>
    <n v="5222"/>
    <s v="Anita Trivedi"/>
    <x v="1"/>
    <x v="0"/>
    <s v="D06"/>
    <s v="Faisal Ahmed"/>
    <s v="Ahmedabad"/>
    <s v="anita.trivedi@company.com"/>
    <s v="+91-5604428899"/>
    <x v="23"/>
    <s v="Missing"/>
    <x v="0"/>
    <s v="5 Years, 5 Months, 12 Days"/>
    <n v="1992.45"/>
    <x v="0"/>
    <n v="108898"/>
    <s v="Good"/>
    <n v="24"/>
    <m/>
    <m/>
    <s v="Poor"/>
    <n v="67"/>
  </r>
  <r>
    <n v="5081"/>
    <s v="Isha Mehta"/>
    <x v="0"/>
    <x v="2"/>
    <s v="D04"/>
    <s v="Vivek Malhotra"/>
    <s v="Hyderabad"/>
    <s v="isha.mehta@company.com "/>
    <s v="Incomplete"/>
    <x v="24"/>
    <d v="2024-10-10T00:00:00"/>
    <x v="1"/>
    <s v="0 Years, 8 Months, 9 Days"/>
    <n v="252.52"/>
    <x v="1"/>
    <n v="61346"/>
    <s v="Average"/>
    <n v="15"/>
    <m/>
    <m/>
    <s v="Good"/>
    <n v="69"/>
  </r>
  <r>
    <n v="5305"/>
    <s v="Anita Desai"/>
    <x v="0"/>
    <x v="2"/>
    <s v="D04"/>
    <s v="Vivek Malhotra"/>
    <s v="Mumbai"/>
    <s v="anita.desai@company.com"/>
    <s v="+91-5974426531"/>
    <x v="25"/>
    <s v="Still Employed"/>
    <x v="0"/>
    <s v="5 Years, 9 Months, 4 Days"/>
    <n v="2106.21"/>
    <x v="0"/>
    <n v="41487"/>
    <s v="Poor"/>
    <n v="13"/>
    <m/>
    <m/>
    <m/>
    <m/>
  </r>
  <r>
    <n v="5199"/>
    <s v="Karthik Bhatt"/>
    <x v="1"/>
    <x v="2"/>
    <s v="D04"/>
    <s v="Vivek Malhotra"/>
    <s v="Ahmedabad"/>
    <s v="karthik.bhatt@company.com"/>
    <s v="+91-7774951879"/>
    <x v="26"/>
    <s v="Missing"/>
    <x v="0"/>
    <s v="6 Years, 8 Months, 26 Days"/>
    <n v="2463.02"/>
    <x v="0"/>
    <n v="118429"/>
    <s v="Excellent"/>
    <n v="0"/>
    <m/>
    <m/>
    <m/>
    <m/>
  </r>
  <r>
    <n v="5313"/>
    <s v="Anjali Saxena"/>
    <x v="1"/>
    <x v="4"/>
    <s v="D02"/>
    <s v="Rajiv Kapoor"/>
    <s v="Kolkata"/>
    <s v="anjali.saxena@company.com"/>
    <s v="Incomplete"/>
    <x v="27"/>
    <s v="Still Employed"/>
    <x v="0"/>
    <s v="7 Years, 8 Months, 9 Days"/>
    <n v="2811.27"/>
    <x v="0"/>
    <n v="166172"/>
    <s v="Average"/>
    <n v="14"/>
    <m/>
    <m/>
    <m/>
    <m/>
  </r>
  <r>
    <n v="5120"/>
    <s v="Rahul Shah"/>
    <x v="1"/>
    <x v="1"/>
    <s v="D05"/>
    <s v="Leela Iyer"/>
    <s v="Hyderabad"/>
    <s v="rahul.shah@company.com"/>
    <s v="+91-6626662039"/>
    <x v="28"/>
    <s v="Missing"/>
    <x v="0"/>
    <s v="2 Years, 5 Months, 9 Days"/>
    <n v="893.7"/>
    <x v="0"/>
    <n v="142576"/>
    <s v="Excellent"/>
    <n v="4"/>
    <m/>
    <m/>
    <m/>
    <m/>
  </r>
  <r>
    <n v="5080"/>
    <s v="Deepak Desai"/>
    <x v="0"/>
    <x v="2"/>
    <s v="D04"/>
    <s v="Vivek Malhotra"/>
    <s v="Pune"/>
    <s v="deepak.desai@company.com"/>
    <s v="+91-0518215638"/>
    <x v="29"/>
    <s v="Still Employed"/>
    <x v="0"/>
    <s v="2 Years, 2 Months, 29 Days"/>
    <n v="822.82"/>
    <x v="0"/>
    <n v="127646"/>
    <s v="Below Average"/>
    <n v="21"/>
    <m/>
    <m/>
    <m/>
    <m/>
  </r>
  <r>
    <n v="5058"/>
    <s v="Anita Agarwal"/>
    <x v="0"/>
    <x v="4"/>
    <s v="D02"/>
    <s v="Rajiv Kapoor"/>
    <s v="Ahmedabad"/>
    <s v="anita.agarwal@company.com"/>
    <s v="+91-2704534577"/>
    <x v="30"/>
    <s v="N/A"/>
    <x v="0"/>
    <s v="3 Years, 3 Months, 9 Days"/>
    <n v="1198.07"/>
    <x v="0"/>
    <n v="105103"/>
    <s v="Average"/>
    <n v="6"/>
    <m/>
    <m/>
    <m/>
    <m/>
  </r>
  <r>
    <n v="5146"/>
    <s v="Suresh Bose"/>
    <x v="0"/>
    <x v="3"/>
    <s v="D01"/>
    <s v="Ananya Sen"/>
    <s v="Ahmedabad"/>
    <s v="suresh.bose@company.com"/>
    <s v="+91-5667552288"/>
    <x v="31"/>
    <s v="Missing"/>
    <x v="0"/>
    <s v="5 Years, 1 Months, 5 Days"/>
    <n v="1863.69"/>
    <x v="0"/>
    <n v="65888"/>
    <s v="Average"/>
    <n v="7"/>
    <m/>
    <m/>
    <m/>
    <m/>
  </r>
  <r>
    <n v="5160"/>
    <s v="Sneha Bose"/>
    <x v="1"/>
    <x v="0"/>
    <s v="D06"/>
    <s v="Faisal Ahmed"/>
    <s v="Bengaluru"/>
    <s v="sneha.bose@company.com"/>
    <s v="+91-4992191641"/>
    <x v="32"/>
    <s v="Missing"/>
    <x v="0"/>
    <s v="4 Years, 1 Months, 25 Days"/>
    <n v="1518.44"/>
    <x v="0"/>
    <n v="0"/>
    <s v="Excellent"/>
    <s v="Negate Leave"/>
    <m/>
    <m/>
    <m/>
    <m/>
  </r>
  <r>
    <n v="5302"/>
    <s v="Rahul Bose"/>
    <x v="1"/>
    <x v="3"/>
    <s v="D01"/>
    <s v="Ananya Sen"/>
    <s v="Pune"/>
    <s v="rahul.bose@company.com"/>
    <s v="+91-3209290012"/>
    <x v="33"/>
    <s v="N/A"/>
    <x v="0"/>
    <s v="4 Years, 6 Months, 28 Days"/>
    <n v="1674.08"/>
    <x v="0"/>
    <n v="158915"/>
    <s v="Excellent"/>
    <n v="7"/>
    <m/>
    <m/>
    <m/>
    <m/>
  </r>
  <r>
    <n v="5278"/>
    <s v="Kirti Naidu"/>
    <x v="1"/>
    <x v="1"/>
    <s v="D05"/>
    <s v="Leela Iyer"/>
    <s v="Chennai"/>
    <s v="No Email ID"/>
    <s v="+91-5691555422"/>
    <x v="34"/>
    <s v="N/A"/>
    <x v="0"/>
    <s v="4 Years, 4 Months, 25 Days"/>
    <n v="1609.76"/>
    <x v="0"/>
    <n v="64163"/>
    <s v="Not Rated"/>
    <n v="24"/>
    <m/>
    <m/>
    <m/>
    <m/>
  </r>
  <r>
    <n v="5152"/>
    <s v="Varun Verma"/>
    <x v="0"/>
    <x v="5"/>
    <s v="D03"/>
    <s v="Sunita Rao"/>
    <s v="Hyderabad"/>
    <s v="varun.verma@company.com"/>
    <s v="+91-6626220139"/>
    <x v="35"/>
    <s v="Still Employed"/>
    <x v="0"/>
    <s v="6 Years, 2 Months, 9 Days"/>
    <n v="2263.38"/>
    <x v="0"/>
    <n v="85616"/>
    <s v="Not Rated"/>
    <n v="22"/>
    <m/>
    <m/>
    <m/>
    <m/>
  </r>
  <r>
    <n v="5011"/>
    <s v="Simran Pillai"/>
    <x v="0"/>
    <x v="4"/>
    <s v="D02"/>
    <s v="Rajiv Kapoor"/>
    <s v="Delhi"/>
    <s v="simran.pillai@company.com"/>
    <s v="+91-2227918058"/>
    <x v="36"/>
    <s v="Still Employed"/>
    <x v="0"/>
    <s v="2 Years, 6 Months, 27 Days"/>
    <n v="942.14"/>
    <x v="0"/>
    <n v="150376"/>
    <s v="Excellent"/>
    <s v="Negate Leave"/>
    <m/>
    <m/>
    <m/>
    <m/>
  </r>
  <r>
    <n v="5047"/>
    <s v="Rohan Kapoor"/>
    <x v="1"/>
    <x v="0"/>
    <s v="D06"/>
    <s v="Faisal Ahmed"/>
    <s v="Pune"/>
    <s v="rahul.iyer@company.com"/>
    <s v="+91-5902551109"/>
    <x v="37"/>
    <s v="N/A"/>
    <x v="0"/>
    <s v="5 Years, 11 Months, 16 Days"/>
    <n v="2179.09"/>
    <x v="0"/>
    <n v="153992"/>
    <s v="Not Rated"/>
    <n v="18"/>
    <m/>
    <m/>
    <m/>
    <m/>
  </r>
  <r>
    <n v="5219"/>
    <s v="Rahul Iyer"/>
    <x v="1"/>
    <x v="4"/>
    <s v="D02"/>
    <s v="Rajiv Kapoor"/>
    <s v="Kolkata"/>
    <s v="aarav.menon@company.com"/>
    <s v="+91-7080061465"/>
    <x v="38"/>
    <s v="Still Employed"/>
    <x v="0"/>
    <s v="2 Years, 7 Months, 11 Days"/>
    <n v="956.58"/>
    <x v="0"/>
    <n v="51124"/>
    <s v="Average"/>
    <n v="4"/>
    <m/>
    <m/>
    <m/>
    <m/>
  </r>
  <r>
    <n v="5338"/>
    <s v="Aarav Menon"/>
    <x v="1"/>
    <x v="4"/>
    <s v="D02"/>
    <s v="Rajiv Kapoor"/>
    <s v="Hyderabad"/>
    <s v="varun.iyer@company.com"/>
    <s v="Invalid"/>
    <x v="39"/>
    <s v="N/A"/>
    <x v="0"/>
    <s v="5 Years, 7 Months, 13 Days"/>
    <n v="2054.33"/>
    <x v="0"/>
    <n v="52464"/>
    <s v="Good"/>
    <n v="6"/>
    <m/>
    <m/>
    <m/>
    <m/>
  </r>
  <r>
    <n v="5015"/>
    <s v="Varun Iyer"/>
    <x v="1"/>
    <x v="5"/>
    <s v="D03"/>
    <s v="Sunita Rao"/>
    <s v="Pune"/>
    <s v="priya.gupta@company.com"/>
    <s v="+91-7387389189"/>
    <x v="40"/>
    <d v="2022-05-25T00:00:00"/>
    <x v="4"/>
    <s v="1 Years, 11 Months, 0 Days"/>
    <n v="700.09"/>
    <x v="1"/>
    <n v="59894"/>
    <s v="Poor"/>
    <n v="1"/>
    <m/>
    <m/>
    <m/>
    <m/>
  </r>
  <r>
    <n v="5104"/>
    <s v="Priya Gupta"/>
    <x v="1"/>
    <x v="0"/>
    <s v="D06"/>
    <s v="Faisal Ahmed"/>
    <s v="Delhi"/>
    <s v="divya.mehta@company.com"/>
    <s v="+91-9348792346"/>
    <x v="41"/>
    <s v="Still Employed"/>
    <x v="0"/>
    <s v="3 Years, 2 Months, 29 Days"/>
    <n v="1188.07"/>
    <x v="0"/>
    <n v="111579"/>
    <s v="Average"/>
    <n v="3"/>
    <m/>
    <m/>
    <m/>
    <m/>
  </r>
  <r>
    <n v="5253"/>
    <s v="Divya Mehta"/>
    <x v="1"/>
    <x v="5"/>
    <s v="D03"/>
    <s v="Sunita Rao"/>
    <s v="Hyderabad"/>
    <s v="anjali.menon@company.com"/>
    <s v="+91-4718713264"/>
    <x v="42"/>
    <s v="Still Employed"/>
    <x v="0"/>
    <s v="2 Years, 1 Months, 21 Days"/>
    <n v="783.94"/>
    <x v="0"/>
    <n v="115357"/>
    <s v="Excellent"/>
    <n v="9"/>
    <m/>
    <m/>
    <m/>
    <m/>
  </r>
  <r>
    <n v="5124"/>
    <s v="Anjali Menon"/>
    <x v="0"/>
    <x v="4"/>
    <s v="D02"/>
    <s v="Rajiv Kapoor"/>
    <s v="Ahmedabad"/>
    <s v="divya.agarwal@company.com "/>
    <s v="+91-1387837576"/>
    <x v="43"/>
    <s v="Missing"/>
    <x v="0"/>
    <s v="5 Years, 7 Months, 15 Days"/>
    <n v="2056.33"/>
    <x v="0"/>
    <n v="0"/>
    <s v="Excellent"/>
    <n v="14"/>
    <m/>
    <m/>
    <m/>
    <m/>
  </r>
  <r>
    <n v="5025"/>
    <s v="Divya Agarwal"/>
    <x v="1"/>
    <x v="0"/>
    <s v="D06"/>
    <s v="Faisal Ahmed"/>
    <s v="Pune"/>
    <s v="kirti.bose@company.com"/>
    <s v="Incomplete"/>
    <x v="44"/>
    <s v="Missing"/>
    <x v="0"/>
    <s v="6 Years, 5 Months, 8 Days"/>
    <n v="2353.6999999999998"/>
    <x v="0"/>
    <n v="35031"/>
    <s v="Below Average"/>
    <n v="4"/>
    <m/>
    <m/>
    <m/>
    <m/>
  </r>
  <r>
    <n v="5180"/>
    <s v="Kirti Bose"/>
    <x v="0"/>
    <x v="5"/>
    <s v="D03"/>
    <s v="Sunita Rao"/>
    <s v="Kolkata"/>
    <s v="No Email ID"/>
    <s v="+91-6055319088"/>
    <x v="45"/>
    <s v="Missing"/>
    <x v="0"/>
    <s v="3 Years, 3 Months, 11 Days"/>
    <n v="1200.07"/>
    <x v="0"/>
    <n v="43300"/>
    <s v="Below Average"/>
    <s v="Negate Leave"/>
    <m/>
    <m/>
    <m/>
    <m/>
  </r>
  <r>
    <n v="5306"/>
    <s v="Neha Trivedi"/>
    <x v="0"/>
    <x v="2"/>
    <s v="D04"/>
    <s v="Vivek Malhotra"/>
    <s v="Mumbai"/>
    <s v="sanjay.naidu@company.com"/>
    <s v="+91-3276945298"/>
    <x v="46"/>
    <s v="Missing"/>
    <x v="0"/>
    <s v="2 Years, 8 Months, 18 Days"/>
    <n v="994.02"/>
    <x v="0"/>
    <n v="63712"/>
    <s v="Average"/>
    <n v="4"/>
    <m/>
    <m/>
    <m/>
    <m/>
  </r>
  <r>
    <n v="5229"/>
    <s v="Sanjay Naidu"/>
    <x v="1"/>
    <x v="0"/>
    <s v="D06"/>
    <s v="Faisal Ahmed"/>
    <s v="Chennai"/>
    <s v="amit.chopra@company.com"/>
    <s v="+91-1319800199"/>
    <x v="47"/>
    <s v="Missing"/>
    <x v="0"/>
    <s v="5 Years, 9 Months, 29 Days"/>
    <n v="2131.65"/>
    <x v="0"/>
    <n v="157939"/>
    <s v="Poor"/>
    <n v="4"/>
    <m/>
    <m/>
    <m/>
    <m/>
  </r>
  <r>
    <n v="5293"/>
    <s v="Amit Chopra"/>
    <x v="0"/>
    <x v="1"/>
    <s v="D05"/>
    <s v="Leela Iyer"/>
    <s v="Pune"/>
    <s v="vikram.rao@company.com"/>
    <s v="+91-3294168973"/>
    <x v="48"/>
    <s v="N/A"/>
    <x v="0"/>
    <s v="6 Years, 8 Months, 12 Days"/>
    <n v="2449.02"/>
    <x v="0"/>
    <n v="0"/>
    <s v="Average"/>
    <n v="20"/>
    <m/>
    <m/>
    <m/>
    <m/>
  </r>
  <r>
    <n v="5198"/>
    <s v="Vikram Rao"/>
    <x v="0"/>
    <x v="3"/>
    <s v="D01"/>
    <s v="Ananya Sen"/>
    <s v="Chennai"/>
    <s v="anjali.naidu@company.com"/>
    <s v="Invalid"/>
    <x v="49"/>
    <d v="2025-06-30T00:00:00"/>
    <x v="2"/>
    <s v="1 Years, 7 Months, 24 Days"/>
    <n v="602.33000000000004"/>
    <x v="1"/>
    <n v="0"/>
    <s v="Excellent"/>
    <n v="0"/>
    <m/>
    <m/>
    <m/>
    <m/>
  </r>
  <r>
    <n v="5190"/>
    <s v="Anjali Naidu"/>
    <x v="1"/>
    <x v="0"/>
    <s v="D06"/>
    <s v="Faisal Ahmed"/>
    <s v="Ahmedabad"/>
    <s v="nikhil.rao@company.com"/>
    <s v="+91-9205983997"/>
    <x v="50"/>
    <s v="Missing"/>
    <x v="0"/>
    <s v="3 Years, 1 Months, 8 Days"/>
    <n v="1136.19"/>
    <x v="0"/>
    <n v="90565"/>
    <s v="Average"/>
    <n v="13"/>
    <m/>
    <m/>
    <m/>
    <m/>
  </r>
  <r>
    <n v="5337"/>
    <s v="Nikhil Rao"/>
    <x v="0"/>
    <x v="3"/>
    <s v="D01"/>
    <s v="Ananya Sen"/>
    <s v="Mumbai"/>
    <s v="sneha.menon@company.com"/>
    <s v="+91-7889148654"/>
    <x v="15"/>
    <s v="N/A"/>
    <x v="0"/>
    <s v="4 Years, 3 Months, 22 Days"/>
    <n v="1576.32"/>
    <x v="0"/>
    <n v="65167"/>
    <s v="Good"/>
    <n v="21"/>
    <m/>
    <m/>
    <m/>
    <m/>
  </r>
  <r>
    <n v="5043"/>
    <s v="Sneha Menon"/>
    <x v="1"/>
    <x v="2"/>
    <s v="D04"/>
    <s v="Vivek Malhotra"/>
    <s v="Bengaluru"/>
    <s v="priya.desai@company.com"/>
    <s v="+91-2967000891"/>
    <x v="51"/>
    <d v="2025-06-30T00:00:00"/>
    <x v="2"/>
    <s v="4 Years, 1 Months, 24 Days"/>
    <n v="1515.44"/>
    <x v="1"/>
    <n v="154270"/>
    <s v="Good"/>
    <n v="8"/>
    <m/>
    <m/>
    <b v="1"/>
    <m/>
  </r>
  <r>
    <n v="5133"/>
    <s v="Priya Desai"/>
    <x v="1"/>
    <x v="2"/>
    <s v="D04"/>
    <s v="Vivek Malhotra"/>
    <s v="Kolkata"/>
    <s v="divya.shah@company.com"/>
    <s v="+91-0789077095"/>
    <x v="52"/>
    <d v="2024-12-16T00:00:00"/>
    <x v="1"/>
    <s v="4 Years, 11 Months, 9 Days"/>
    <n v="1804.8400000000001"/>
    <x v="1"/>
    <n v="50449"/>
    <s v="Below Average"/>
    <n v="22"/>
    <m/>
    <m/>
    <m/>
    <m/>
  </r>
  <r>
    <n v="5193"/>
    <s v="Divya Shah"/>
    <x v="0"/>
    <x v="4"/>
    <s v="D02"/>
    <s v="Rajiv Kapoor"/>
    <s v="Delhi"/>
    <s v="varun.mehta@company.com "/>
    <s v="+91-7889322584"/>
    <x v="53"/>
    <s v="Missing"/>
    <x v="0"/>
    <s v="2 Years, 7 Months, 24 Days"/>
    <n v="969.58"/>
    <x v="0"/>
    <n v="0"/>
    <s v="Good"/>
    <n v="5"/>
    <m/>
    <m/>
    <m/>
    <m/>
  </r>
  <r>
    <n v="5267"/>
    <s v="Varun Mehta"/>
    <x v="0"/>
    <x v="0"/>
    <s v="D02"/>
    <s v="Rajiv Kapoor"/>
    <s v="Ahmedabad"/>
    <s v="kavya.naidu@company.com"/>
    <s v="+91-1755306313"/>
    <x v="54"/>
    <s v="Missing"/>
    <x v="0"/>
    <s v="7979 Years, 9 Months, 21 Days"/>
    <n v="2951"/>
    <x v="0"/>
    <n v="138489"/>
    <s v="Average"/>
    <n v="24"/>
    <m/>
    <m/>
    <m/>
    <m/>
  </r>
  <r>
    <n v="5161"/>
    <s v="Kavya Naidu"/>
    <x v="0"/>
    <x v="2"/>
    <s v="D06"/>
    <s v="Faisal Ahmed"/>
    <s v="Bengaluru"/>
    <s v="simransaxena@company.com"/>
    <s v="+91-2985186010"/>
    <x v="55"/>
    <s v="Missing"/>
    <x v="0"/>
    <s v="8 Years, 0 Months, 27 Days"/>
    <n v="2570.75"/>
    <x v="0"/>
    <n v="62214"/>
    <s v="Excellent"/>
    <n v="16"/>
    <m/>
    <m/>
    <m/>
    <m/>
  </r>
  <r>
    <n v="5155"/>
    <s v="Simran Saxena"/>
    <x v="0"/>
    <x v="4"/>
    <s v="D04"/>
    <s v="Vivek Malhotra"/>
    <s v="Mumbai"/>
    <s v="sneha.bose@company.com"/>
    <s v="Incomplete"/>
    <x v="56"/>
    <s v="Still Employed"/>
    <x v="0"/>
    <s v="7 Years, 0 Months, 12 Days"/>
    <n v="2210.5"/>
    <x v="0"/>
    <n v="0"/>
    <s v="Average"/>
    <n v="7"/>
    <m/>
    <m/>
    <m/>
    <m/>
  </r>
  <r>
    <n v="5158"/>
    <s v="Sneha Bose"/>
    <x v="0"/>
    <x v="2"/>
    <s v="D02"/>
    <s v="Rajiv Kapoor"/>
    <s v="Pune"/>
    <s v="neha.kulkarni@company.com"/>
    <s v="+91-6261635458"/>
    <x v="57"/>
    <s v="Missing"/>
    <x v="0"/>
    <s v="6 Years, 0 Months, 17 Days"/>
    <n v="2685.51"/>
    <x v="0"/>
    <n v="50147"/>
    <s v="Poor"/>
    <s v="Negate Leave"/>
    <m/>
    <m/>
    <m/>
    <m/>
  </r>
  <r>
    <n v="5184"/>
    <s v="Neha Kulkarni"/>
    <x v="0"/>
    <x v="1"/>
    <s v="D04"/>
    <s v="Vivek Malhotra"/>
    <s v="Mumbai"/>
    <s v="meenal.verma@company.com"/>
    <s v="+91-2048050183"/>
    <x v="58"/>
    <s v="N/A"/>
    <x v="0"/>
    <s v="7 Years, 4 Months, 5 Days"/>
    <n v="1815.8400000000001"/>
    <x v="0"/>
    <n v="78506"/>
    <s v="Good"/>
    <n v="18"/>
    <m/>
    <m/>
    <m/>
    <m/>
  </r>
  <r>
    <n v="5205"/>
    <s v="Meenal Verma"/>
    <x v="1"/>
    <x v="5"/>
    <s v="D05"/>
    <s v="Leela Iyer"/>
    <s v="Ahmedabad"/>
    <s v="yash.mehta@company.com"/>
    <s v="+91-9348156758"/>
    <x v="59"/>
    <d v="2023-01-09T00:00:00"/>
    <x v="5"/>
    <s v="4 Years, 11 Months, 18 Days"/>
    <n v="297.96000000000004"/>
    <x v="1"/>
    <n v="57580"/>
    <s v="Good"/>
    <n v="18"/>
    <m/>
    <m/>
    <m/>
    <m/>
  </r>
  <r>
    <n v="5096"/>
    <s v="Yash Mehta"/>
    <x v="0"/>
    <x v="4"/>
    <s v="D03"/>
    <s v="Sunita Rao"/>
    <s v="Pune"/>
    <s v="rahul.reddy@company.com"/>
    <s v="+91-6078738212"/>
    <x v="60"/>
    <s v="Missing"/>
    <x v="0"/>
    <s v="0 Years, 9 Months, 24 Days"/>
    <n v="2665.07"/>
    <x v="0"/>
    <n v="133735"/>
    <s v="Poor"/>
    <n v="16"/>
    <m/>
    <m/>
    <m/>
    <m/>
  </r>
  <r>
    <n v="5217"/>
    <s v="Rahul Reddy"/>
    <x v="1"/>
    <x v="3"/>
    <s v="D02"/>
    <s v="Rajiv Kapoor"/>
    <s v="Pune"/>
    <s v="amit.desai@company.com"/>
    <s v="+91-5925778201"/>
    <x v="61"/>
    <s v="Still Employed"/>
    <x v="0"/>
    <s v="7 Years, 3 Months, 15 Days"/>
    <n v="2149.65"/>
    <x v="0"/>
    <n v="0"/>
    <s v="Excellent"/>
    <n v="13"/>
    <m/>
    <m/>
    <m/>
    <m/>
  </r>
  <r>
    <n v="5218"/>
    <s v="Amit Desai"/>
    <x v="1"/>
    <x v="4"/>
    <s v="D01"/>
    <s v="Ananya Sen"/>
    <s v="Pune"/>
    <s v="aarav.chopra@company.com"/>
    <s v="+91-0406145908"/>
    <x v="62"/>
    <s v="Missing"/>
    <x v="0"/>
    <s v="5 Years, 10 Months, 17 Days"/>
    <n v="2679.51"/>
    <x v="0"/>
    <n v="61400"/>
    <s v="Excellent"/>
    <n v="2"/>
    <m/>
    <m/>
    <m/>
    <m/>
  </r>
  <r>
    <n v="5201"/>
    <s v="Aarav Chopra"/>
    <x v="1"/>
    <x v="5"/>
    <s v="D02"/>
    <s v="Rajiv Kapoor"/>
    <s v="Chennai"/>
    <s v="kavya.bhatt@company.com"/>
    <s v="+91-2672567281"/>
    <x v="63"/>
    <d v="2025-06-30T00:00:00"/>
    <x v="2"/>
    <s v="7 Years, 3 Months, 29 Days"/>
    <n v="1922.57"/>
    <x v="1"/>
    <n v="64644"/>
    <s v="Poor"/>
    <n v="0"/>
    <m/>
    <m/>
    <m/>
    <m/>
  </r>
  <r>
    <n v="5282"/>
    <s v="Kavya Bhatt"/>
    <x v="0"/>
    <x v="3"/>
    <s v="D03"/>
    <s v="Sunita Rao"/>
    <s v="Hyderabad"/>
    <s v="manish.pillai@company.com"/>
    <s v="+91-3019659265"/>
    <x v="64"/>
    <s v="Missing"/>
    <x v="0"/>
    <s v="5 Years, 3 Months, 5 Days"/>
    <n v="1713.52"/>
    <x v="0"/>
    <n v="119922"/>
    <s v="Good"/>
    <n v="18"/>
    <m/>
    <m/>
    <m/>
    <m/>
  </r>
  <r>
    <n v="5269"/>
    <s v="Manish Pillai"/>
    <x v="1"/>
    <x v="4"/>
    <s v="D01"/>
    <s v="Ananya Sen"/>
    <s v="Mumbai"/>
    <s v="meenal.bhatt@company.com"/>
    <s v="+91-6130445166"/>
    <x v="65"/>
    <s v="Still Employed"/>
    <x v="0"/>
    <s v="4 Years, 8 Months, 7 Days"/>
    <n v="2508.9"/>
    <x v="0"/>
    <n v="121854"/>
    <s v="Average"/>
    <n v="21"/>
    <m/>
    <m/>
    <m/>
    <m/>
  </r>
  <r>
    <n v="5023"/>
    <s v="Meenal Bhatt"/>
    <x v="0"/>
    <x v="1"/>
    <s v="D02"/>
    <s v="Rajiv Kapoor"/>
    <s v="Mumbai"/>
    <s v="varun.bose@company.com"/>
    <s v="+91-8682889093"/>
    <x v="66"/>
    <s v="N/A"/>
    <x v="0"/>
    <s v="6 Years, 10 Months, 11 Days"/>
    <n v="1514.44"/>
    <x v="0"/>
    <n v="0"/>
    <s v="Not Rated"/>
    <n v="0"/>
    <m/>
    <m/>
    <m/>
    <m/>
  </r>
  <r>
    <n v="5019"/>
    <s v="Varun Bose"/>
    <x v="1"/>
    <x v="3"/>
    <s v="D05"/>
    <s v="Leela Iyer"/>
    <s v="Kolkata"/>
    <s v="amit.rao@company.com"/>
    <s v="+91-9063050093"/>
    <x v="67"/>
    <s v="Missing"/>
    <x v="0"/>
    <s v="4 Years, 1 Months, 21 Days"/>
    <n v="2124.21"/>
    <x v="0"/>
    <n v="85238"/>
    <s v="Good"/>
    <n v="25"/>
    <m/>
    <m/>
    <m/>
    <m/>
  </r>
  <r>
    <n v="5105"/>
    <s v="Amit Rao"/>
    <x v="1"/>
    <x v="2"/>
    <s v="D01"/>
    <s v="Ananya Sen"/>
    <s v="Hyderabad"/>
    <s v="kavya.desai@company.com"/>
    <s v="+91-7700673992"/>
    <x v="68"/>
    <s v="Missing"/>
    <x v="0"/>
    <s v="5 Years, 9 Months, 22 Days"/>
    <n v="1195.07"/>
    <x v="0"/>
    <n v="44951"/>
    <s v="Excellent"/>
    <n v="2"/>
    <m/>
    <m/>
    <m/>
    <m/>
  </r>
  <r>
    <n v="5214"/>
    <s v="Kavya Desai"/>
    <x v="1"/>
    <x v="4"/>
    <s v="D04"/>
    <s v="Vivek Malhotra"/>
    <s v="Kolkata"/>
    <s v="anita.pillai@company.com"/>
    <s v="+91-1163726516"/>
    <x v="69"/>
    <s v="Missing"/>
    <x v="0"/>
    <s v="3 Years, 3 Months, 6 Days"/>
    <n v="953.58"/>
    <x v="0"/>
    <n v="35500"/>
    <s v="Poor"/>
    <n v="2"/>
    <m/>
    <m/>
    <m/>
    <m/>
  </r>
  <r>
    <n v="5009"/>
    <s v="Anita Pillai"/>
    <x v="0"/>
    <x v="1"/>
    <s v="D02"/>
    <s v="Rajiv Kapoor"/>
    <s v="Ahmedabad"/>
    <s v="aarav.chopra@company.com"/>
    <s v="Incomplete"/>
    <x v="70"/>
    <s v="Missing"/>
    <x v="0"/>
    <s v="2 Years, 7 Months, 8 Days"/>
    <n v="2522.9"/>
    <x v="0"/>
    <n v="53364"/>
    <s v="Below Average"/>
    <n v="5"/>
    <m/>
    <m/>
    <m/>
    <m/>
  </r>
  <r>
    <n v="5177"/>
    <s v="Aarav Chopra"/>
    <x v="0"/>
    <x v="5"/>
    <s v="D05"/>
    <s v="Leela Iyer"/>
    <s v="Hyderabad"/>
    <s v="No Email ID"/>
    <s v="+91-5998920813"/>
    <x v="71"/>
    <s v="Still Employed"/>
    <x v="0"/>
    <s v="6 Years, 10 Months, 25 Days"/>
    <n v="1648.64"/>
    <x v="0"/>
    <n v="135776"/>
    <s v="Poor"/>
    <n v="6"/>
    <m/>
    <m/>
    <m/>
    <m/>
  </r>
  <r>
    <n v="5109"/>
    <s v="Sanjay Reddy"/>
    <x v="0"/>
    <x v="5"/>
    <s v="D03"/>
    <s v="Sunita Rao"/>
    <s v="Chennai"/>
    <s v="varun.reddy@company.com"/>
    <s v="Invalid"/>
    <x v="72"/>
    <s v="N/A"/>
    <x v="0"/>
    <s v="4 Years, 6 Months, 3 Days"/>
    <n v="1952.01"/>
    <x v="0"/>
    <n v="0"/>
    <s v="Poor"/>
    <n v="6"/>
    <m/>
    <m/>
    <m/>
    <m/>
  </r>
  <r>
    <n v="5148"/>
    <s v="Varun Reddy"/>
    <x v="1"/>
    <x v="5"/>
    <s v="D01"/>
    <s v="Ananya Sen"/>
    <s v="Mumbai"/>
    <s v="shreya.naidu@company.com "/>
    <s v="Incomplete"/>
    <x v="73"/>
    <s v="Missing"/>
    <x v="0"/>
    <s v="7976 Years, 5 Months, 6 Days"/>
    <n v="1519.44"/>
    <x v="0"/>
    <n v="150413"/>
    <s v="Poor"/>
    <n v="24"/>
    <m/>
    <m/>
    <m/>
    <m/>
  </r>
  <r>
    <n v="5164"/>
    <s v="Shreya Naidu"/>
    <x v="1"/>
    <x v="4"/>
    <s v="D03"/>
    <s v="Sunita Rao"/>
    <s v="Pune"/>
    <s v="sneha.kulkarni@company.com"/>
    <s v="+91-6537400165"/>
    <x v="74"/>
    <s v="Still Employed"/>
    <x v="0"/>
    <s v="5 Years, 4 Months, 2 Days"/>
    <n v="2862.15"/>
    <x v="0"/>
    <n v="42887"/>
    <s v="Not Rated"/>
    <n v="0"/>
    <m/>
    <m/>
    <m/>
    <m/>
  </r>
  <r>
    <n v="5163"/>
    <s v="Sneha Kulkarni"/>
    <x v="0"/>
    <x v="4"/>
    <s v="D03"/>
    <s v="Sunita Rao"/>
    <s v="Ahmedabad"/>
    <s v="pooja.shah@company.com"/>
    <s v="+91-1695722008"/>
    <x v="75"/>
    <s v="Missing"/>
    <x v="0"/>
    <s v="4 Years, 1 Months, 26 Days"/>
    <n v="2406.58"/>
    <x v="0"/>
    <n v="0"/>
    <s v="Good"/>
    <n v="16"/>
    <m/>
    <m/>
    <m/>
    <m/>
  </r>
  <r>
    <n v="5038"/>
    <s v="Pooja Shah"/>
    <x v="0"/>
    <x v="1"/>
    <s v="D02"/>
    <s v="Rajiv Kapoor"/>
    <s v="Pune"/>
    <s v="rahul.mehta@company.com"/>
    <s v="Invalid"/>
    <x v="76"/>
    <s v="N/A"/>
    <x v="0"/>
    <s v="7 Years, 9 Months, 29 Days"/>
    <n v="1840.25"/>
    <x v="0"/>
    <n v="167527"/>
    <s v="Average"/>
    <n v="4"/>
    <m/>
    <m/>
    <m/>
    <m/>
  </r>
  <r>
    <n v="5012"/>
    <s v="Rahul Mehta"/>
    <x v="0"/>
    <x v="3"/>
    <s v="D02"/>
    <s v="Rajiv Kapoor"/>
    <s v="Bengaluru"/>
    <s v="sanjay.shah@company.com"/>
    <s v="+91-7964700595"/>
    <x v="77"/>
    <s v="N/A"/>
    <x v="0"/>
    <s v="6 Years, 7 Months, 0 Days"/>
    <n v="1432.5900000000001"/>
    <x v="0"/>
    <n v="0"/>
    <s v="Average"/>
    <s v="Negate Leave"/>
    <m/>
    <m/>
    <m/>
    <m/>
  </r>
  <r>
    <n v="5113"/>
    <s v="Sanjay Shah"/>
    <x v="1"/>
    <x v="3"/>
    <s v="D05"/>
    <s v="Leela Iyer"/>
    <s v="Kolkata"/>
    <s v="No Email ID"/>
    <s v="+91-5011708617"/>
    <x v="78"/>
    <d v="2024-10-06T00:00:00"/>
    <x v="1"/>
    <s v="5 Years, 0 Months, 12 Days"/>
    <n v="888.7"/>
    <x v="1"/>
    <n v="174475"/>
    <s v="Poor"/>
    <n v="9"/>
    <m/>
    <m/>
    <m/>
    <m/>
  </r>
  <r>
    <n v="5286"/>
    <s v="Rajesh Verma"/>
    <x v="0"/>
    <x v="1"/>
    <s v="D01"/>
    <s v="Ananya Sen"/>
    <s v="Delhi"/>
    <s v="anita.kapoor@company.com "/>
    <s v="+91-5365629799"/>
    <x v="79"/>
    <d v="2023-11-13T00:00:00"/>
    <x v="5"/>
    <s v="3 Years, 11 Months, 0 Days"/>
    <n v="1683.08"/>
    <x v="1"/>
    <n v="36368"/>
    <s v="Not Rated"/>
    <n v="23"/>
    <m/>
    <m/>
    <m/>
    <m/>
  </r>
  <r>
    <n v="5296"/>
    <s v="Anita Kapoor"/>
    <x v="0"/>
    <x v="2"/>
    <s v="D01"/>
    <s v="Ananya Sen"/>
    <s v="Chennai"/>
    <s v="ritukapoor@company.com"/>
    <s v="+91-0342366712"/>
    <x v="80"/>
    <s v="Missing"/>
    <x v="0"/>
    <s v="2 Years, 5 Months, 6 Days"/>
    <n v="1320.83"/>
    <x v="0"/>
    <n v="156030"/>
    <s v="Below Average"/>
    <n v="24"/>
    <m/>
    <m/>
    <m/>
    <m/>
  </r>
  <r>
    <n v="5004"/>
    <s v="Ritu Kapoor"/>
    <x v="1"/>
    <x v="0"/>
    <s v="D05"/>
    <s v="Leela Iyer"/>
    <s v="Mumbai"/>
    <s v="karthikshah@company.com"/>
    <s v="+91-8456370435"/>
    <x v="81"/>
    <s v="Missing"/>
    <x v="0"/>
    <s v="4 Years, 7 Months, 9 Days"/>
    <n v="2722.95"/>
    <x v="0"/>
    <n v="0"/>
    <s v="Average"/>
    <s v="Negate Leave"/>
    <m/>
    <m/>
    <m/>
    <m/>
  </r>
  <r>
    <n v="5290"/>
    <s v="Karthik Shah"/>
    <x v="0"/>
    <x v="5"/>
    <s v="D04"/>
    <s v="Vivek Malhotra"/>
    <s v="Mumbai"/>
    <s v="manishshah@company.com"/>
    <s v="+91-2507469471"/>
    <x v="82"/>
    <s v="Missing"/>
    <x v="0"/>
    <s v="3 Years, 7 Months, 10 Days"/>
    <n v="2110.21"/>
    <x v="0"/>
    <n v="93431"/>
    <s v="Poor"/>
    <n v="6"/>
    <m/>
    <m/>
    <m/>
    <m/>
  </r>
  <r>
    <n v="5090"/>
    <s v="Manish Shah"/>
    <x v="1"/>
    <x v="3"/>
    <s v="D06"/>
    <s v="Faisal Ahmed"/>
    <s v="Mumbai"/>
    <s v="suresh.saxena@company.com"/>
    <s v="+91-6450241555"/>
    <x v="83"/>
    <s v="Missing"/>
    <x v="0"/>
    <s v="7 Years, 5 Months, 12 Days"/>
    <n v="1162.6300000000001"/>
    <x v="0"/>
    <n v="141821"/>
    <s v="Good"/>
    <n v="22"/>
    <m/>
    <m/>
    <m/>
    <m/>
  </r>
  <r>
    <n v="5272"/>
    <s v="Suresh Saxena"/>
    <x v="0"/>
    <x v="4"/>
    <s v="D03"/>
    <s v="Sunita Rao"/>
    <s v="Mumbai"/>
    <s v="meenal.naidu@company.com"/>
    <s v="+91-4436200830"/>
    <x v="84"/>
    <s v="Still Employed"/>
    <x v="0"/>
    <s v="5 Years, 9 Months, 8 Days"/>
    <n v="1640.2"/>
    <x v="0"/>
    <n v="0"/>
    <s v="Below Average"/>
    <n v="17"/>
    <m/>
    <m/>
    <m/>
    <m/>
  </r>
  <r>
    <n v="5340"/>
    <s v="Meenal Naidu"/>
    <x v="0"/>
    <x v="2"/>
    <s v="D01"/>
    <s v="Ananya Sen"/>
    <s v="Pune"/>
    <s v="shreya.desai@company.com"/>
    <s v="+91-6243180733"/>
    <x v="85"/>
    <s v="N/A"/>
    <x v="0"/>
    <s v="3 Years, 2 Months, 4 Days"/>
    <n v="2041.33"/>
    <x v="0"/>
    <n v="154184"/>
    <s v="Average"/>
    <s v="Negate Leave"/>
    <m/>
    <m/>
    <m/>
    <m/>
  </r>
  <r>
    <n v="5150"/>
    <s v="Shreya Desai"/>
    <x v="1"/>
    <x v="5"/>
    <s v="D02"/>
    <s v="Rajiv Kapoor"/>
    <s v="Chennai"/>
    <s v="vikram.kulkarni@company.com"/>
    <s v="+91-7048784588"/>
    <x v="86"/>
    <s v="Still Employed"/>
    <x v="0"/>
    <s v="4 Years, 5 Months, 25 Days"/>
    <n v="1891.13"/>
    <x v="0"/>
    <n v="75215"/>
    <s v="Excellent"/>
    <n v="0"/>
    <m/>
    <m/>
    <m/>
    <m/>
  </r>
  <r>
    <n v="5114"/>
    <s v="Vikram Kulkarni"/>
    <x v="1"/>
    <x v="3"/>
    <s v="D04"/>
    <s v="Vivek Malhotra"/>
    <s v="Bengaluru"/>
    <s v="shreya.mehta@company.com"/>
    <s v="Incomplete"/>
    <x v="87"/>
    <s v="N/A"/>
    <x v="0"/>
    <s v="5 Years, 7 Months, 0 Days"/>
    <n v="2291.8200000000002"/>
    <x v="0"/>
    <n v="0"/>
    <s v="Average"/>
    <n v="16"/>
    <m/>
    <m/>
    <m/>
    <m/>
  </r>
  <r>
    <n v="5020"/>
    <s v="Shreya Mehta"/>
    <x v="0"/>
    <x v="3"/>
    <s v="D03"/>
    <s v="Sunita Rao"/>
    <s v="Delhi"/>
    <s v="karthik.gupta@company.com"/>
    <s v="+91-4067589351"/>
    <x v="88"/>
    <s v="N/A"/>
    <x v="0"/>
    <s v="5 Years, 2 Months, 2 Days"/>
    <n v="2620.63"/>
    <x v="0"/>
    <n v="0"/>
    <s v="Average"/>
    <n v="0"/>
    <m/>
    <m/>
    <m/>
    <m/>
  </r>
  <r>
    <n v="5227"/>
    <s v="Karthik Gupta"/>
    <x v="0"/>
    <x v="4"/>
    <s v="D01"/>
    <s v="Ananya Sen"/>
    <s v="Bengaluru"/>
    <s v="meenal.verma@company.com"/>
    <s v="+91-7426106891"/>
    <x v="89"/>
    <d v="2025-06-30T00:00:00"/>
    <x v="2"/>
    <s v="6 Years, 3 Months, 7 Days"/>
    <n v="653.21"/>
    <x v="1"/>
    <n v="170729"/>
    <s v="Excellent"/>
    <n v="24"/>
    <m/>
    <m/>
    <m/>
    <m/>
  </r>
  <r>
    <n v="5084"/>
    <s v="Meenal Verma"/>
    <x v="0"/>
    <x v="3"/>
    <s v="D01"/>
    <s v="Ananya Sen"/>
    <s v="Pune"/>
    <s v="divya.trivedi@company.com"/>
    <s v="+91-9762066998"/>
    <x v="90"/>
    <s v="Missing"/>
    <x v="0"/>
    <s v="7 Years, 2 Months, 1 Days"/>
    <n v="1334.83"/>
    <x v="0"/>
    <n v="0"/>
    <s v="Poor"/>
    <n v="7"/>
    <m/>
    <m/>
    <m/>
    <m/>
  </r>
  <r>
    <n v="5079"/>
    <s v="Divya Trivedi"/>
    <x v="0"/>
    <x v="1"/>
    <s v="D02"/>
    <s v="Rajiv Kapoor"/>
    <s v="Ahmedabad"/>
    <s v="meenal.iyer@company.com"/>
    <s v="+91-5785335223"/>
    <x v="91"/>
    <d v="2021-12-15T00:00:00"/>
    <x v="3"/>
    <s v="1 Years, 9 Months, 14 Days"/>
    <n v="1115.75"/>
    <x v="1"/>
    <n v="0"/>
    <s v="Good"/>
    <n v="9"/>
    <m/>
    <m/>
    <m/>
    <m/>
  </r>
  <r>
    <n v="5110"/>
    <s v="Meenal Iyer"/>
    <x v="0"/>
    <x v="5"/>
    <s v="D01"/>
    <s v="Ananya Sen"/>
    <s v="Mumbai"/>
    <s v="yash.iyer@company.com"/>
    <s v="Incomplete"/>
    <x v="92"/>
    <s v="N/A"/>
    <x v="0"/>
    <s v="3 Years, 7 Months, 24 Days"/>
    <n v="2492.46"/>
    <x v="0"/>
    <n v="49146"/>
    <s v="Good"/>
    <n v="17"/>
    <m/>
    <m/>
    <m/>
    <m/>
  </r>
  <r>
    <n v="5051"/>
    <s v="Yash Iyer"/>
    <x v="1"/>
    <x v="3"/>
    <s v="D05"/>
    <s v="Leela Iyer"/>
    <s v="Kolkata"/>
    <s v="ritu.bose@company.com"/>
    <s v="+91-8781052983"/>
    <x v="93"/>
    <s v="N/A"/>
    <x v="0"/>
    <s v="3 Years, 0 Months, 20 Days"/>
    <n v="1284.3900000000001"/>
    <x v="0"/>
    <n v="88825"/>
    <s v="Good"/>
    <n v="18"/>
    <m/>
    <m/>
    <m/>
    <m/>
  </r>
  <r>
    <n v="5291"/>
    <s v="Ritu Bose"/>
    <x v="1"/>
    <x v="0"/>
    <s v="D03"/>
    <s v="Sunita Rao"/>
    <s v="Chennai"/>
    <s v="No Email ID"/>
    <s v="+91-3883170107"/>
    <x v="94"/>
    <s v="Missing"/>
    <x v="0"/>
    <s v="6 Years, 9 Months, 25 Days"/>
    <n v="1339.27"/>
    <x v="0"/>
    <n v="84348"/>
    <s v="Below Average"/>
    <s v="Negate Leave"/>
    <m/>
    <m/>
    <m/>
    <m/>
  </r>
  <r>
    <n v="5035"/>
    <s v="Arjun Bhatt"/>
    <x v="0"/>
    <x v="2"/>
    <s v="D01"/>
    <s v="Ananya Sen"/>
    <s v="Bengaluru"/>
    <s v="tanvi.bose@company.com"/>
    <s v="Invalid"/>
    <x v="95"/>
    <s v="N/A"/>
    <x v="0"/>
    <s v="3 Years, 6 Months, 4 Days"/>
    <n v="1628.2"/>
    <x v="0"/>
    <n v="170527"/>
    <s v="Average"/>
    <n v="7"/>
    <m/>
    <m/>
    <m/>
    <m/>
  </r>
  <r>
    <n v="5108"/>
    <s v="Tanvi Bose"/>
    <x v="1"/>
    <x v="5"/>
    <s v="D06"/>
    <s v="Faisal Ahmed"/>
    <s v="Hyderabad"/>
    <s v="sanjay.naidu@company.com"/>
    <s v="+91-6584853715"/>
    <x v="96"/>
    <s v="Still Employed"/>
    <x v="0"/>
    <s v="3 Years, 7 Months, 28 Days"/>
    <n v="2862.15"/>
    <x v="0"/>
    <n v="48820"/>
    <s v="Below Average"/>
    <n v="17"/>
    <m/>
    <m/>
    <m/>
    <m/>
  </r>
  <r>
    <n v="5062"/>
    <s v="Sanjay Naidu"/>
    <x v="0"/>
    <x v="5"/>
    <s v="D04"/>
    <s v="Vivek Malhotra"/>
    <s v="Hyderabad"/>
    <s v="pooja.verma@company.com"/>
    <s v="Incomplete"/>
    <x v="97"/>
    <d v="2025-06-30T00:00:00"/>
    <x v="2"/>
    <s v="4 Years, 5 Months, 13 Days"/>
    <n v="471.57"/>
    <x v="1"/>
    <n v="171669"/>
    <s v="Poor"/>
    <n v="16"/>
    <m/>
    <m/>
    <m/>
    <m/>
  </r>
  <r>
    <n v="5123"/>
    <s v="Pooja Verma"/>
    <x v="0"/>
    <x v="4"/>
    <s v="D03"/>
    <s v="Sunita Rao"/>
    <s v="Delhi"/>
    <s v="isha.iyer@company.com"/>
    <s v="+91-5872398026"/>
    <x v="76"/>
    <d v="2024-12-13T00:00:00"/>
    <x v="1"/>
    <s v="7 Years, 9 Months, 29 Days"/>
    <n v="1707.52"/>
    <x v="1"/>
    <n v="103930"/>
    <s v="Below Average"/>
    <s v="Negate Leave"/>
    <m/>
    <m/>
    <m/>
    <m/>
  </r>
  <r>
    <n v="5174"/>
    <s v="Isha Iyer"/>
    <x v="0"/>
    <x v="5"/>
    <s v="D03"/>
    <s v="Sunita Rao"/>
    <s v="Pune"/>
    <s v="simran.iyer@company.com"/>
    <s v="+91-8799268767"/>
    <x v="98"/>
    <s v="Still Employed"/>
    <x v="0"/>
    <s v="1 Years, 3 Months, 15 Days"/>
    <n v="2699.51"/>
    <x v="0"/>
    <n v="110055"/>
    <s v="Below Average"/>
    <n v="20"/>
    <m/>
    <m/>
    <m/>
    <m/>
  </r>
  <r>
    <n v="5220"/>
    <s v="Simran Iyer"/>
    <x v="0"/>
    <x v="5"/>
    <s v="D02"/>
    <s v="Rajiv Kapoor"/>
    <s v="Ahmedabad"/>
    <s v="varun.kulkarni@company.com"/>
    <s v="+91-8778006394"/>
    <x v="99"/>
    <s v="N/A"/>
    <x v="0"/>
    <s v="4 Years, 8 Months, 3 Days"/>
    <n v="2603.19"/>
    <x v="0"/>
    <n v="85315"/>
    <s v="Poor"/>
    <n v="2"/>
    <m/>
    <m/>
    <m/>
    <m/>
  </r>
  <r>
    <n v="5048"/>
    <s v="Varun Kulkarni"/>
    <x v="0"/>
    <x v="2"/>
    <s v="D03"/>
    <s v="Sunita Rao"/>
    <s v="Bengaluru"/>
    <s v="vikram.saxena@company.com"/>
    <s v="Incomplete"/>
    <x v="100"/>
    <d v="2025-06-30T00:00:00"/>
    <x v="2"/>
    <s v="7 Years, 4 Months, 19 Days"/>
    <n v="433.13"/>
    <x v="1"/>
    <n v="132621"/>
    <s v="Good"/>
    <n v="4"/>
    <m/>
    <m/>
    <m/>
    <m/>
  </r>
  <r>
    <n v="5002"/>
    <s v="Vikram Saxena"/>
    <x v="1"/>
    <x v="1"/>
    <s v="D03"/>
    <s v="Sunita Rao"/>
    <s v="Hyderabad"/>
    <s v="arjun.iyer@company.com"/>
    <s v="Incomplete"/>
    <x v="101"/>
    <s v="Missing"/>
    <x v="0"/>
    <s v="7 Years, 1 Months, 14 Days"/>
    <n v="2089.77"/>
    <x v="0"/>
    <n v="0"/>
    <s v="Excellent"/>
    <n v="12"/>
    <m/>
    <m/>
    <m/>
    <m/>
  </r>
  <r>
    <n v="5259"/>
    <s v="Arjun Iyer"/>
    <x v="1"/>
    <x v="4"/>
    <s v="D04"/>
    <s v="Vivek Malhotra"/>
    <s v="Delhi"/>
    <s v="meenal.naidu@company.com "/>
    <s v="Invalid"/>
    <x v="102"/>
    <s v="Missing"/>
    <x v="0"/>
    <s v="1 Years, 2 Months, 7 Days"/>
    <n v="2212.5"/>
    <x v="0"/>
    <n v="159128"/>
    <s v="Average"/>
    <n v="19"/>
    <m/>
    <m/>
    <m/>
    <m/>
  </r>
  <r>
    <n v="5207"/>
    <s v="Meenal Naidu"/>
    <x v="0"/>
    <x v="3"/>
    <s v="D05"/>
    <s v="Leela Iyer"/>
    <s v="Bengaluru"/>
    <s v="vikram.kapoor@company.com"/>
    <s v="+91-4901161939"/>
    <x v="103"/>
    <s v="Missing"/>
    <x v="0"/>
    <s v="5 Years, 8 Months, 18 Days"/>
    <n v="1181.6300000000001"/>
    <x v="0"/>
    <n v="47296"/>
    <s v="Good"/>
    <n v="15"/>
    <m/>
    <m/>
    <m/>
    <m/>
  </r>
  <r>
    <n v="5231"/>
    <s v="Vikram Kapoor"/>
    <x v="1"/>
    <x v="5"/>
    <s v="D02"/>
    <s v="Rajiv Kapoor"/>
    <s v="Mumbai"/>
    <s v="No Email ID"/>
    <s v="+91-8694927774"/>
    <x v="104"/>
    <s v="Missing"/>
    <x v="0"/>
    <s v="6 Years, 0 Months, 19 Days"/>
    <n v="2308.8200000000002"/>
    <x v="0"/>
    <n v="110083"/>
    <s v="Poor"/>
    <n v="17"/>
    <m/>
    <m/>
    <m/>
    <m/>
  </r>
  <r>
    <n v="5277"/>
    <s v="Pooja Chopra"/>
    <x v="0"/>
    <x v="1"/>
    <s v="D01"/>
    <s v="Ananya Sen"/>
    <s v="Ahmedabad"/>
    <s v="rajesh.reddy@company.com"/>
    <s v="+91-8800215810"/>
    <x v="105"/>
    <s v="Still Employed"/>
    <x v="0"/>
    <s v="3 Years, 2 Months, 23 Days"/>
    <n v="2356.6999999999998"/>
    <x v="0"/>
    <n v="128998"/>
    <s v="Below Average"/>
    <n v="0"/>
    <m/>
    <m/>
    <m/>
    <m/>
  </r>
  <r>
    <n v="5041"/>
    <s v="Rajesh Reddy"/>
    <x v="1"/>
    <x v="0"/>
    <s v="D03"/>
    <s v="Sunita Rao"/>
    <s v="Hyderabad"/>
    <s v="yash.mehta@company.com"/>
    <s v="+91-9397846950"/>
    <x v="106"/>
    <s v="Missing"/>
    <x v="0"/>
    <s v="6 Years, 3 Months, 24 Days"/>
    <n v="899.7"/>
    <x v="0"/>
    <n v="0"/>
    <s v="Average"/>
    <n v="25"/>
    <m/>
    <m/>
    <m/>
    <m/>
  </r>
  <r>
    <n v="5095"/>
    <s v="Yash Mehta"/>
    <x v="0"/>
    <x v="1"/>
    <s v="D05"/>
    <s v="Leela Iyer"/>
    <s v="Kolkata"/>
    <s v="ritu.kulkarni@company.com"/>
    <s v="+91-8755191889"/>
    <x v="107"/>
    <s v="Still Employed"/>
    <x v="0"/>
    <s v="6 Years, 5 Months, 11 Days"/>
    <n v="2483.46"/>
    <x v="0"/>
    <n v="64236"/>
    <s v="Below Average"/>
    <n v="24"/>
    <m/>
    <m/>
    <m/>
    <m/>
  </r>
  <r>
    <n v="5324"/>
    <s v="Ritu Kulkarni"/>
    <x v="0"/>
    <x v="4"/>
    <s v="D06"/>
    <s v="Faisal Ahmed"/>
    <s v="Kolkata"/>
    <s v="amitgupta@company.com"/>
    <s v="+91-2462858365"/>
    <x v="108"/>
    <d v="2025-06-30T00:00:00"/>
    <x v="2"/>
    <s v="2 Years, 5 Months, 15 Days"/>
    <n v="765.94"/>
    <x v="1"/>
    <n v="70073"/>
    <s v="Average"/>
    <n v="11"/>
    <m/>
    <m/>
    <m/>
    <m/>
  </r>
  <r>
    <n v="5271"/>
    <s v="Amit Gupta"/>
    <x v="0"/>
    <x v="0"/>
    <s v="D05"/>
    <s v="Leela Iyer"/>
    <s v="Chennai"/>
    <s v="rajesh.verma@company.com"/>
    <s v="+91-1577128038"/>
    <x v="109"/>
    <s v="Still Employed"/>
    <x v="0"/>
    <s v="6 Years, 9 Months, 16 Days"/>
    <n v="1802.8400000000001"/>
    <x v="0"/>
    <n v="112739"/>
    <s v="Average"/>
    <n v="8"/>
    <m/>
    <m/>
    <m/>
    <m/>
  </r>
  <r>
    <n v="5074"/>
    <s v="Rajesh Verma"/>
    <x v="1"/>
    <x v="3"/>
    <s v="D02"/>
    <s v="Rajiv Kapoor"/>
    <s v="Bengaluru"/>
    <s v="yash.gupta@company.com"/>
    <s v="+91-1624682457"/>
    <x v="110"/>
    <d v="2025-06-30T00:00:00"/>
    <x v="2"/>
    <s v="2 Years, 1 Months, 5 Days"/>
    <n v="625.77"/>
    <x v="1"/>
    <n v="133593"/>
    <s v="Poor"/>
    <n v="16"/>
    <m/>
    <m/>
    <m/>
    <m/>
  </r>
  <r>
    <n v="5247"/>
    <s v="Yash Gupta"/>
    <x v="1"/>
    <x v="0"/>
    <s v="D06"/>
    <s v="Faisal Ahmed"/>
    <s v="Kolkata"/>
    <s v="isha.rao@company.com"/>
    <s v="+91-8794898573"/>
    <x v="111"/>
    <s v="Missing"/>
    <x v="0"/>
    <s v="4 Years, 11 Months, 5 Days"/>
    <n v="1188.07"/>
    <x v="0"/>
    <n v="55491"/>
    <s v="Excellent"/>
    <n v="19"/>
    <m/>
    <m/>
    <m/>
    <m/>
  </r>
  <r>
    <n v="5276"/>
    <s v="Isha Rao"/>
    <x v="1"/>
    <x v="4"/>
    <s v="D01"/>
    <s v="Ananya Sen"/>
    <s v="Mumbai"/>
    <s v="No Email ID"/>
    <s v="+91-6148265000"/>
    <x v="112"/>
    <d v="2021-06-27T00:00:00"/>
    <x v="3"/>
    <s v="1 Years, 8 Months, 17 Days"/>
    <n v="630.77"/>
    <x v="1"/>
    <n v="141186"/>
    <s v="Good"/>
    <n v="20"/>
    <m/>
    <m/>
    <m/>
    <m/>
  </r>
  <r>
    <n v="5202"/>
    <s v="Sneha Reddy"/>
    <x v="1"/>
    <x v="1"/>
    <s v="D06"/>
    <s v="Faisal Ahmed"/>
    <s v="Ahmedabad"/>
    <s v="No Email ID"/>
    <s v="+91-3069303130"/>
    <x v="41"/>
    <s v="Still Employed"/>
    <x v="0"/>
    <s v="3 Years, 2 Months, 29 Days"/>
    <n v="1938.57"/>
    <x v="0"/>
    <n v="0"/>
    <s v="Not Rated"/>
    <n v="4"/>
    <m/>
    <m/>
    <m/>
    <m/>
  </r>
  <r>
    <n v="5154"/>
    <s v="Kirti Naidu"/>
    <x v="1"/>
    <x v="0"/>
    <s v="D02"/>
    <s v="Rajiv Kapoor"/>
    <s v="Delhi"/>
    <s v="simran.shah@company.com"/>
    <s v="+91-6017553715"/>
    <x v="113"/>
    <s v="Missing"/>
    <x v="0"/>
    <s v="1 Years, 8 Months, 22 Days"/>
    <n v="836.82"/>
    <x v="0"/>
    <n v="0"/>
    <s v="Excellent"/>
    <n v="11"/>
    <m/>
    <m/>
    <m/>
    <m/>
  </r>
  <r>
    <n v="5073"/>
    <s v="Simran Shah"/>
    <x v="1"/>
    <x v="3"/>
    <s v="D05"/>
    <s v="Leela Iyer"/>
    <s v="Chennai"/>
    <s v="arjun.iyer@company.com"/>
    <s v="+91-2420556073"/>
    <x v="114"/>
    <s v="Still Employed"/>
    <x v="0"/>
    <s v="5 Years, 3 Months, 19 Days"/>
    <n v="2445.02"/>
    <x v="0"/>
    <n v="109020"/>
    <s v="Excellent"/>
    <n v="0"/>
    <m/>
    <m/>
    <m/>
    <m/>
  </r>
  <r>
    <n v="5094"/>
    <s v="Arjun Iyer"/>
    <x v="1"/>
    <x v="4"/>
    <s v="D06"/>
    <s v="Faisal Ahmed"/>
    <s v="Chennai"/>
    <s v="rohan.pillai@company.com"/>
    <s v="Incomplete"/>
    <x v="115"/>
    <s v="Still Employed"/>
    <x v="0"/>
    <s v="2 Years, 3 Months, 13 Days"/>
    <n v="2362.6999999999998"/>
    <x v="0"/>
    <n v="117753"/>
    <s v="Excellent"/>
    <n v="22"/>
    <m/>
    <m/>
    <m/>
    <m/>
  </r>
  <r>
    <n v="5151"/>
    <s v="Rohan Pillai"/>
    <x v="0"/>
    <x v="0"/>
    <s v="D01"/>
    <s v="Ananya Sen"/>
    <s v="Bengaluru"/>
    <s v="arjun.verma@company.com"/>
    <s v="+91-4259472487"/>
    <x v="116"/>
    <d v="2024-04-29T00:00:00"/>
    <x v="1"/>
    <s v="6 Years, 8 Months, 8 Days"/>
    <n v="646.21"/>
    <x v="1"/>
    <n v="92967"/>
    <s v="Poor"/>
    <n v="8"/>
    <m/>
    <m/>
    <m/>
    <m/>
  </r>
  <r>
    <n v="5042"/>
    <s v="Arjun Verma"/>
    <x v="0"/>
    <x v="1"/>
    <s v="D02"/>
    <s v="Rajiv Kapoor"/>
    <s v="Kolkata"/>
    <s v="karthik.kulkarni@company.com"/>
    <s v="+91-8229523013"/>
    <x v="117"/>
    <d v="2025-06-30T00:00:00"/>
    <x v="2"/>
    <s v="6 Years, 5 Months, 17 Days"/>
    <n v="1720.52"/>
    <x v="1"/>
    <n v="73081"/>
    <s v="Average"/>
    <n v="20"/>
    <m/>
    <m/>
    <m/>
    <m/>
  </r>
  <r>
    <n v="5244"/>
    <s v="Karthik Kulkarni"/>
    <x v="0"/>
    <x v="1"/>
    <s v="D06"/>
    <s v="Faisal Ahmed"/>
    <s v="Ahmedabad"/>
    <s v="manish.menon@company.com"/>
    <s v="Incomplete"/>
    <x v="118"/>
    <s v="Missing"/>
    <x v="0"/>
    <s v="1 Years, 9 Months, 7 Days"/>
    <n v="2181.09"/>
    <x v="0"/>
    <n v="0"/>
    <s v="Poor"/>
    <n v="24"/>
    <m/>
    <m/>
    <m/>
    <m/>
  </r>
  <r>
    <n v="5139"/>
    <s v="Manish Menon"/>
    <x v="0"/>
    <x v="1"/>
    <s v="D05"/>
    <s v="Leela Iyer"/>
    <s v="Hyderabad"/>
    <s v="amit.agarwal@company.com"/>
    <s v="+91-3857792553"/>
    <x v="119"/>
    <s v="Missing"/>
    <x v="0"/>
    <s v="4 Years, 8 Months, 16 Days"/>
    <n v="2520.9"/>
    <x v="0"/>
    <n v="176452"/>
    <s v="Poor"/>
    <s v="Negate Leave"/>
    <m/>
    <m/>
    <m/>
    <m/>
  </r>
  <r>
    <n v="5128"/>
    <s v="Amit Agarwal"/>
    <x v="0"/>
    <x v="0"/>
    <s v="D05"/>
    <s v="Leela Iyer"/>
    <s v="Kolkata"/>
    <s v="sanjay.pillai@company.com "/>
    <s v="+91-7025674625"/>
    <x v="120"/>
    <s v="N/A"/>
    <x v="0"/>
    <s v="5 Years, 11 Months, 18 Days"/>
    <n v="2208.5"/>
    <x v="0"/>
    <n v="83764"/>
    <s v="Below Average"/>
    <s v="Negate Leave"/>
    <m/>
    <m/>
    <m/>
    <m/>
  </r>
  <r>
    <n v="5211"/>
    <s v="Sanjay Pillai"/>
    <x v="1"/>
    <x v="1"/>
    <s v="D05"/>
    <s v="Leela Iyer"/>
    <s v="Ahmedabad"/>
    <s v="No Email ID"/>
    <s v="+91-2082486176"/>
    <x v="121"/>
    <s v="Still Employed"/>
    <x v="0"/>
    <s v="6 Years, 10 Months, 23 Days"/>
    <n v="2020.89"/>
    <x v="0"/>
    <n v="141476"/>
    <s v="Poor"/>
    <s v="Negate Leave"/>
    <m/>
    <m/>
    <m/>
    <m/>
  </r>
  <r>
    <n v="5315"/>
    <s v="Karthik Kulkarni"/>
    <x v="1"/>
    <x v="0"/>
    <s v="D06"/>
    <s v="Faisal Ahmed"/>
    <s v="Pune"/>
    <s v="yash.joshi@company.com"/>
    <s v="+91-3363387500"/>
    <x v="122"/>
    <s v="Missing"/>
    <x v="0"/>
    <s v="6 Years, 0 Months, 15 Days"/>
    <n v="2667.07"/>
    <x v="0"/>
    <n v="121419"/>
    <s v="Good"/>
    <n v="8"/>
    <m/>
    <m/>
    <m/>
    <m/>
  </r>
  <r>
    <n v="5008"/>
    <s v="Yash Joshi"/>
    <x v="0"/>
    <x v="4"/>
    <s v="D05"/>
    <s v="Leela Iyer"/>
    <s v="Kolkata"/>
    <s v="priya.bose@company.com"/>
    <s v="+91-4870438374"/>
    <x v="123"/>
    <s v="Missing"/>
    <x v="0"/>
    <s v="5 Years, 6 Months, 10 Days"/>
    <n v="1631.2"/>
    <x v="0"/>
    <n v="123992"/>
    <s v="Excellent"/>
    <n v="22"/>
    <m/>
    <m/>
    <m/>
    <m/>
  </r>
  <r>
    <n v="5289"/>
    <s v="Priya Bose"/>
    <x v="1"/>
    <x v="1"/>
    <s v="D06"/>
    <s v="Faisal Ahmed"/>
    <s v="Hyderabad"/>
    <s v="aarav.trivedi@company.com"/>
    <s v="+91-2948470052"/>
    <x v="124"/>
    <s v="Missing"/>
    <x v="0"/>
    <s v="7 Years, 3 Months, 17 Days"/>
    <n v="756.5"/>
    <x v="0"/>
    <n v="74385"/>
    <s v="Excellent"/>
    <s v="Negate Leave"/>
    <m/>
    <m/>
    <m/>
    <m/>
  </r>
  <r>
    <n v="5107"/>
    <s v="Aarav Trivedi"/>
    <x v="0"/>
    <x v="4"/>
    <s v="D02"/>
    <s v="Rajiv Kapoor"/>
    <s v="Delhi"/>
    <s v="sanjay.kapoor@company.com"/>
    <s v="+91-8507882057"/>
    <x v="125"/>
    <s v="Missing"/>
    <x v="0"/>
    <s v="4 Years, 5 Months, 16 Days"/>
    <n v="1465"/>
    <x v="0"/>
    <n v="153133"/>
    <s v="Average"/>
    <s v="Negate Leave"/>
    <m/>
    <m/>
    <m/>
    <m/>
  </r>
  <r>
    <n v="5275"/>
    <s v="Sanjay Kapoor"/>
    <x v="0"/>
    <x v="1"/>
    <s v="D05"/>
    <s v="Leela Iyer"/>
    <s v="Hyderabad"/>
    <s v="rajesh.rao@company.com"/>
    <s v="+91-9363857849"/>
    <x v="126"/>
    <s v="Missing"/>
    <x v="0"/>
    <s v="2 Years, 0 Months, 24 Days"/>
    <n v="1037.9000000000001"/>
    <x v="0"/>
    <n v="58028"/>
    <s v="Poor"/>
    <n v="4"/>
    <m/>
    <m/>
    <m/>
    <m/>
  </r>
  <r>
    <n v="5082"/>
    <s v="Rajesh Rao"/>
    <x v="0"/>
    <x v="5"/>
    <s v="D02"/>
    <s v="Rajiv Kapoor"/>
    <s v="Bengaluru"/>
    <s v="rahul.bose@company.com"/>
    <s v="+91-6092406123"/>
    <x v="127"/>
    <s v="Still Employed"/>
    <x v="0"/>
    <s v="4 Years, 0 Months, 2 Days"/>
    <n v="1134.19"/>
    <x v="0"/>
    <n v="67188"/>
    <s v="Poor"/>
    <n v="8"/>
    <m/>
    <m/>
    <m/>
    <m/>
  </r>
  <r>
    <n v="5093"/>
    <s v="Rahul Bose"/>
    <x v="1"/>
    <x v="3"/>
    <s v="D05"/>
    <s v="Leela Iyer"/>
    <s v="Bengaluru"/>
    <s v="deepak.naidu@company.com"/>
    <s v="+91-9097394161"/>
    <x v="128"/>
    <s v="Missing"/>
    <x v="0"/>
    <s v="2 Years, 10 Months, 1 Days"/>
    <n v="2070.77"/>
    <x v="0"/>
    <n v="67044"/>
    <s v="Average"/>
    <n v="22"/>
    <m/>
    <m/>
    <m/>
    <m/>
  </r>
  <r>
    <n v="5336"/>
    <s v="Deepak Naidu"/>
    <x v="1"/>
    <x v="4"/>
    <s v="D03"/>
    <s v="Sunita Rao"/>
    <s v="Ahmedabad"/>
    <s v="No Email ID"/>
    <s v="Incomplete"/>
    <x v="129"/>
    <s v="Missing"/>
    <x v="0"/>
    <s v="3 Years, 1 Months, 6 Days"/>
    <n v="1321.83"/>
    <x v="0"/>
    <n v="73373"/>
    <s v="Average"/>
    <n v="17"/>
    <m/>
    <m/>
    <m/>
    <m/>
  </r>
  <r>
    <n v="5030"/>
    <s v="Kavya Bose"/>
    <x v="0"/>
    <x v="5"/>
    <s v="D01"/>
    <s v="Ananya Sen"/>
    <s v="Bengaluru"/>
    <s v="No Email ID"/>
    <s v="+91-4314453888"/>
    <x v="130"/>
    <s v="N/A"/>
    <x v="0"/>
    <s v="5 Years, 7 Months, 29 Days"/>
    <n v="1484"/>
    <x v="0"/>
    <n v="131561"/>
    <s v="Average"/>
    <n v="24"/>
    <m/>
    <m/>
    <m/>
    <m/>
  </r>
  <r>
    <n v="5196"/>
    <s v="Rahul Rao"/>
    <x v="1"/>
    <x v="3"/>
    <s v="D02"/>
    <s v="Rajiv Kapoor"/>
    <s v="Ahmedabad"/>
    <s v="kirtishah@company.com"/>
    <s v="+91-8224792009"/>
    <x v="131"/>
    <d v="2024-10-24T00:00:00"/>
    <x v="1"/>
    <s v="3 Years, 7 Months, 11 Days"/>
    <n v="1129.19"/>
    <x v="1"/>
    <n v="112568"/>
    <s v="Excellent"/>
    <n v="4"/>
    <m/>
    <m/>
    <m/>
    <m/>
  </r>
  <r>
    <n v="5281"/>
    <s v="Kirti Shah"/>
    <x v="1"/>
    <x v="3"/>
    <s v="D03"/>
    <s v="Sunita Rao"/>
    <s v="Hyderabad"/>
    <s v="simran.pillai@company.com"/>
    <s v="Invalid"/>
    <x v="132"/>
    <s v="Still Employed"/>
    <x v="0"/>
    <s v="4 Years, 0 Months, 21 Days"/>
    <n v="1828.25"/>
    <x v="0"/>
    <n v="132811"/>
    <s v="Not Rated"/>
    <n v="8"/>
    <m/>
    <m/>
    <m/>
    <m/>
  </r>
  <r>
    <n v="5318"/>
    <s v="Simran Pillai"/>
    <x v="0"/>
    <x v="1"/>
    <s v="D01"/>
    <s v="Ananya Sen"/>
    <s v="Pune"/>
    <s v="varun.rao@company.com"/>
    <s v="+91-1986571528"/>
    <x v="133"/>
    <s v="N/A"/>
    <x v="0"/>
    <s v="3 Years, 1 Months, 3 Days"/>
    <n v="806.38"/>
    <x v="0"/>
    <n v="47111"/>
    <s v="Poor"/>
    <n v="18"/>
    <m/>
    <m/>
    <m/>
    <m/>
  </r>
  <r>
    <n v="5308"/>
    <s v="Varun Rao"/>
    <x v="1"/>
    <x v="1"/>
    <s v="D01"/>
    <s v="Ananya Sen"/>
    <s v="Ahmedabad"/>
    <s v="rajesh.verma@company.com"/>
    <s v="+91-4465129814"/>
    <x v="134"/>
    <s v="Missing"/>
    <x v="0"/>
    <s v="5 Years, 0 Months, 0 Days"/>
    <n v="1660.64"/>
    <x v="0"/>
    <n v="48692"/>
    <s v="Average"/>
    <s v="Negate Leave"/>
    <m/>
    <m/>
    <m/>
    <m/>
  </r>
  <r>
    <n v="5334"/>
    <s v="Rajesh Verma"/>
    <x v="0"/>
    <x v="0"/>
    <s v="D05"/>
    <s v="Leela Iyer"/>
    <s v="Delhi"/>
    <s v="anjali.mehta@company.com"/>
    <s v="+91-0337129589"/>
    <x v="135"/>
    <s v="N/A"/>
    <x v="0"/>
    <s v="2 Years, 2 Months, 13 Days"/>
    <n v="1384.71"/>
    <x v="0"/>
    <n v="161021"/>
    <s v="Good"/>
    <n v="9"/>
    <m/>
    <m/>
    <m/>
    <m/>
  </r>
  <r>
    <n v="5103"/>
    <s v="Anjali Mehta"/>
    <x v="0"/>
    <x v="0"/>
    <s v="D05"/>
    <s v="Leela Iyer"/>
    <s v="Kolkata"/>
    <s v="priya.mehta@company.com"/>
    <s v="+91-3801412690"/>
    <x v="136"/>
    <s v="Missing"/>
    <x v="0"/>
    <s v="4 Years, 6 Months, 15 Days"/>
    <n v="1082.3400000000001"/>
    <x v="0"/>
    <n v="56991"/>
    <s v="Good"/>
    <n v="13"/>
    <m/>
    <m/>
    <m/>
    <m/>
  </r>
  <r>
    <n v="5018"/>
    <s v="Priya Mehta"/>
    <x v="1"/>
    <x v="1"/>
    <s v="D06"/>
    <s v="Faisal Ahmed"/>
    <s v="Bengaluru"/>
    <s v="sanjay.mehta@company.com "/>
    <s v="+91-8694066260"/>
    <x v="137"/>
    <d v="2025-01-15T00:00:00"/>
    <x v="2"/>
    <s v="3 Years, 9 Months, 13 Days"/>
    <n v="563.89"/>
    <x v="1"/>
    <n v="133211"/>
    <s v="Average"/>
    <n v="18"/>
    <m/>
    <m/>
    <m/>
    <m/>
  </r>
  <r>
    <n v="5212"/>
    <s v="Sanjay Mehta"/>
    <x v="1"/>
    <x v="5"/>
    <s v="D06"/>
    <s v="Faisal Ahmed"/>
    <s v="Delhi"/>
    <s v="yash.naidu@company.com"/>
    <s v="+91-1771127757"/>
    <x v="138"/>
    <d v="2020-05-06T00:00:00"/>
    <x v="6"/>
    <s v="2 Years, 11 Months, 15 Days"/>
    <n v="618.77"/>
    <x v="1"/>
    <n v="158245"/>
    <s v="Good"/>
    <n v="11"/>
    <m/>
    <m/>
    <m/>
    <m/>
  </r>
  <r>
    <n v="5295"/>
    <s v="Yash Naidu"/>
    <x v="0"/>
    <x v="1"/>
    <s v="D05"/>
    <s v="Leela Iyer"/>
    <s v="Ahmedabad"/>
    <s v="varun.kulkarni@company.com"/>
    <s v="+91-0343738218"/>
    <x v="139"/>
    <s v="N/A"/>
    <x v="0"/>
    <s v="1 Years, 6 Months, 16 Days"/>
    <n v="825.82"/>
    <x v="0"/>
    <n v="165088"/>
    <s v="Below Average"/>
    <n v="19"/>
    <m/>
    <m/>
    <m/>
    <m/>
  </r>
  <r>
    <n v="5343"/>
    <s v="Varun Kulkarni"/>
    <x v="1"/>
    <x v="3"/>
    <s v="D03"/>
    <s v="Sunita Rao"/>
    <s v="Ahmedabad"/>
    <s v="manish.mehta@company.com"/>
    <s v="+91-8609139099"/>
    <x v="140"/>
    <s v="Missing"/>
    <x v="0"/>
    <s v="1 Years, 8 Months, 10 Days"/>
    <n v="1077.3400000000001"/>
    <x v="0"/>
    <n v="57530"/>
    <s v="Poor"/>
    <n v="1"/>
    <m/>
    <m/>
    <m/>
    <m/>
  </r>
  <r>
    <n v="5001"/>
    <s v="Manish Mehta"/>
    <x v="0"/>
    <x v="1"/>
    <s v="D05"/>
    <s v="Leela Iyer"/>
    <s v="Mumbai"/>
    <s v="amit.desai@company.com"/>
    <s v="+91-3296736731"/>
    <x v="141"/>
    <s v="Still Employed"/>
    <x v="0"/>
    <s v="2 Years, 3 Months, 2 Days"/>
    <n v="2471.46"/>
    <x v="0"/>
    <n v="77535"/>
    <s v="Average"/>
    <n v="10"/>
    <m/>
    <m/>
    <m/>
    <m/>
  </r>
  <r>
    <n v="5294"/>
    <s v="Amit Desai"/>
    <x v="1"/>
    <x v="3"/>
    <s v="D01"/>
    <s v="Ananya Sen"/>
    <s v="Delhi"/>
    <s v="karthik.naidu@company.com"/>
    <s v="+91-5052309717"/>
    <x v="142"/>
    <s v="Still Employed"/>
    <x v="0"/>
    <s v="2 Years, 11 Months, 10 Days"/>
    <n v="1007.46"/>
    <x v="0"/>
    <n v="130548"/>
    <s v="Not Rated"/>
    <n v="1"/>
    <m/>
    <m/>
    <m/>
    <m/>
  </r>
  <r>
    <n v="5166"/>
    <s v="Karthik Naidu"/>
    <x v="0"/>
    <x v="4"/>
    <s v="D05"/>
    <s v="Leela Iyer"/>
    <s v="Bengaluru"/>
    <s v="nikhil.desai@company.com"/>
    <s v="+91-0261964986"/>
    <x v="143"/>
    <s v="N/A"/>
    <x v="0"/>
    <s v="6 Years, 9 Months, 4 Days"/>
    <n v="2646.63"/>
    <x v="0"/>
    <n v="107118"/>
    <s v="Not Rated"/>
    <n v="1"/>
    <m/>
    <m/>
    <m/>
    <m/>
  </r>
  <r>
    <n v="5195"/>
    <s v="Nikhil Desai"/>
    <x v="1"/>
    <x v="2"/>
    <s v="D01"/>
    <s v="Ananya Sen"/>
    <s v="Mumbai"/>
    <s v="priya.gupta@company.com"/>
    <s v="+91-4966850273"/>
    <x v="144"/>
    <s v="Missing"/>
    <x v="0"/>
    <s v="2 Years, 9 Months, 1 Days"/>
    <n v="2481.46"/>
    <x v="0"/>
    <n v="116959"/>
    <s v="Not Rated"/>
    <n v="15"/>
    <m/>
    <m/>
    <m/>
    <m/>
  </r>
  <r>
    <n v="5044"/>
    <s v="Priya Gupta"/>
    <x v="1"/>
    <x v="0"/>
    <s v="D02"/>
    <s v="Rajiv Kapoor"/>
    <s v="Hyderabad"/>
    <s v="pooja.shah@company.com"/>
    <s v="+91-3081336019"/>
    <x v="145"/>
    <s v="Missing"/>
    <x v="0"/>
    <s v="7 Years, 2 Months, 27 Days"/>
    <n v="1632.2"/>
    <x v="0"/>
    <n v="65001"/>
    <s v="Excellent"/>
    <s v="Negate Leave"/>
    <m/>
    <m/>
    <m/>
    <m/>
  </r>
  <r>
    <n v="5346"/>
    <s v="Pooja Shah"/>
    <x v="0"/>
    <x v="0"/>
    <s v="D04"/>
    <s v="Vivek Malhotra"/>
    <s v="Mumbai"/>
    <s v="kirti.rao@company.com "/>
    <s v="+91-9799344617"/>
    <x v="146"/>
    <s v="Missing"/>
    <x v="0"/>
    <s v="6 Years, 9 Months, 14 Days"/>
    <n v="2364.6999999999998"/>
    <x v="0"/>
    <n v="108543"/>
    <s v="Below Average"/>
    <s v="Negate Leave"/>
    <m/>
    <m/>
    <m/>
    <m/>
  </r>
  <r>
    <n v="5070"/>
    <s v="Kirti Rao"/>
    <x v="0"/>
    <x v="3"/>
    <s v="D06"/>
    <s v="Faisal Ahmed"/>
    <s v="Ahmedabad"/>
    <s v="amit.mehta@company.com"/>
    <s v="+91-2970572042"/>
    <x v="147"/>
    <s v="N/A"/>
    <x v="0"/>
    <s v="4 Years, 5 Months, 17 Days"/>
    <n v="1096.75"/>
    <x v="0"/>
    <n v="66209"/>
    <s v="Excellent"/>
    <n v="0"/>
    <m/>
    <m/>
    <m/>
    <m/>
  </r>
  <r>
    <n v="5142"/>
    <s v="Amit Mehta"/>
    <x v="0"/>
    <x v="5"/>
    <s v="D06"/>
    <s v="Faisal Ahmed"/>
    <s v="Mumbai"/>
    <s v="anita.verma@company.com"/>
    <s v="Invalid"/>
    <x v="148"/>
    <s v="Missing"/>
    <x v="0"/>
    <s v="6 Years, 5 Months, 19 Days"/>
    <n v="1746.96"/>
    <x v="0"/>
    <n v="147898"/>
    <s v="Below Average"/>
    <n v="10"/>
    <m/>
    <m/>
    <m/>
    <m/>
  </r>
  <r>
    <n v="5064"/>
    <s v="Anita Verma"/>
    <x v="0"/>
    <x v="0"/>
    <s v="D01"/>
    <s v="Ananya Sen"/>
    <s v="Mumbai"/>
    <s v="No Email ID"/>
    <s v="Incomplete"/>
    <x v="149"/>
    <s v="Still Employed"/>
    <x v="0"/>
    <s v="2 Years, 11 Months, 29 Days"/>
    <n v="1650.64"/>
    <x v="0"/>
    <n v="85338"/>
    <s v="Poor"/>
    <n v="1"/>
    <m/>
    <m/>
    <m/>
    <m/>
  </r>
  <r>
    <n v="5157"/>
    <s v="Anita Joshi"/>
    <x v="0"/>
    <x v="1"/>
    <s v="D03"/>
    <s v="Sunita Rao"/>
    <s v="Kolkata"/>
    <s v="suresh.iyer@company.com"/>
    <s v="+91-0923141515"/>
    <x v="150"/>
    <s v="Missing"/>
    <x v="0"/>
    <s v="4 Years, 9 Months, 10 Days"/>
    <n v="2502.9"/>
    <x v="0"/>
    <n v="47831"/>
    <s v="Average"/>
    <n v="21"/>
    <m/>
    <m/>
    <m/>
    <m/>
  </r>
  <r>
    <n v="5204"/>
    <s v="Suresh Iyer"/>
    <x v="1"/>
    <x v="0"/>
    <s v="D06"/>
    <s v="Faisal Ahmed"/>
    <s v="Kolkata"/>
    <s v="rahul.bose@company.com"/>
    <s v="+91-4093136649"/>
    <x v="151"/>
    <s v="Still Employed"/>
    <x v="0"/>
    <s v="4 Years, 6 Months, 5 Days"/>
    <n v="2570.75"/>
    <x v="0"/>
    <n v="67020"/>
    <s v="Average"/>
    <n v="7"/>
    <m/>
    <m/>
    <m/>
    <m/>
  </r>
  <r>
    <n v="5312"/>
    <s v="Rahul Bose"/>
    <x v="0"/>
    <x v="2"/>
    <s v="D05"/>
    <s v="Leela Iyer"/>
    <s v="Mumbai"/>
    <s v="yash.agarwal@company.com"/>
    <s v="+91-4402685995"/>
    <x v="152"/>
    <s v="N/A"/>
    <x v="0"/>
    <s v="6 Years, 10 Months, 5 Days"/>
    <n v="2359.6999999999998"/>
    <x v="0"/>
    <n v="96167"/>
    <s v="Excellent"/>
    <n v="17"/>
    <m/>
    <m/>
    <m/>
    <m/>
  </r>
  <r>
    <n v="5005"/>
    <s v="Yash Agarwal"/>
    <x v="1"/>
    <x v="5"/>
    <s v="D06"/>
    <s v="Faisal Ahmed"/>
    <s v="Delhi"/>
    <s v="vikram.reddy@company.com"/>
    <s v="+91-2228053773"/>
    <x v="56"/>
    <d v="2023-09-26T00:00:00"/>
    <x v="5"/>
    <s v="7 Years, 0 Months, 12 Days"/>
    <n v="1073.3400000000001"/>
    <x v="1"/>
    <n v="88723"/>
    <s v="Below Average"/>
    <n v="7"/>
    <m/>
    <m/>
    <m/>
    <m/>
  </r>
  <r>
    <n v="5115"/>
    <s v="Vikram Reddy"/>
    <x v="1"/>
    <x v="2"/>
    <s v="D04"/>
    <s v="Vivek Malhotra"/>
    <s v="Bengaluru"/>
    <s v="deepak.naidu@company.com"/>
    <s v="+91-7206317979"/>
    <x v="153"/>
    <s v="Missing"/>
    <x v="0"/>
    <s v="6 Years, 5 Months, 14 Days"/>
    <n v="1928.57"/>
    <x v="0"/>
    <n v="0"/>
    <s v="Poor"/>
    <n v="4"/>
    <m/>
    <m/>
    <m/>
    <m/>
  </r>
  <r>
    <n v="5264"/>
    <s v="Deepak Naidu"/>
    <x v="0"/>
    <x v="5"/>
    <s v="D03"/>
    <s v="Sunita Rao"/>
    <s v="Pune"/>
    <s v="rahul.rao@company.com"/>
    <s v="+91-6068831067"/>
    <x v="154"/>
    <s v="Missing"/>
    <x v="0"/>
    <s v="2 Years, 11 Months, 8 Days"/>
    <n v="2473.46"/>
    <x v="0"/>
    <n v="117733"/>
    <s v="Average"/>
    <n v="14"/>
    <m/>
    <m/>
    <m/>
    <m/>
  </r>
  <r>
    <n v="5024"/>
    <s v="Rahul Rao"/>
    <x v="0"/>
    <x v="1"/>
    <s v="D04"/>
    <s v="Vivek Malhotra"/>
    <s v="Ahmedabad"/>
    <s v="ritu.trivedi@company.com"/>
    <s v="+91-6754529708"/>
    <x v="155"/>
    <s v="Missing"/>
    <x v="0"/>
    <s v="5 Years, 3 Months, 9 Days"/>
    <n v="2230.94"/>
    <x v="0"/>
    <n v="178709"/>
    <s v="Poor"/>
    <s v="Negate Leave"/>
    <m/>
    <m/>
    <m/>
    <m/>
  </r>
  <r>
    <n v="5143"/>
    <s v="Ritu Trivedi"/>
    <x v="1"/>
    <x v="4"/>
    <s v="D03"/>
    <s v="Sunita Rao"/>
    <s v="Delhi"/>
    <s v="anita.pillai@company.com"/>
    <s v="+91-1876780036"/>
    <x v="156"/>
    <d v="2023-07-28T00:00:00"/>
    <x v="5"/>
    <s v="6 Years, 9 Months, 6 Days"/>
    <n v="1677.08"/>
    <x v="1"/>
    <n v="0"/>
    <s v="Poor"/>
    <n v="23"/>
    <m/>
    <m/>
    <m/>
    <m/>
  </r>
  <r>
    <n v="5203"/>
    <s v="Anita Pillai"/>
    <x v="0"/>
    <x v="4"/>
    <s v="D05"/>
    <s v="Leela Iyer"/>
    <s v="Delhi"/>
    <s v="ritu.rao@company.com"/>
    <s v="Invalid"/>
    <x v="157"/>
    <s v="N/A"/>
    <x v="0"/>
    <s v="6 Years, 1 Months, 7 Days"/>
    <n v="930.14"/>
    <x v="0"/>
    <n v="150238"/>
    <s v="Not Rated"/>
    <n v="14"/>
    <m/>
    <m/>
    <m/>
    <m/>
  </r>
  <r>
    <n v="5265"/>
    <s v="Ritu Rao"/>
    <x v="1"/>
    <x v="1"/>
    <s v="D02"/>
    <s v="Rajiv Kapoor"/>
    <s v="Delhi"/>
    <s v="amit.reddy@company.com"/>
    <s v="+91-3943018608"/>
    <x v="158"/>
    <s v="N/A"/>
    <x v="0"/>
    <s v="4 Years, 7 Months, 3 Days"/>
    <n v="2231.94"/>
    <x v="0"/>
    <n v="106798"/>
    <s v="Below Average"/>
    <n v="10"/>
    <m/>
    <m/>
    <m/>
    <m/>
  </r>
  <r>
    <n v="5076"/>
    <s v="Amit Reddy"/>
    <x v="1"/>
    <x v="0"/>
    <s v="D01"/>
    <s v="Ananya Sen"/>
    <s v="Delhi"/>
    <s v="ritu.gupta@company.com"/>
    <s v="+91-3127488157"/>
    <x v="159"/>
    <s v="N/A"/>
    <x v="0"/>
    <s v="7981 Years, 9 Months, 2 Days"/>
    <n v="2821.27"/>
    <x v="0"/>
    <n v="114530"/>
    <s v="Poor"/>
    <n v="8"/>
    <m/>
    <m/>
    <m/>
    <m/>
  </r>
  <r>
    <n v="5134"/>
    <s v="Ritu Gupta"/>
    <x v="1"/>
    <x v="0"/>
    <s v="D02"/>
    <s v="Rajiv Kapoor"/>
    <s v="Bengaluru"/>
    <s v="manish.saxena@company.com"/>
    <s v="Invalid"/>
    <x v="160"/>
    <s v="Still Employed"/>
    <x v="0"/>
    <s v="2 Years, 6 Months, 15 Days"/>
    <n v="2346.6999999999998"/>
    <x v="0"/>
    <n v="38961"/>
    <s v="Poor"/>
    <s v="Negate Leave"/>
    <m/>
    <m/>
    <m/>
    <m/>
  </r>
  <r>
    <n v="5135"/>
    <s v="Manish Saxena"/>
    <x v="1"/>
    <x v="1"/>
    <s v="D05"/>
    <s v="Leela Iyer"/>
    <s v="Chennai"/>
    <s v="vikram.kapoor@company.com"/>
    <s v="Incomplete"/>
    <x v="161"/>
    <s v="N/A"/>
    <x v="0"/>
    <s v="6 Years, 1 Months, 8 Days"/>
    <n v="1036.9000000000001"/>
    <x v="0"/>
    <n v="155978"/>
    <s v="Poor"/>
    <n v="3"/>
    <m/>
    <m/>
    <m/>
    <m/>
  </r>
  <r>
    <n v="5221"/>
    <s v="Vikram Kapoor"/>
    <x v="1"/>
    <x v="5"/>
    <s v="D06"/>
    <s v="Faisal Ahmed"/>
    <s v="Pune"/>
    <s v="priya.reddy@company.com"/>
    <s v="+91-4517920566"/>
    <x v="162"/>
    <s v="N/A"/>
    <x v="0"/>
    <s v="7 Years, 8 Months, 19 Days"/>
    <n v="1911.13"/>
    <x v="0"/>
    <n v="0"/>
    <s v="Below Average"/>
    <n v="18"/>
    <m/>
    <m/>
    <m/>
    <m/>
  </r>
  <r>
    <n v="5136"/>
    <s v="Priya Reddy"/>
    <x v="1"/>
    <x v="4"/>
    <s v="D06"/>
    <s v="Faisal Ahmed"/>
    <s v="Delhi"/>
    <s v="pooja.kulkarni@company.com"/>
    <s v="+91-3843025561"/>
    <x v="163"/>
    <s v="Missing"/>
    <x v="0"/>
    <s v="6 Years, 5 Months, 1 Days"/>
    <n v="1835.25"/>
    <x v="0"/>
    <n v="103471"/>
    <s v="Good"/>
    <n v="12"/>
    <m/>
    <m/>
    <m/>
    <m/>
  </r>
  <r>
    <n v="5097"/>
    <s v="Pooja Kulkarni"/>
    <x v="0"/>
    <x v="4"/>
    <s v="D05"/>
    <s v="Leela Iyer"/>
    <s v="Ahmedabad"/>
    <s v="aarav.mehta@company.com"/>
    <s v="+91-0256599352"/>
    <x v="91"/>
    <s v="N/A"/>
    <x v="0"/>
    <s v="2 Years, 10 Months, 0 Days"/>
    <n v="2700.51"/>
    <x v="0"/>
    <n v="140289"/>
    <s v="Good"/>
    <n v="1"/>
    <m/>
    <m/>
    <m/>
    <m/>
  </r>
  <r>
    <n v="5189"/>
    <s v="Aarav Mehta"/>
    <x v="1"/>
    <x v="2"/>
    <s v="D03"/>
    <s v="Sunita Rao"/>
    <s v="Delhi"/>
    <s v="meenal.naidu@company.com"/>
    <s v="+91-3480770110"/>
    <x v="164"/>
    <s v="Missing"/>
    <x v="0"/>
    <s v="5 Years, 2 Months, 22 Days"/>
    <n v="2854.71"/>
    <x v="0"/>
    <n v="176806"/>
    <s v="Poor"/>
    <n v="7"/>
    <m/>
    <m/>
    <m/>
    <m/>
  </r>
  <r>
    <n v="5197"/>
    <s v="Meenal Naidu"/>
    <x v="0"/>
    <x v="5"/>
    <s v="D02"/>
    <s v="Rajiv Kapoor"/>
    <s v="Bengaluru"/>
    <s v="nikhil.kapoor@company.com"/>
    <s v="Invalid"/>
    <x v="165"/>
    <s v="Missing"/>
    <x v="0"/>
    <s v="5 Years, 0 Months, 7 Days"/>
    <n v="1595.76"/>
    <x v="0"/>
    <n v="155140"/>
    <s v="Good"/>
    <n v="15"/>
    <m/>
    <m/>
    <m/>
    <m/>
  </r>
  <r>
    <n v="5200"/>
    <s v="Nikhil Kapoor"/>
    <x v="1"/>
    <x v="5"/>
    <s v="D02"/>
    <s v="Rajiv Kapoor"/>
    <s v="Mumbai"/>
    <s v="simran.saxena@company.com"/>
    <s v="Incomplete"/>
    <x v="166"/>
    <s v="Missing"/>
    <x v="0"/>
    <s v="7 Years, 4 Months, 20 Days"/>
    <n v="1821.8400000000001"/>
    <x v="0"/>
    <n v="150892"/>
    <s v="Poor"/>
    <n v="22"/>
    <m/>
    <m/>
    <m/>
    <m/>
  </r>
  <r>
    <n v="5274"/>
    <s v="Simran Saxena"/>
    <x v="0"/>
    <x v="4"/>
    <s v="D04"/>
    <s v="Vivek Malhotra"/>
    <s v="Mumbai"/>
    <s v="yash.agarwal@company.com"/>
    <s v="+91-6804856711"/>
    <x v="167"/>
    <s v="N/A"/>
    <x v="0"/>
    <s v="7 Years, 9 Months, 22 Days"/>
    <n v="1677.08"/>
    <x v="0"/>
    <n v="169163"/>
    <s v="Excellent"/>
    <s v="Negate Leave"/>
    <m/>
    <m/>
    <m/>
    <m/>
  </r>
  <r>
    <n v="5126"/>
    <s v="Yash Agarwal"/>
    <x v="1"/>
    <x v="4"/>
    <s v="D03"/>
    <s v="Sunita Rao"/>
    <s v="Mumbai"/>
    <s v="kavya.mehta@company.com "/>
    <s v="+91-9530552034"/>
    <x v="168"/>
    <d v="2025-03-17T00:00:00"/>
    <x v="2"/>
    <s v="4 Years, 4 Months, 11 Days"/>
    <n v="1254.95"/>
    <x v="1"/>
    <n v="0"/>
    <s v="Below Average"/>
    <n v="23"/>
    <m/>
    <m/>
    <m/>
    <m/>
  </r>
  <r>
    <n v="5036"/>
    <s v="Kavya Mehta"/>
    <x v="1"/>
    <x v="3"/>
    <s v="D03"/>
    <s v="Sunita Rao"/>
    <s v="Bengaluru"/>
    <s v="simran.iyer@company.com"/>
    <s v="Incomplete"/>
    <x v="169"/>
    <s v="Missing"/>
    <x v="0"/>
    <s v="4 Years, 11 Months, 24 Days"/>
    <n v="2328.2600000000002"/>
    <x v="0"/>
    <n v="144820"/>
    <s v="Average"/>
    <n v="14"/>
    <m/>
    <m/>
    <m/>
    <m/>
  </r>
  <r>
    <n v="5345"/>
    <s v="Simran Iyer"/>
    <x v="0"/>
    <x v="5"/>
    <s v="D02"/>
    <s v="Rajiv Kapoor"/>
    <s v="Chennai"/>
    <s v="shreya.menon@company.com"/>
    <s v="+91-3400281957"/>
    <x v="170"/>
    <s v="Still Employed"/>
    <x v="0"/>
    <s v="4 Years, 7 Months, 1 Days"/>
    <n v="1921.57"/>
    <x v="0"/>
    <n v="119922"/>
    <s v="Good"/>
    <n v="21"/>
    <m/>
    <m/>
    <m/>
    <m/>
  </r>
  <r>
    <n v="5083"/>
    <s v="Shreya Menon"/>
    <x v="1"/>
    <x v="3"/>
    <s v="D02"/>
    <s v="Rajiv Kapoor"/>
    <s v="Pune"/>
    <s v="rohan.verma@company.com"/>
    <s v="+91-4414360636"/>
    <x v="171"/>
    <d v="2025-06-30T00:00:00"/>
    <x v="2"/>
    <s v="3 Years, 5 Months, 7 Days"/>
    <n v="1726.52"/>
    <x v="1"/>
    <n v="72623"/>
    <s v="Below Average"/>
    <n v="0"/>
    <m/>
    <m/>
    <m/>
    <m/>
  </r>
  <r>
    <n v="5235"/>
    <s v="Rohan Verma"/>
    <x v="1"/>
    <x v="1"/>
    <s v="D01"/>
    <s v="Ananya Sen"/>
    <s v="Pune"/>
    <s v="arjun.iyer@company.com"/>
    <s v="Incomplete"/>
    <x v="172"/>
    <s v="Still Employed"/>
    <x v="0"/>
    <s v="6 Years, 4 Months, 13 Days"/>
    <n v="2564.75"/>
    <x v="0"/>
    <n v="67486"/>
    <s v="Excellent"/>
    <n v="2"/>
    <m/>
    <m/>
    <m/>
    <m/>
  </r>
  <r>
    <n v="5328"/>
    <s v="Arjun Iyer"/>
    <x v="0"/>
    <x v="4"/>
    <s v="D03"/>
    <s v="Sunita Rao"/>
    <s v="Chennai"/>
    <s v="No Email ID"/>
    <s v="+91-7674284269"/>
    <x v="173"/>
    <s v="Missing"/>
    <x v="0"/>
    <s v="5 Years, 3 Months, 2 Days"/>
    <n v="2367.6999999999998"/>
    <x v="0"/>
    <n v="135794"/>
    <s v="Average"/>
    <n v="23"/>
    <m/>
    <m/>
    <m/>
    <m/>
  </r>
  <r>
    <n v="5085"/>
    <s v="Manish Bhatt"/>
    <x v="1"/>
    <x v="5"/>
    <s v="D01"/>
    <s v="Ananya Sen"/>
    <s v="Mumbai"/>
    <s v="amit.gupta@company.com"/>
    <s v="+91-6978464936"/>
    <x v="84"/>
    <s v="Missing"/>
    <x v="0"/>
    <s v="4 Years, 8 Months, 22 Days"/>
    <n v="1887.13"/>
    <x v="0"/>
    <n v="45773"/>
    <s v="Poor"/>
    <s v="Negate Leave"/>
    <m/>
    <m/>
    <m/>
    <m/>
  </r>
  <r>
    <n v="5040"/>
    <s v="Amit Gupta"/>
    <x v="1"/>
    <x v="3"/>
    <s v="D05"/>
    <s v="Leela Iyer"/>
    <s v="Chennai"/>
    <s v="anjali.rao@company.com"/>
    <s v="+91-0202711700"/>
    <x v="174"/>
    <s v="N/A"/>
    <x v="0"/>
    <s v="7 Years, 0 Months, 6 Days"/>
    <n v="2719.95"/>
    <x v="0"/>
    <n v="84302"/>
    <s v="Excellent"/>
    <n v="10"/>
    <m/>
    <m/>
    <m/>
    <m/>
  </r>
  <r>
    <n v="5238"/>
    <s v="Anjali Rao"/>
    <x v="0"/>
    <x v="3"/>
    <s v="D02"/>
    <s v="Rajiv Kapoor"/>
    <s v="Delhi"/>
    <s v="nehachopra@company.com"/>
    <s v="+91-5465840951"/>
    <x v="175"/>
    <s v="Missing"/>
    <x v="0"/>
    <s v="6 Years, 5 Months, 22 Days"/>
    <n v="2731.95"/>
    <x v="0"/>
    <n v="103363"/>
    <s v="Good"/>
    <n v="17"/>
    <m/>
    <m/>
    <m/>
    <m/>
  </r>
  <r>
    <n v="5176"/>
    <s v="Neha Chopra"/>
    <x v="1"/>
    <x v="3"/>
    <s v="D03"/>
    <s v="Sunita Rao"/>
    <s v="Delhi"/>
    <s v="kavya.kulkarni@company.com "/>
    <s v="+91-3271124640"/>
    <x v="176"/>
    <s v="Missing"/>
    <x v="0"/>
    <s v="5 Years, 1 Months, 28 Days"/>
    <n v="2091.77"/>
    <x v="0"/>
    <n v="0"/>
    <s v="Average"/>
    <n v="15"/>
    <m/>
    <m/>
    <m/>
    <m/>
  </r>
  <r>
    <n v="5045"/>
    <s v="Kavya Kulkarni"/>
    <x v="1"/>
    <x v="3"/>
    <s v="D01"/>
    <s v="Ananya Sen"/>
    <s v="Pune"/>
    <s v="arjun.shah@company.com"/>
    <s v="+91-5109589187"/>
    <x v="177"/>
    <d v="2025-06-30T00:00:00"/>
    <x v="2"/>
    <s v="7 Years, 5 Months, 9 Days"/>
    <n v="446.13"/>
    <x v="1"/>
    <n v="0"/>
    <s v="Average"/>
    <n v="8"/>
    <m/>
    <m/>
    <m/>
    <m/>
  </r>
  <r>
    <n v="5213"/>
    <s v="Arjun Shah"/>
    <x v="0"/>
    <x v="2"/>
    <s v="D01"/>
    <s v="Ananya Sen"/>
    <s v="Ahmedabad"/>
    <s v="anjali.saxena@company.com"/>
    <s v="Incomplete"/>
    <x v="178"/>
    <s v="Missing"/>
    <x v="0"/>
    <s v="7 Years, 5 Months, 21 Days"/>
    <n v="1192.07"/>
    <x v="0"/>
    <n v="0"/>
    <s v="Excellent"/>
    <n v="8"/>
    <m/>
    <m/>
    <m/>
    <m/>
  </r>
  <r>
    <n v="5052"/>
    <s v="Anjali Saxena"/>
    <x v="1"/>
    <x v="2"/>
    <s v="D01"/>
    <s v="Ananya Sen"/>
    <s v="Chennai"/>
    <s v="deepak.naidu@company.com "/>
    <s v="+91-8378058567"/>
    <x v="179"/>
    <s v="Still Employed"/>
    <x v="0"/>
    <s v="5 Years, 8 Months, 20 Days"/>
    <n v="2452.02"/>
    <x v="0"/>
    <n v="87379"/>
    <s v="Good"/>
    <n v="0"/>
    <m/>
    <m/>
    <m/>
    <m/>
  </r>
  <r>
    <n v="5056"/>
    <s v="Deepak Naidu"/>
    <x v="1"/>
    <x v="0"/>
    <s v="D01"/>
    <s v="Ananya Sen"/>
    <s v="Bengaluru"/>
    <s v="aarav.joshi@company.com"/>
    <s v="Incomplete"/>
    <x v="180"/>
    <s v="Missing"/>
    <x v="0"/>
    <s v="1 Years, 2 Months, 20 Days"/>
    <n v="2801.27"/>
    <x v="0"/>
    <n v="0"/>
    <s v="Below Average"/>
    <n v="14"/>
    <m/>
    <m/>
    <m/>
    <m/>
  </r>
  <r>
    <n v="5333"/>
    <s v="Aarav Joshi"/>
    <x v="1"/>
    <x v="5"/>
    <s v="D04"/>
    <s v="Vivek Malhotra"/>
    <s v="Kolkata"/>
    <s v="anjali.chopra@company.com"/>
    <s v="+91-8056048152"/>
    <x v="181"/>
    <s v="Missing"/>
    <x v="0"/>
    <s v="3 Years, 3 Months, 3 Days"/>
    <n v="3121.64"/>
    <x v="0"/>
    <n v="65094"/>
    <s v="Below Average"/>
    <n v="17"/>
    <m/>
    <m/>
    <m/>
    <m/>
  </r>
  <r>
    <n v="5310"/>
    <s v="Anjali Chopra"/>
    <x v="0"/>
    <x v="2"/>
    <s v="D04"/>
    <s v="Vivek Malhotra"/>
    <s v="Chennai"/>
    <s v="kirti.joshi@company.com"/>
    <s v="+91-8115356904"/>
    <x v="182"/>
    <s v="Still Employed"/>
    <x v="0"/>
    <s v="6 Years, 8 Months, 15 Days"/>
    <n v="2905.59"/>
    <x v="0"/>
    <n v="36216"/>
    <s v="Good"/>
    <s v="Negate Leave"/>
    <m/>
    <m/>
    <m/>
    <m/>
  </r>
  <r>
    <n v="5077"/>
    <s v="Kirti Joshi"/>
    <x v="0"/>
    <x v="3"/>
    <s v="D06"/>
    <s v="Faisal Ahmed"/>
    <s v="Delhi"/>
    <s v="karthik.bose@company.com"/>
    <s v="+91-8214956255"/>
    <x v="183"/>
    <s v="Missing"/>
    <x v="0"/>
    <s v="7 Years, 7 Months, 29 Days"/>
    <n v="1772.4"/>
    <x v="0"/>
    <n v="138618"/>
    <s v="Average"/>
    <n v="5"/>
    <m/>
    <m/>
    <m/>
    <m/>
  </r>
  <r>
    <n v="5100"/>
    <s v="Karthik Bose"/>
    <x v="1"/>
    <x v="2"/>
    <s v="D03"/>
    <s v="Sunita Rao"/>
    <s v="Pune"/>
    <s v="deepak.iyer@company.com"/>
    <s v="+91-1301517703"/>
    <x v="184"/>
    <s v="Missing"/>
    <x v="0"/>
    <s v="8 Years, 6 Months, 15 Days"/>
    <n v="3058.76"/>
    <x v="0"/>
    <n v="132398"/>
    <s v="Not Rated"/>
    <n v="10"/>
    <m/>
    <m/>
    <m/>
    <m/>
  </r>
  <r>
    <n v="5225"/>
    <s v="Deepak Iyer"/>
    <x v="1"/>
    <x v="0"/>
    <s v="D04"/>
    <s v="Vivek Malhotra"/>
    <s v="Mumbai"/>
    <s v="anita.trivedi@company.com"/>
    <s v="+91-9297480402"/>
    <x v="185"/>
    <s v="Still Employed"/>
    <x v="0"/>
    <s v="7 Years, 11 Months, 12 Days"/>
    <n v="2252.38"/>
    <x v="0"/>
    <n v="139729"/>
    <s v="Poor"/>
    <n v="4"/>
    <m/>
    <m/>
    <m/>
    <m/>
  </r>
  <r>
    <n v="5241"/>
    <s v="Anita Trivedi"/>
    <x v="1"/>
    <x v="1"/>
    <s v="D01"/>
    <s v="Ananya Sen"/>
    <s v="Mumbai"/>
    <s v="deepak.saxena@company.com"/>
    <s v="+91-7827132430"/>
    <x v="186"/>
    <s v="Still Employed"/>
    <x v="0"/>
    <s v="4 Years, 10 Months, 5 Days"/>
    <n v="2994.88"/>
    <x v="0"/>
    <n v="0"/>
    <s v="Average"/>
    <n v="21"/>
    <m/>
    <m/>
    <m/>
    <m/>
  </r>
  <r>
    <n v="5243"/>
    <s v="Deepak Saxena"/>
    <x v="1"/>
    <x v="3"/>
    <s v="D04"/>
    <s v="Vivek Malhotra"/>
    <s v="Hyderabad"/>
    <s v="rohan.trivedi@company.com"/>
    <s v="+91-2327523682"/>
    <x v="187"/>
    <s v="N/A"/>
    <x v="0"/>
    <s v="8 Years, 4 Months, 13 Days"/>
    <n v="1254.95"/>
    <x v="0"/>
    <n v="53874"/>
    <s v="Poor"/>
    <n v="25"/>
    <m/>
    <m/>
    <m/>
    <m/>
  </r>
  <r>
    <n v="5059"/>
    <s v="Rohan Trivedi"/>
    <x v="0"/>
    <x v="0"/>
    <s v="D06"/>
    <s v="Faisal Ahmed"/>
    <s v="Bengaluru"/>
    <s v="neha.shah@company.com"/>
    <s v="+91-1977458805"/>
    <x v="188"/>
    <d v="2022-07-05T00:00:00"/>
    <x v="4"/>
    <s v="6 Years, 1 Months, 28 Days"/>
    <n v="1585.76"/>
    <x v="1"/>
    <n v="124726"/>
    <s v="Average"/>
    <n v="12"/>
    <m/>
    <m/>
    <m/>
    <m/>
  </r>
  <r>
    <n v="5255"/>
    <s v="Neha Shah"/>
    <x v="1"/>
    <x v="2"/>
    <s v="D05"/>
    <s v="Leela Iyer"/>
    <s v="Delhi"/>
    <s v="neha.gupta@company.com"/>
    <s v="+91-9720510520"/>
    <x v="189"/>
    <s v="N/A"/>
    <x v="0"/>
    <s v="8 Years, 2 Months, 10 Days"/>
    <n v="2188.09"/>
    <x v="0"/>
    <n v="159874"/>
    <s v="Below Average"/>
    <n v="23"/>
    <m/>
    <m/>
    <m/>
    <m/>
  </r>
  <r>
    <n v="5270"/>
    <s v="Neha Gupta"/>
    <x v="0"/>
    <x v="1"/>
    <s v="D01"/>
    <s v="Ananya Sen"/>
    <s v="Hyderabad"/>
    <s v="varun.joshi@company.com"/>
    <s v="+91-1803250854"/>
    <x v="190"/>
    <s v="Missing"/>
    <x v="0"/>
    <s v="3 Years, 5 Months, 5 Days"/>
    <n v="2402.14"/>
    <x v="0"/>
    <n v="151482"/>
    <s v="Good"/>
    <s v="Negate Leave"/>
    <m/>
    <m/>
    <m/>
    <m/>
  </r>
  <r>
    <n v="5335"/>
    <s v="Varun Joshi"/>
    <x v="1"/>
    <x v="1"/>
    <s v="D06"/>
    <s v="Faisal Ahmed"/>
    <s v="Ahmedabad"/>
    <s v="simran.mehta@company.com"/>
    <s v="+91-2790559772"/>
    <x v="191"/>
    <s v="N/A"/>
    <x v="0"/>
    <s v="4 Years, 4 Months, 3 Days"/>
    <n v="3103.2"/>
    <x v="0"/>
    <n v="0"/>
    <s v="Average"/>
    <n v="2"/>
    <m/>
    <m/>
    <m/>
    <m/>
  </r>
  <r>
    <n v="5066"/>
    <s v="Simran Mehta"/>
    <x v="1"/>
    <x v="2"/>
    <s v="D04"/>
    <s v="Vivek Malhotra"/>
    <s v="Bengaluru"/>
    <s v="divya.agarwal@company.com"/>
    <s v="Invalid"/>
    <x v="192"/>
    <s v="Missing"/>
    <x v="0"/>
    <s v="5 Years, 11 Months, 25 Days"/>
    <n v="2776.83"/>
    <x v="0"/>
    <n v="0"/>
    <s v="Below Average"/>
    <n v="24"/>
    <m/>
    <m/>
    <m/>
    <m/>
  </r>
  <r>
    <n v="5284"/>
    <s v="Divya Agarwal"/>
    <x v="1"/>
    <x v="4"/>
    <s v="D05"/>
    <s v="Leela Iyer"/>
    <s v="Chennai"/>
    <s v="arjun.gupta@company.com"/>
    <s v="+91-8624618957"/>
    <x v="193"/>
    <s v="Still Employed"/>
    <x v="0"/>
    <s v="6 Years, 6 Months, 26 Days"/>
    <n v="1858.69"/>
    <x v="0"/>
    <n v="100748"/>
    <s v="Average"/>
    <n v="17"/>
    <m/>
    <m/>
    <m/>
    <m/>
  </r>
  <r>
    <n v="5141"/>
    <s v="Arjun Gupta"/>
    <x v="0"/>
    <x v="3"/>
    <s v="D05"/>
    <s v="Leela Iyer"/>
    <s v="Mumbai"/>
    <s v="vikram.naidu@company.com"/>
    <s v="+91-3966579925"/>
    <x v="194"/>
    <s v="Missing"/>
    <x v="0"/>
    <s v="8 Years, 5 Months, 27 Days"/>
    <n v="2646.63"/>
    <x v="0"/>
    <n v="169961"/>
    <s v="Good"/>
    <n v="22"/>
    <m/>
    <m/>
    <m/>
    <m/>
  </r>
  <r>
    <n v="5194"/>
    <s v="Vikram Naidu"/>
    <x v="0"/>
    <x v="3"/>
    <s v="D04"/>
    <s v="Vivek Malhotra"/>
    <s v="Chennai"/>
    <s v="rohan.gupta@company.com"/>
    <s v="+91-1721239535"/>
    <x v="195"/>
    <s v="Still Employed"/>
    <x v="0"/>
    <s v="7 Years, 7 Months, 5 Days"/>
    <n v="2893.59"/>
    <x v="0"/>
    <n v="0"/>
    <s v="Average"/>
    <n v="5"/>
    <m/>
    <m/>
    <m/>
    <m/>
  </r>
  <r>
    <n v="5192"/>
    <s v="Rohan Gupta"/>
    <x v="1"/>
    <x v="2"/>
    <s v="D02"/>
    <s v="Rajiv Kapoor"/>
    <s v="Ahmedabad"/>
    <s v="yash.mehta@company.com"/>
    <s v="+91-4833742781"/>
    <x v="196"/>
    <s v="Still Employed"/>
    <x v="0"/>
    <s v="5 Years, 1 Months, 0 Days"/>
    <n v="1788.4"/>
    <x v="0"/>
    <n v="109352"/>
    <s v="Excellent"/>
    <n v="13"/>
    <m/>
    <m/>
    <m/>
    <m/>
  </r>
  <r>
    <n v="5297"/>
    <s v="Yash Mehta"/>
    <x v="0"/>
    <x v="4"/>
    <s v="D01"/>
    <s v="Ananya Sen"/>
    <s v="Ahmedabad"/>
    <s v="deepak.trivedi@company.com"/>
    <s v="+91-6916346616"/>
    <x v="145"/>
    <d v="2025-06-30T00:00:00"/>
    <x v="2"/>
    <s v="7 Years, 2 Months, 27 Days"/>
    <n v="1617.2"/>
    <x v="1"/>
    <n v="87508"/>
    <s v="Good"/>
    <n v="1"/>
    <m/>
    <m/>
    <m/>
    <m/>
  </r>
  <r>
    <n v="5292"/>
    <s v="Deepak Trivedi"/>
    <x v="1"/>
    <x v="3"/>
    <s v="D01"/>
    <s v="Ananya Sen"/>
    <s v="Chennai"/>
    <s v="neha.desai@company.com"/>
    <s v="+91-5742141360"/>
    <x v="197"/>
    <s v="Missing"/>
    <x v="0"/>
    <s v="7 Years, 11 Months, 0 Days"/>
    <n v="2068.33"/>
    <x v="0"/>
    <n v="0"/>
    <s v="Average"/>
    <n v="14"/>
    <m/>
    <m/>
    <m/>
    <m/>
  </r>
  <r>
    <n v="5070"/>
    <s v="Kirti Rao"/>
    <x v="0"/>
    <x v="4"/>
    <s v="D04"/>
    <s v="Vivek Malhotra"/>
    <s v="Chennai"/>
    <s v="yash.kulkarni@company.com"/>
    <s v="+91-7547515336"/>
    <x v="198"/>
    <d v="2025-06-30T00:00:00"/>
    <x v="2"/>
    <s v="7977 Years, 3 Months, 18 Days"/>
    <n v="1517.44"/>
    <x v="1"/>
    <n v="161504"/>
    <s v="Average"/>
    <n v="5"/>
    <m/>
    <m/>
    <m/>
    <m/>
  </r>
  <r>
    <n v="5273"/>
    <s v="Neha Desai"/>
    <x v="0"/>
    <x v="1"/>
    <s v="D04"/>
    <s v="Vivek Malhotra"/>
    <s v="Hyderabad"/>
    <s v="anjali.saxena@company.com"/>
    <s v="Invalid"/>
    <x v="199"/>
    <s v="Missing"/>
    <x v="0"/>
    <s v="4 Years, 10 Months, 21 Days"/>
    <n v="3052.76"/>
    <x v="0"/>
    <n v="87417"/>
    <s v="Good"/>
    <n v="23"/>
    <m/>
    <m/>
    <m/>
    <m/>
  </r>
  <r>
    <n v="5210"/>
    <s v="Yash Kulkarni"/>
    <x v="1"/>
    <x v="0"/>
    <s v="D02"/>
    <s v="Rajiv Kapoor"/>
    <s v="Chennai"/>
    <s v="simran.mehta@company.com"/>
    <s v="Invalid"/>
    <x v="200"/>
    <s v="Missing"/>
    <x v="0"/>
    <s v="4 Years, 5 Months, 4 Days"/>
    <n v="1581.32"/>
    <x v="0"/>
    <n v="166065"/>
    <s v="Poor"/>
    <n v="11"/>
    <m/>
    <m/>
    <m/>
    <m/>
  </r>
  <r>
    <n v="5314"/>
    <s v="Anjali Saxena"/>
    <x v="0"/>
    <x v="3"/>
    <s v="D01"/>
    <s v="Ananya Sen"/>
    <s v="Pune"/>
    <s v="arjun.naidu@company.com"/>
    <s v="+91-6563048137"/>
    <x v="201"/>
    <s v="Missing"/>
    <x v="0"/>
    <s v="5 Years, 7 Months, 27 Days"/>
    <n v="3019.32"/>
    <x v="0"/>
    <n v="132050"/>
    <s v="Good"/>
    <n v="4"/>
    <m/>
    <m/>
    <m/>
    <m/>
  </r>
  <r>
    <n v="5068"/>
    <s v="Simran Mehta"/>
    <x v="0"/>
    <x v="0"/>
    <s v="D02"/>
    <s v="Rajiv Kapoor"/>
    <s v="Hyderabad"/>
    <s v="ritu.kulkarni@company.com"/>
    <s v="+91-3957614565"/>
    <x v="202"/>
    <s v="Missing"/>
    <x v="0"/>
    <s v="4 Years, 1 Months, 26 Days"/>
    <n v="2570.75"/>
    <x v="0"/>
    <n v="84059"/>
    <s v="Average"/>
    <n v="16"/>
    <m/>
    <m/>
    <m/>
    <m/>
  </r>
  <r>
    <n v="5029"/>
    <s v="Arjun Naidu"/>
    <x v="1"/>
    <x v="2"/>
    <s v="D05"/>
    <s v="Leela Iyer"/>
    <s v="Bengaluru"/>
    <s v="No Email ID"/>
    <s v="+91-1773643289"/>
    <x v="203"/>
    <s v="Still Employed"/>
    <x v="0"/>
    <s v="8 Years, 4 Months, 7 Days"/>
    <n v="2456.02"/>
    <x v="0"/>
    <n v="94903"/>
    <s v="Excellent"/>
    <n v="23"/>
    <m/>
    <m/>
    <m/>
    <m/>
  </r>
  <r>
    <n v="5144"/>
    <s v="Ritu Kulkarni"/>
    <x v="0"/>
    <x v="0"/>
    <s v="D06"/>
    <s v="Faisal Ahmed"/>
    <s v="Hyderabad"/>
    <s v="aaravagarwal@company.com"/>
    <s v="Incomplete"/>
    <x v="204"/>
    <d v="2025-06-30T00:00:00"/>
    <x v="2"/>
    <s v="4 Years, 3 Months, 27 Days"/>
    <n v="562.89"/>
    <x v="1"/>
    <n v="51253"/>
    <s v="Excellent"/>
    <n v="17"/>
    <m/>
    <m/>
    <m/>
    <m/>
  </r>
  <r>
    <n v="5261"/>
    <s v="Amit Gupta"/>
    <x v="0"/>
    <x v="2"/>
    <s v="D01"/>
    <s v="Ananya Sen"/>
    <s v="Hyderabad"/>
    <s v="suresh.menon@company.com"/>
    <s v="+91-9616216894"/>
    <x v="205"/>
    <s v="Still Employed"/>
    <x v="0"/>
    <s v="8 Years, 3 Months, 4 Days"/>
    <n v="2498.9"/>
    <x v="0"/>
    <n v="149465"/>
    <s v="Good"/>
    <n v="20"/>
    <m/>
    <m/>
    <m/>
    <m/>
  </r>
  <r>
    <n v="5032"/>
    <s v="Aarav Agarwal"/>
    <x v="1"/>
    <x v="0"/>
    <s v="D06"/>
    <s v="Faisal Ahmed"/>
    <s v="Mumbai"/>
    <s v="simran.bose@company.com"/>
    <s v="+91-3918682067"/>
    <x v="56"/>
    <s v="Missing"/>
    <x v="0"/>
    <s v="7 Years, 0 Months, 12 Days"/>
    <n v="795.38"/>
    <x v="0"/>
    <n v="167447"/>
    <s v="Below Average"/>
    <n v="12"/>
    <m/>
    <m/>
    <m/>
    <m/>
  </r>
  <r>
    <n v="5347"/>
    <s v="Suresh Menon"/>
    <x v="0"/>
    <x v="5"/>
    <s v="D04"/>
    <s v="Vivek Malhotra"/>
    <s v="Delhi"/>
    <s v="priya.reddy@company.com"/>
    <s v="Incomplete"/>
    <x v="206"/>
    <s v="N/A"/>
    <x v="0"/>
    <s v="6 Years, 8 Months, 19 Days"/>
    <n v="2674.07"/>
    <x v="0"/>
    <n v="111945"/>
    <s v="Below Average"/>
    <n v="2"/>
    <m/>
    <m/>
    <m/>
    <m/>
  </r>
  <r>
    <n v="5321"/>
    <s v="Simran Bose"/>
    <x v="0"/>
    <x v="0"/>
    <s v="D06"/>
    <s v="Faisal Ahmed"/>
    <s v="Ahmedabad"/>
    <s v="priya.kapoor@company.com"/>
    <s v="+91-3083793881"/>
    <x v="207"/>
    <s v="Missing"/>
    <x v="0"/>
    <s v="1 Years, 6 Months, 15 Days"/>
    <n v="2870.15"/>
    <x v="0"/>
    <n v="0"/>
    <s v="Below Average"/>
    <s v="Negate Leave"/>
    <m/>
    <m/>
    <m/>
    <m/>
  </r>
  <r>
    <n v="5075"/>
    <s v="Priya Reddy"/>
    <x v="0"/>
    <x v="3"/>
    <s v="D04"/>
    <s v="Vivek Malhotra"/>
    <s v="Bengaluru"/>
    <s v="deepak.agarwal@company.com"/>
    <s v="+91-6841470089"/>
    <x v="208"/>
    <s v="Missing"/>
    <x v="0"/>
    <s v="6 Years, 10 Months, 1 Days"/>
    <n v="2589.19"/>
    <x v="0"/>
    <n v="142930"/>
    <s v="Average"/>
    <n v="4"/>
    <m/>
    <m/>
    <m/>
    <m/>
  </r>
  <r>
    <n v="5226"/>
    <s v="Priya Kapoor"/>
    <x v="0"/>
    <x v="0"/>
    <s v="D06"/>
    <s v="Faisal Ahmed"/>
    <s v="Hyderabad"/>
    <s v="rohan.bose@company.com"/>
    <s v="Incomplete"/>
    <x v="209"/>
    <d v="2024-10-22T00:00:00"/>
    <x v="1"/>
    <s v="2 Years, 2 Months, 2 Days"/>
    <n v="1723.52"/>
    <x v="1"/>
    <n v="162349"/>
    <s v="Good"/>
    <n v="0"/>
    <m/>
    <m/>
    <m/>
    <m/>
  </r>
  <r>
    <n v="5145"/>
    <s v="Deepak Agarwal"/>
    <x v="1"/>
    <x v="2"/>
    <s v="D03"/>
    <s v="Sunita Rao"/>
    <s v="Hyderabad"/>
    <s v="vikram.pillai@company.com "/>
    <s v="+91-7509619239"/>
    <x v="210"/>
    <s v="N/A"/>
    <x v="0"/>
    <s v="7 Years, 3 Months, 24 Days"/>
    <n v="1035.9000000000001"/>
    <x v="0"/>
    <n v="86731"/>
    <s v="Good"/>
    <n v="3"/>
    <m/>
    <m/>
    <m/>
    <m/>
  </r>
  <r>
    <n v="5021"/>
    <s v="Rohan Bose"/>
    <x v="0"/>
    <x v="5"/>
    <s v="D06"/>
    <s v="Faisal Ahmed"/>
    <s v="Chennai"/>
    <s v="karthik.mehta@company.com"/>
    <s v="+91-4683673221"/>
    <x v="211"/>
    <s v="Missing"/>
    <x v="0"/>
    <s v="7 Years, 10 Months, 7 Days"/>
    <n v="2811.27"/>
    <x v="0"/>
    <n v="145243"/>
    <s v="Good"/>
    <n v="20"/>
    <m/>
    <m/>
    <m/>
    <m/>
  </r>
  <r>
    <n v="5039"/>
    <s v="Vikram Pillai"/>
    <x v="1"/>
    <x v="1"/>
    <s v="D01"/>
    <s v="Ananya Sen"/>
    <s v="Kolkata"/>
    <s v="meenal.shah@company.com"/>
    <s v="+91-3255366934"/>
    <x v="212"/>
    <s v="Still Employed"/>
    <x v="0"/>
    <s v="7 Years, 1 Months, 0 Days"/>
    <n v="1926.57"/>
    <x v="0"/>
    <n v="68500"/>
    <s v="Below Average"/>
    <n v="18"/>
    <m/>
    <m/>
    <m/>
    <m/>
  </r>
  <r>
    <n v="5057"/>
    <s v="Karthik Mehta"/>
    <x v="1"/>
    <x v="5"/>
    <s v="D06"/>
    <s v="Faisal Ahmed"/>
    <s v="Ahmedabad"/>
    <s v="sneha.trivedi@company.com"/>
    <s v="+91-3194275879"/>
    <x v="213"/>
    <s v="Missing"/>
    <x v="0"/>
    <s v="4 Years, 8 Months, 19 Days"/>
    <n v="913.14"/>
    <x v="0"/>
    <n v="150421"/>
    <s v="Good"/>
    <s v="Negate Leave"/>
    <m/>
    <m/>
    <m/>
    <m/>
  </r>
  <r>
    <n v="5092"/>
    <s v="Meenal Shah"/>
    <x v="0"/>
    <x v="0"/>
    <s v="D04"/>
    <s v="Vivek Malhotra"/>
    <s v="Chennai"/>
    <s v="neha.bhatt@company.com"/>
    <s v="+91-8844536849"/>
    <x v="214"/>
    <s v="Missing"/>
    <x v="0"/>
    <s v="2 Years, 9 Months, 29 Days"/>
    <n v="1691.08"/>
    <x v="0"/>
    <n v="164959"/>
    <s v="Good"/>
    <n v="5"/>
    <m/>
    <m/>
    <m/>
    <m/>
  </r>
  <r>
    <n v="5349"/>
    <s v="Sneha Trivedi"/>
    <x v="0"/>
    <x v="4"/>
    <s v="D03"/>
    <s v="Sunita Rao"/>
    <s v="Delhi"/>
    <s v="deepak.naidu@company.com"/>
    <s v="+91-6411288126"/>
    <x v="27"/>
    <s v="N/A"/>
    <x v="0"/>
    <s v="7 Years, 8 Months, 9 Days"/>
    <n v="1335.83"/>
    <x v="0"/>
    <n v="71853"/>
    <s v="Not Rated"/>
    <n v="20"/>
    <m/>
    <m/>
    <m/>
    <m/>
  </r>
  <r>
    <n v="5232"/>
    <s v="Neha Bhatt"/>
    <x v="0"/>
    <x v="5"/>
    <s v="D05"/>
    <s v="Leela Iyer"/>
    <s v="Pune"/>
    <s v="No Email ID"/>
    <s v="Incomplete"/>
    <x v="215"/>
    <s v="Missing"/>
    <x v="0"/>
    <s v="5 Years, 3 Months, 7 Days"/>
    <n v="877.26"/>
    <x v="0"/>
    <n v="0"/>
    <s v="Good"/>
    <s v="Negate Leave"/>
    <m/>
    <m/>
    <m/>
    <m/>
  </r>
  <r>
    <n v="5191"/>
    <s v="Deepak Naidu"/>
    <x v="0"/>
    <x v="2"/>
    <s v="D03"/>
    <s v="Sunita Rao"/>
    <s v="Chennai"/>
    <s v="rajesh.trivedi@company.com"/>
    <s v="Incomplete"/>
    <x v="216"/>
    <s v="Missing"/>
    <x v="0"/>
    <s v="2 Years, 5 Months, 28 Days"/>
    <n v="1643.64"/>
    <x v="0"/>
    <n v="161873"/>
    <s v="Poor"/>
    <n v="16"/>
    <m/>
    <m/>
    <m/>
    <m/>
  </r>
  <r>
    <n v="5323"/>
    <s v="Meenal Naidu"/>
    <x v="0"/>
    <x v="2"/>
    <s v="D06"/>
    <s v="Faisal Ahmed"/>
    <s v="Pune"/>
    <s v="pooja.iyer@company.com"/>
    <s v="+91-3272941176"/>
    <x v="217"/>
    <d v="2025-06-30T00:00:00"/>
    <x v="2"/>
    <s v="4 Years, 7 Months, 15 Days"/>
    <n v="826.82"/>
    <x v="1"/>
    <n v="124352"/>
    <s v="Excellent"/>
    <s v="Negate Leave"/>
    <m/>
    <m/>
    <m/>
    <m/>
  </r>
  <r>
    <n v="5309"/>
    <s v="Rajesh Trivedi"/>
    <x v="0"/>
    <x v="4"/>
    <s v="D02"/>
    <s v="Rajiv Kapoor"/>
    <s v="Delhi"/>
    <s v="meenal.kulkarni@company.com"/>
    <s v="+91-3658410973"/>
    <x v="218"/>
    <s v="Still Employed"/>
    <x v="0"/>
    <s v="3 Years, 7 Months, 25 Days"/>
    <n v="2589.19"/>
    <x v="0"/>
    <n v="135137"/>
    <s v="Poor"/>
    <n v="7"/>
    <m/>
    <m/>
    <m/>
    <m/>
  </r>
  <r>
    <n v="5032"/>
    <s v="Aarav Agarwal"/>
    <x v="0"/>
    <x v="2"/>
    <s v="D03"/>
    <s v="Sunita Rao"/>
    <s v="Ahmedabad"/>
    <s v="tanvi.desai@company.com"/>
    <s v="+91-4940132850"/>
    <x v="219"/>
    <s v="Missing"/>
    <x v="0"/>
    <s v="2 Years, 4 Months, 23 Days"/>
    <n v="1435.5900000000001"/>
    <x v="0"/>
    <n v="0"/>
    <s v="Poor"/>
    <n v="17"/>
    <m/>
    <m/>
    <m/>
    <m/>
  </r>
  <r>
    <n v="5317"/>
    <s v="Pooja Iyer"/>
    <x v="1"/>
    <x v="4"/>
    <s v="D04"/>
    <s v="Vivek Malhotra"/>
    <s v="Mumbai"/>
    <s v="divya.bhatt@company.com"/>
    <s v="Incomplete"/>
    <x v="220"/>
    <s v="Still Employed"/>
    <x v="0"/>
    <s v="4 Years, 5 Months, 28 Days"/>
    <n v="1403.15"/>
    <x v="0"/>
    <n v="120756"/>
    <s v="Average"/>
    <n v="25"/>
    <m/>
    <m/>
    <m/>
    <m/>
  </r>
  <r>
    <n v="5170"/>
    <s v="Meenal Kulkarni"/>
    <x v="0"/>
    <x v="4"/>
    <s v="D04"/>
    <s v="Vivek Malhotra"/>
    <s v="Ahmedabad"/>
    <s v="suresh.naidu@company.com"/>
    <s v="+91-8498114333"/>
    <x v="221"/>
    <s v="N/A"/>
    <x v="0"/>
    <s v="2 Years, 3 Months, 5 Days"/>
    <n v="2111.21"/>
    <x v="0"/>
    <n v="78181"/>
    <s v="Good"/>
    <n v="18"/>
    <m/>
    <m/>
    <m/>
    <m/>
  </r>
  <r>
    <n v="5319"/>
    <s v="Tanvi Desai"/>
    <x v="0"/>
    <x v="3"/>
    <s v="D02"/>
    <s v="Rajiv Kapoor"/>
    <s v="Ahmedabad"/>
    <s v="rituverma@company.com"/>
    <s v="Incomplete"/>
    <x v="212"/>
    <s v="N/A"/>
    <x v="0"/>
    <s v="7 Years, 1 Months, 0 Days"/>
    <n v="3121.64"/>
    <x v="0"/>
    <n v="102002"/>
    <s v="Not Rated"/>
    <n v="7"/>
    <m/>
    <m/>
    <m/>
    <m/>
  </r>
  <r>
    <n v="5182"/>
    <s v="Divya Bhatt"/>
    <x v="0"/>
    <x v="4"/>
    <s v="D04"/>
    <s v="Vivek Malhotra"/>
    <s v="Mumbai"/>
    <s v="isha.trivedi@company.com"/>
    <s v="+91-1900327894"/>
    <x v="222"/>
    <s v="N/A"/>
    <x v="0"/>
    <s v="3 Years, 11 Months, 3 Days"/>
    <n v="2711.95"/>
    <x v="0"/>
    <n v="179947"/>
    <s v="Excellent"/>
    <n v="15"/>
    <m/>
    <m/>
    <m/>
    <m/>
  </r>
  <r>
    <n v="5138"/>
    <s v="Suresh Naidu"/>
    <x v="1"/>
    <x v="5"/>
    <s v="D02"/>
    <s v="Rajiv Kapoor"/>
    <s v="Kolkata"/>
    <s v="rahul.reddy@company.com"/>
    <s v="+91-5901909782"/>
    <x v="223"/>
    <s v="Missing"/>
    <x v="0"/>
    <s v="3 Years, 10 Months, 1 Days"/>
    <n v="1395.71"/>
    <x v="0"/>
    <n v="99533"/>
    <s v="Poor"/>
    <n v="8"/>
    <m/>
    <m/>
    <m/>
    <m/>
  </r>
  <r>
    <n v="5017"/>
    <s v="Ritu Verma"/>
    <x v="1"/>
    <x v="2"/>
    <s v="D02"/>
    <s v="Rajiv Kapoor"/>
    <s v="Delhi"/>
    <s v="rahul.bhatt@company.com "/>
    <s v="Invalid"/>
    <x v="224"/>
    <d v="2023-11-04T00:00:00"/>
    <x v="5"/>
    <s v="5 Years, 9 Months, 9 Days"/>
    <n v="1339.27"/>
    <x v="1"/>
    <n v="0"/>
    <s v="Good"/>
    <n v="2"/>
    <m/>
    <m/>
    <m/>
    <m/>
  </r>
  <r>
    <n v="5088"/>
    <s v="Isha Trivedi"/>
    <x v="0"/>
    <x v="2"/>
    <s v="D01"/>
    <s v="Ananya Sen"/>
    <s v="Kolkata"/>
    <s v="isha.agarwal@company.com"/>
    <s v="+91-1322817180"/>
    <x v="184"/>
    <s v="Missing"/>
    <x v="0"/>
    <s v="8 Years, 6 Months, 15 Days"/>
    <n v="2708.95"/>
    <x v="0"/>
    <n v="0"/>
    <s v="Poor"/>
    <n v="17"/>
    <m/>
    <m/>
    <m/>
    <m/>
  </r>
  <r>
    <n v="5236"/>
    <s v="Rahul Reddy"/>
    <x v="1"/>
    <x v="3"/>
    <s v="D02"/>
    <s v="Rajiv Kapoor"/>
    <s v="Kolkata"/>
    <s v="tanvi.rao@company.com"/>
    <s v="+91-0095235420"/>
    <x v="225"/>
    <s v="N/A"/>
    <x v="0"/>
    <s v="7 Years, 5 Months, 1 Days"/>
    <n v="1734.96"/>
    <x v="0"/>
    <n v="163562"/>
    <s v="Poor"/>
    <n v="3"/>
    <m/>
    <m/>
    <m/>
    <m/>
  </r>
  <r>
    <n v="5300"/>
    <s v="Rahul Bhatt"/>
    <x v="1"/>
    <x v="5"/>
    <s v="D03"/>
    <s v="Sunita Rao"/>
    <s v="Bengaluru"/>
    <s v="karthiksaxena@company.com"/>
    <s v="+91-1482145862"/>
    <x v="226"/>
    <s v="Missing"/>
    <x v="0"/>
    <s v="3 Years, 9 Months, 24 Days"/>
    <n v="899.7"/>
    <x v="0"/>
    <n v="124988"/>
    <s v="Below Average"/>
    <n v="3"/>
    <m/>
    <m/>
    <m/>
    <m/>
  </r>
  <r>
    <n v="5027"/>
    <s v="Isha Agarwal"/>
    <x v="0"/>
    <x v="0"/>
    <s v="D04"/>
    <s v="Vivek Malhotra"/>
    <s v="Mumbai"/>
    <s v="arjun.iyer@company.com"/>
    <s v="+91-1054446877"/>
    <x v="227"/>
    <d v="2025-06-30T00:00:00"/>
    <x v="2"/>
    <s v="3 Years, 8 Months, 0 Days"/>
    <n v="1585.76"/>
    <x v="1"/>
    <n v="120490"/>
    <s v="Average"/>
    <n v="19"/>
    <m/>
    <m/>
    <m/>
    <m/>
  </r>
  <r>
    <n v="5089"/>
    <s v="Tanvi Rao"/>
    <x v="1"/>
    <x v="0"/>
    <s v="D04"/>
    <s v="Vivek Malhotra"/>
    <s v="Chennai"/>
    <s v="priya.bhatt@company.com"/>
    <s v="+91-5306661211"/>
    <x v="228"/>
    <s v="Missing"/>
    <x v="0"/>
    <s v="7 Years, 4 Months, 28 Days"/>
    <n v="2281.38"/>
    <x v="0"/>
    <n v="0"/>
    <s v="Average"/>
    <n v="0"/>
    <m/>
    <m/>
    <m/>
    <m/>
  </r>
  <r>
    <n v="5087"/>
    <s v="Karthik Saxena"/>
    <x v="1"/>
    <x v="5"/>
    <s v="D02"/>
    <s v="Rajiv Kapoor"/>
    <s v="Ahmedabad"/>
    <s v="pooja.chopra@company.com"/>
    <s v="+91-1114817019"/>
    <x v="229"/>
    <s v="Missing"/>
    <x v="0"/>
    <s v="7981 Years, 4 Months, 5 Days"/>
    <n v="2846.71"/>
    <x v="0"/>
    <n v="0"/>
    <s v="Not Rated"/>
    <n v="25"/>
    <m/>
    <m/>
    <m/>
    <m/>
  </r>
  <r>
    <n v="5237"/>
    <s v="Arjun Iyer"/>
    <x v="1"/>
    <x v="1"/>
    <s v="D01"/>
    <s v="Ananya Sen"/>
    <s v="Pune"/>
    <s v="No Email ID"/>
    <s v="+91-5611923779"/>
    <x v="230"/>
    <s v="Still Employed"/>
    <x v="0"/>
    <s v="4 Years, 8 Months, 28 Days"/>
    <n v="1372.71"/>
    <x v="0"/>
    <n v="162016"/>
    <s v="Good"/>
    <n v="15"/>
    <m/>
    <m/>
    <m/>
    <m/>
  </r>
  <r>
    <n v="5206"/>
    <s v="Priya Bhatt"/>
    <x v="1"/>
    <x v="5"/>
    <s v="D03"/>
    <s v="Sunita Rao"/>
    <s v="Ahmedabad"/>
    <s v="manish.joshi@company.com"/>
    <s v="Invalid"/>
    <x v="24"/>
    <s v="Missing"/>
    <x v="0"/>
    <s v="2 Years, 5 Months, 15 Days"/>
    <n v="1303.3900000000001"/>
    <x v="0"/>
    <n v="60679"/>
    <s v="Average"/>
    <s v="Negate Leave"/>
    <m/>
    <m/>
    <m/>
    <m/>
  </r>
  <r>
    <n v="5288"/>
    <s v="Pooja Chopra"/>
    <x v="1"/>
    <x v="0"/>
    <s v="D06"/>
    <s v="Faisal Ahmed"/>
    <s v="Mumbai"/>
    <s v="sanjay.kulkarni@company.com"/>
    <s v="+91-8465141916"/>
    <x v="231"/>
    <d v="2023-10-15T00:00:00"/>
    <x v="5"/>
    <s v="4 Years, 4 Months, 3 Days"/>
    <n v="692.65000000000009"/>
    <x v="1"/>
    <n v="175789"/>
    <s v="Good"/>
    <n v="24"/>
    <m/>
    <m/>
    <m/>
    <m/>
  </r>
  <r>
    <n v="5153"/>
    <s v="Suresh Mehta"/>
    <x v="1"/>
    <x v="3"/>
    <s v="D06"/>
    <s v="Faisal Ahmed"/>
    <s v="Mumbai"/>
    <s v="deepak.kapoor@company.com"/>
    <s v="+91-0559874906"/>
    <x v="232"/>
    <s v="Missing"/>
    <x v="0"/>
    <s v="6 Years, 2 Months, 27 Days"/>
    <n v="1591.76"/>
    <x v="0"/>
    <n v="0"/>
    <s v="Poor"/>
    <n v="19"/>
    <m/>
    <m/>
    <m/>
    <m/>
  </r>
  <r>
    <n v="5240"/>
    <s v="Manish Joshi"/>
    <x v="1"/>
    <x v="4"/>
    <s v="D03"/>
    <s v="Sunita Rao"/>
    <s v="Pune"/>
    <s v="shreya.pillai@company.com"/>
    <s v="+91-3746911719"/>
    <x v="233"/>
    <s v="Missing"/>
    <x v="0"/>
    <s v="7 Years, 9 Months, 14 Days"/>
    <n v="2232.94"/>
    <x v="0"/>
    <n v="65738"/>
    <s v="Below Average"/>
    <n v="0"/>
    <m/>
    <m/>
    <m/>
    <m/>
  </r>
  <r>
    <n v="5149"/>
    <s v="Sanjay Kulkarni"/>
    <x v="1"/>
    <x v="1"/>
    <s v="D05"/>
    <s v="Leela Iyer"/>
    <s v="Bengaluru"/>
    <s v="rohan.naidu@company.com"/>
    <s v="+91-7049372052"/>
    <x v="234"/>
    <s v="Still Employed"/>
    <x v="0"/>
    <s v="3 Years, 9 Months, 1 Days"/>
    <n v="1857.69"/>
    <x v="0"/>
    <n v="66895"/>
    <s v="Poor"/>
    <n v="11"/>
    <m/>
    <m/>
    <m/>
    <m/>
  </r>
  <r>
    <n v="5050"/>
    <s v="Deepak Kapoor"/>
    <x v="1"/>
    <x v="4"/>
    <s v="D03"/>
    <s v="Sunita Rao"/>
    <s v="Kolkata"/>
    <s v="No Email ID"/>
    <s v="+91-7204962486"/>
    <x v="235"/>
    <s v="N/A"/>
    <x v="0"/>
    <s v="3 Years, 6 Months, 23 Days"/>
    <n v="2767.39"/>
    <x v="0"/>
    <n v="126767"/>
    <s v="Poor"/>
    <s v="Negate Leave"/>
    <m/>
    <m/>
    <m/>
    <m/>
  </r>
  <r>
    <n v="5246"/>
    <s v="Shreya Pillai"/>
    <x v="1"/>
    <x v="4"/>
    <s v="D06"/>
    <s v="Faisal Ahmed"/>
    <s v="Mumbai"/>
    <s v="amit.chopra@company.com"/>
    <s v="+91-3873716786"/>
    <x v="236"/>
    <s v="Still Employed"/>
    <x v="0"/>
    <s v="1 Years, 10 Months, 23 Days"/>
    <n v="2065.33"/>
    <x v="0"/>
    <n v="39022"/>
    <s v="Good"/>
    <n v="7"/>
    <m/>
    <m/>
    <m/>
    <m/>
  </r>
  <r>
    <n v="5065"/>
    <s v="Rohan Naidu"/>
    <x v="1"/>
    <x v="0"/>
    <s v="D01"/>
    <s v="Ananya Sen"/>
    <s v="Chennai"/>
    <s v="shreya.desai@company.com"/>
    <s v="Incomplete"/>
    <x v="237"/>
    <s v="Still Employed"/>
    <x v="0"/>
    <s v="4 Years, 4 Months, 7 Days"/>
    <n v="2184.09"/>
    <x v="0"/>
    <n v="102626"/>
    <s v="Average"/>
    <n v="6"/>
    <m/>
    <m/>
    <m/>
    <m/>
  </r>
  <r>
    <n v="5332"/>
    <s v="Yash Iyer"/>
    <x v="1"/>
    <x v="2"/>
    <s v="D02"/>
    <s v="Rajiv Kapoor"/>
    <s v="Kolkata"/>
    <s v="sneha.kulkarni@company.com"/>
    <s v="Invalid"/>
    <x v="238"/>
    <s v="Still Employed"/>
    <x v="0"/>
    <s v="6 Years, 1 Months, 9 Days"/>
    <n v="1426.15"/>
    <x v="0"/>
    <n v="56535"/>
    <s v="Not Rated"/>
    <n v="21"/>
    <m/>
    <m/>
    <m/>
    <m/>
  </r>
  <r>
    <n v="5016"/>
    <s v="Amit Chopra"/>
    <x v="1"/>
    <x v="5"/>
    <s v="D05"/>
    <s v="Leela Iyer"/>
    <s v="Bengaluru"/>
    <s v="simran.gupta@company.com"/>
    <s v="+91-1924957561"/>
    <x v="239"/>
    <s v="Still Employed"/>
    <x v="0"/>
    <s v="5 Years, 0 Months, 29 Days"/>
    <n v="1316.83"/>
    <x v="0"/>
    <n v="124251"/>
    <s v="Good"/>
    <n v="5"/>
    <m/>
    <m/>
    <m/>
    <m/>
  </r>
  <r>
    <n v="5279"/>
    <s v="Shreya Desai"/>
    <x v="1"/>
    <x v="3"/>
    <s v="D02"/>
    <s v="Rajiv Kapoor"/>
    <s v="Chennai"/>
    <s v="varun.rao@company.com "/>
    <s v="+91-8288179751"/>
    <x v="240"/>
    <s v="Missing"/>
    <x v="0"/>
    <s v="7 Years, 6 Months, 26 Days"/>
    <n v="2821.27"/>
    <x v="0"/>
    <n v="171546"/>
    <s v="Poor"/>
    <n v="7"/>
    <m/>
    <m/>
    <m/>
    <m/>
  </r>
  <r>
    <n v="5320"/>
    <s v="Sneha Kulkarni"/>
    <x v="1"/>
    <x v="0"/>
    <s v="D02"/>
    <s v="Rajiv Kapoor"/>
    <s v="Mumbai"/>
    <s v="rahul.pillai@company.com "/>
    <s v="+91-0349971755"/>
    <x v="241"/>
    <d v="2025-06-30T00:00:00"/>
    <x v="2"/>
    <s v="5 Years, 7 Months, 24 Days"/>
    <n v="720.09"/>
    <x v="1"/>
    <n v="161726"/>
    <s v="Below Average"/>
    <n v="11"/>
    <m/>
    <m/>
    <m/>
    <m/>
  </r>
  <r>
    <n v="5111"/>
    <s v="Simran Gupta"/>
    <x v="0"/>
    <x v="3"/>
    <s v="D06"/>
    <s v="Faisal Ahmed"/>
    <s v="Ahmedabad"/>
    <s v="simran.agarwal@company.com"/>
    <s v="+91-1636246770"/>
    <x v="242"/>
    <s v="N/A"/>
    <x v="0"/>
    <s v="5 Years, 11 Months, 21 Days"/>
    <n v="995.02"/>
    <x v="0"/>
    <n v="153987"/>
    <s v="Good"/>
    <n v="7"/>
    <m/>
    <m/>
    <m/>
    <m/>
  </r>
  <r>
    <n v="5301"/>
    <s v="Varun Rao"/>
    <x v="1"/>
    <x v="1"/>
    <s v="D04"/>
    <s v="Vivek Malhotra"/>
    <s v="Pune"/>
    <s v="priya.iyer@company.com"/>
    <s v="+91-8654657707"/>
    <x v="243"/>
    <s v="Missing"/>
    <x v="0"/>
    <s v="3 Years, 10 Months, 24 Days"/>
    <n v="1733.52"/>
    <x v="0"/>
    <n v="80024"/>
    <s v="Excellent"/>
    <s v="Negate Leave"/>
    <m/>
    <m/>
    <m/>
    <m/>
  </r>
  <r>
    <n v="5072"/>
    <s v="Rahul Pillai"/>
    <x v="0"/>
    <x v="4"/>
    <s v="D03"/>
    <s v="Sunita Rao"/>
    <s v="Kolkata"/>
    <s v="vikram.agarwal@company.com"/>
    <s v="+91-5039020475"/>
    <x v="244"/>
    <s v="Missing"/>
    <x v="0"/>
    <s v="3 Years, 7 Months, 6 Days"/>
    <n v="1872.69"/>
    <x v="0"/>
    <n v="138602"/>
    <s v="Below Average"/>
    <n v="4"/>
    <m/>
    <m/>
    <m/>
    <m/>
  </r>
  <r>
    <n v="5055"/>
    <s v="Simran Agarwal"/>
    <x v="0"/>
    <x v="1"/>
    <s v="D01"/>
    <s v="Ananya Sen"/>
    <s v="Delhi"/>
    <s v="amit.naidu@company.com"/>
    <s v="+91-1895559797"/>
    <x v="162"/>
    <s v="Still Employed"/>
    <x v="0"/>
    <s v="7 Years, 8 Months, 19 Days"/>
    <n v="1495.44"/>
    <x v="0"/>
    <n v="0"/>
    <s v="Average"/>
    <n v="18"/>
    <m/>
    <m/>
    <m/>
    <m/>
  </r>
  <r>
    <n v="5249"/>
    <s v="Priya Iyer"/>
    <x v="1"/>
    <x v="0"/>
    <s v="D06"/>
    <s v="Faisal Ahmed"/>
    <s v="Chennai"/>
    <s v="anjali.iyer@company.com"/>
    <s v="+91-7202397923"/>
    <x v="245"/>
    <s v="Missing"/>
    <x v="0"/>
    <s v="1 Years, 11 Months, 20 Days"/>
    <n v="1682.08"/>
    <x v="0"/>
    <n v="160293"/>
    <s v="Excellent"/>
    <n v="20"/>
    <m/>
    <m/>
    <m/>
    <m/>
  </r>
  <r>
    <n v="5263"/>
    <s v="Vikram Agarwal"/>
    <x v="0"/>
    <x v="4"/>
    <s v="D01"/>
    <s v="Ananya Sen"/>
    <s v="Mumbai"/>
    <s v="manish.reddy@company.com "/>
    <s v="+91-3255605628"/>
    <x v="246"/>
    <s v="Missing"/>
    <x v="0"/>
    <s v="2 Years, 8 Months, 19 Days"/>
    <n v="2176.09"/>
    <x v="0"/>
    <n v="78346"/>
    <s v="Average"/>
    <n v="21"/>
    <m/>
    <m/>
    <m/>
    <m/>
  </r>
  <r>
    <n v="5003"/>
    <s v="Amit Naidu"/>
    <x v="1"/>
    <x v="3"/>
    <s v="D05"/>
    <s v="Leela Iyer"/>
    <s v="Delhi"/>
    <s v="pooja.verma@company.com"/>
    <s v="Incomplete"/>
    <x v="247"/>
    <s v="Missing"/>
    <x v="0"/>
    <s v="4 Years, 8 Months, 27 Days"/>
    <n v="1619.2"/>
    <x v="0"/>
    <n v="81211"/>
    <s v="Below Average"/>
    <n v="16"/>
    <m/>
    <m/>
    <m/>
    <m/>
  </r>
  <r>
    <n v="5298"/>
    <s v="Anjali Iyer"/>
    <x v="1"/>
    <x v="3"/>
    <s v="D02"/>
    <s v="Rajiv Kapoor"/>
    <s v="Mumbai"/>
    <s v="suresh.mehta@company.com"/>
    <s v="+91-6335001067"/>
    <x v="248"/>
    <s v="Missing"/>
    <x v="0"/>
    <s v="5 Years, 1 Months, 14 Days"/>
    <n v="1319.83"/>
    <x v="0"/>
    <n v="50012"/>
    <s v="Poor"/>
    <n v="15"/>
    <m/>
    <m/>
    <m/>
    <m/>
  </r>
  <r>
    <n v="5287"/>
    <s v="Manish Reddy"/>
    <x v="0"/>
    <x v="1"/>
    <s v="D05"/>
    <s v="Leela Iyer"/>
    <s v="Mumbai"/>
    <s v="rohanmehta@company.com"/>
    <s v="Invalid"/>
    <x v="249"/>
    <s v="Missing"/>
    <x v="0"/>
    <s v="4 Years, 1 Months, 2 Days"/>
    <n v="2374.14"/>
    <x v="0"/>
    <n v="89665"/>
    <s v="Good"/>
    <n v="24"/>
    <m/>
    <m/>
    <m/>
    <m/>
  </r>
  <r>
    <n v="5102"/>
    <s v="Pooja Verma"/>
    <x v="0"/>
    <x v="2"/>
    <s v="D06"/>
    <s v="Faisal Ahmed"/>
    <s v="Pune"/>
    <s v="priya.reddy@company.com"/>
    <s v="+91-8622976314"/>
    <x v="250"/>
    <s v="Missing"/>
    <x v="0"/>
    <s v="4 Years, 7 Months, 6 Days"/>
    <n v="2535.34"/>
    <x v="0"/>
    <n v="0"/>
    <s v="Excellent"/>
    <n v="5"/>
    <m/>
    <m/>
    <m/>
    <m/>
  </r>
  <r>
    <n v="5239"/>
    <s v="Suresh Mehta"/>
    <x v="1"/>
    <x v="3"/>
    <s v="D02"/>
    <s v="Rajiv Kapoor"/>
    <s v="Delhi"/>
    <s v="simran.joshi@company.com"/>
    <s v="+91-8137226561"/>
    <x v="251"/>
    <d v="2025-06-30T00:00:00"/>
    <x v="2"/>
    <s v="5 Years, 11 Months, 13 Days"/>
    <n v="571.89"/>
    <x v="1"/>
    <n v="0"/>
    <s v="Good"/>
    <n v="13"/>
    <m/>
    <m/>
    <m/>
    <m/>
  </r>
  <r>
    <n v="5156"/>
    <s v="Rohan Mehta"/>
    <x v="0"/>
    <x v="0"/>
    <s v="D01"/>
    <s v="Ananya Sen"/>
    <s v="Hyderabad"/>
    <s v="nikhil.rao@company.com "/>
    <s v="+91-8570951585"/>
    <x v="252"/>
    <d v="2021-02-26T00:00:00"/>
    <x v="3"/>
    <s v="4 Years, 5 Months, 4 Days"/>
    <n v="719.09"/>
    <x v="1"/>
    <n v="38053"/>
    <s v="Good"/>
    <n v="3"/>
    <m/>
    <m/>
    <m/>
    <m/>
  </r>
  <r>
    <n v="5098"/>
    <s v="Priya Reddy"/>
    <x v="0"/>
    <x v="1"/>
    <s v="D01"/>
    <s v="Ananya Sen"/>
    <s v="Ahmedabad"/>
    <s v="pooja.iyer@company.com"/>
    <s v="+91-0652710028"/>
    <x v="253"/>
    <d v="2025-06-30T00:00:00"/>
    <x v="2"/>
    <s v="3 Years, 7 Months, 9 Days"/>
    <n v="603.33000000000004"/>
    <x v="1"/>
    <n v="63621"/>
    <s v="Excellent"/>
    <n v="16"/>
    <m/>
    <m/>
    <m/>
    <m/>
  </r>
  <r>
    <n v="5131"/>
    <s v="Simran Joshi"/>
    <x v="1"/>
    <x v="0"/>
    <s v="D05"/>
    <s v="Leela Iyer"/>
    <s v="Mumbai"/>
    <s v="vikram.shah@company.com "/>
    <s v="+91-3409978371"/>
    <x v="254"/>
    <s v="Missing"/>
    <x v="0"/>
    <s v="6 Years, 5 Months, 28 Days"/>
    <n v="754.5"/>
    <x v="0"/>
    <n v="42883"/>
    <s v="Good"/>
    <n v="0"/>
    <m/>
    <m/>
    <m/>
    <m/>
  </r>
  <r>
    <n v="5106"/>
    <s v="Nikhil Rao"/>
    <x v="1"/>
    <x v="4"/>
    <s v="D04"/>
    <s v="Vivek Malhotra"/>
    <s v="Pune"/>
    <s v="arjun.kapoor@company.com"/>
    <s v="Incomplete"/>
    <x v="255"/>
    <s v="Missing"/>
    <x v="0"/>
    <s v="6 Years, 11 Months, 7 Days"/>
    <n v="2540.34"/>
    <x v="0"/>
    <n v="157614"/>
    <s v="Average"/>
    <n v="0"/>
    <m/>
    <m/>
    <m/>
    <m/>
  </r>
  <r>
    <n v="5230"/>
    <s v="Pooja Iyer"/>
    <x v="0"/>
    <x v="0"/>
    <s v="D01"/>
    <s v="Ananya Sen"/>
    <s v="Bengaluru"/>
    <s v="anjali.joshi@company.com"/>
    <s v="Invalid"/>
    <x v="256"/>
    <s v="Missing"/>
    <x v="0"/>
    <s v="1 Years, 6 Months, 24 Days"/>
    <n v="799.38"/>
    <x v="0"/>
    <n v="72177"/>
    <s v="Excellent"/>
    <n v="23"/>
    <m/>
    <m/>
    <m/>
    <m/>
  </r>
  <r>
    <n v="5078"/>
    <s v="Vikram Shah"/>
    <x v="1"/>
    <x v="3"/>
    <s v="D06"/>
    <s v="Faisal Ahmed"/>
    <s v="Pune"/>
    <s v="divya.saxena@company.com "/>
    <s v="Invalid"/>
    <x v="257"/>
    <s v="Missing"/>
    <x v="0"/>
    <s v="1 Years, 11 Months, 19 Days"/>
    <n v="2946"/>
    <x v="0"/>
    <n v="57041"/>
    <s v="Average"/>
    <n v="8"/>
    <m/>
    <m/>
    <m/>
    <m/>
  </r>
  <r>
    <n v="5013"/>
    <s v="Arjun Kapoor"/>
    <x v="1"/>
    <x v="5"/>
    <s v="D05"/>
    <s v="Leela Iyer"/>
    <s v="Kolkata"/>
    <s v="shreya.pillai@company.com"/>
    <s v="+91-3312459956"/>
    <x v="258"/>
    <s v="N/A"/>
    <x v="0"/>
    <s v="1 Years, 7 Months, 25 Days"/>
    <n v="1678.08"/>
    <x v="0"/>
    <n v="119146"/>
    <s v="Below Average"/>
    <n v="0"/>
    <m/>
    <m/>
    <m/>
    <m/>
  </r>
  <r>
    <n v="5242"/>
    <s v="Anjali Joshi"/>
    <x v="1"/>
    <x v="5"/>
    <s v="D06"/>
    <s v="Faisal Ahmed"/>
    <s v="Delhi"/>
    <s v="simranagarwal@company.com"/>
    <s v="+91-3814064269"/>
    <x v="259"/>
    <s v="Missing"/>
    <x v="0"/>
    <s v="2 Years, 0 Months, 22 Days"/>
    <n v="2746.39"/>
    <x v="0"/>
    <n v="106778"/>
    <s v="Excellent"/>
    <n v="13"/>
    <m/>
    <m/>
    <m/>
    <m/>
  </r>
  <r>
    <n v="5034"/>
    <s v="Divya Saxena"/>
    <x v="1"/>
    <x v="3"/>
    <s v="D02"/>
    <s v="Rajiv Kapoor"/>
    <s v="Mumbai"/>
    <s v="aarav.rao@company.com"/>
    <s v="+91-1953816133"/>
    <x v="260"/>
    <s v="Missing"/>
    <x v="0"/>
    <s v="6 Years, 11 Months, 12 Days"/>
    <n v="1890.13"/>
    <x v="0"/>
    <n v="71281"/>
    <s v="Not Rated"/>
    <n v="22"/>
    <m/>
    <m/>
    <m/>
    <m/>
  </r>
  <r>
    <n v="5069"/>
    <s v="Shreya Pillai"/>
    <x v="0"/>
    <x v="4"/>
    <s v="D06"/>
    <s v="Faisal Ahmed"/>
    <s v="Mumbai"/>
    <s v="divya.menon@company.com"/>
    <s v="+91-4963666937"/>
    <x v="261"/>
    <s v="N/A"/>
    <x v="0"/>
    <s v="2 Years, 2 Months, 6 Days"/>
    <n v="3021.32"/>
    <x v="0"/>
    <n v="122042"/>
    <s v="Not Rated"/>
    <n v="10"/>
    <m/>
    <m/>
    <m/>
    <m/>
  </r>
  <r>
    <n v="5147"/>
    <s v="Simran Agarwal"/>
    <x v="0"/>
    <x v="4"/>
    <s v="D01"/>
    <s v="Ananya Sen"/>
    <s v="Bengaluru"/>
    <s v="kavya.menon@company.com"/>
    <s v="+91-4706589893"/>
    <x v="262"/>
    <s v="Still Employed"/>
    <x v="0"/>
    <s v="8 Years, 0 Months, 22 Days"/>
    <n v="1854.25"/>
    <x v="0"/>
    <n v="161247"/>
    <s v="Poor"/>
    <n v="7"/>
    <m/>
    <m/>
    <m/>
    <m/>
  </r>
  <r>
    <n v="5049"/>
    <s v="Aarav Rao"/>
    <x v="0"/>
    <x v="0"/>
    <s v="D03"/>
    <s v="Sunita Rao"/>
    <s v="Pune"/>
    <s v="yash.kapoor@company.com"/>
    <s v="+91-9513511766"/>
    <x v="263"/>
    <d v="2023-11-16T00:00:00"/>
    <x v="5"/>
    <s v="4 Years, 7 Months, 2 Days"/>
    <n v="947.58"/>
    <x v="1"/>
    <n v="68940"/>
    <s v="Excellent"/>
    <n v="15"/>
    <m/>
    <m/>
    <m/>
    <m/>
  </r>
  <r>
    <n v="5067"/>
    <s v="Divya Menon"/>
    <x v="1"/>
    <x v="4"/>
    <s v="D03"/>
    <s v="Sunita Rao"/>
    <s v="Mumbai"/>
    <s v="anjali.saxena@company.com"/>
    <s v="+91-2968611874"/>
    <x v="264"/>
    <s v="Still Employed"/>
    <x v="0"/>
    <s v="7 Years, 6 Months, 5 Days"/>
    <n v="3018.32"/>
    <x v="0"/>
    <n v="113382"/>
    <s v="Excellent"/>
    <n v="4"/>
    <m/>
    <m/>
    <m/>
    <m/>
  </r>
  <r>
    <n v="5322"/>
    <s v="Kavya Menon"/>
    <x v="1"/>
    <x v="3"/>
    <s v="D01"/>
    <s v="Ananya Sen"/>
    <s v="Mumbai"/>
    <s v="manish.saxena@company.com"/>
    <s v="+91-9692913072"/>
    <x v="265"/>
    <s v="Still Employed"/>
    <x v="0"/>
    <s v="5 Years, 2 Months, 1 Days"/>
    <n v="1430.5900000000001"/>
    <x v="0"/>
    <n v="0"/>
    <s v="Excellent"/>
    <n v="0"/>
    <m/>
    <m/>
    <m/>
    <m/>
  </r>
  <r>
    <n v="5125"/>
    <s v="Yash Kapoor"/>
    <x v="1"/>
    <x v="4"/>
    <s v="D02"/>
    <s v="Rajiv Kapoor"/>
    <s v="Bengaluru"/>
    <s v="sanjay.rao@company.com"/>
    <s v="+91-5369942340"/>
    <x v="266"/>
    <d v="2025-06-30T00:00:00"/>
    <x v="2"/>
    <s v="8 Years, 3 Months, 6 Days"/>
    <n v="759.5"/>
    <x v="1"/>
    <n v="0"/>
    <s v="Average"/>
    <n v="7"/>
    <m/>
    <m/>
    <m/>
    <m/>
  </r>
  <r>
    <n v="5228"/>
    <s v="Anjali Saxena"/>
    <x v="1"/>
    <x v="4"/>
    <s v="D02"/>
    <s v="Rajiv Kapoor"/>
    <s v="Bengaluru"/>
    <s v="tanvi.reddy@company.com "/>
    <s v="+91-9197003552"/>
    <x v="267"/>
    <s v="Missing"/>
    <x v="0"/>
    <s v="5 Years, 0 Months, 26 Days"/>
    <n v="2234.94"/>
    <x v="0"/>
    <n v="0"/>
    <s v="Not Rated"/>
    <n v="13"/>
    <m/>
    <m/>
    <m/>
    <m/>
  </r>
  <r>
    <n v="5063"/>
    <s v="Manish Saxena"/>
    <x v="0"/>
    <x v="1"/>
    <s v="D06"/>
    <s v="Faisal Ahmed"/>
    <s v="Chennai"/>
    <s v="anita.saxena@company.com"/>
    <s v="Invalid"/>
    <x v="268"/>
    <s v="Still Employed"/>
    <x v="0"/>
    <s v="2 Years, 7 Months, 4 Days"/>
    <n v="2426.58"/>
    <x v="0"/>
    <n v="63797"/>
    <s v="Excellent"/>
    <n v="7"/>
    <m/>
    <m/>
    <m/>
    <m/>
  </r>
  <r>
    <n v="5329"/>
    <s v="Sanjay Rao"/>
    <x v="1"/>
    <x v="4"/>
    <s v="D02"/>
    <s v="Rajiv Kapoor"/>
    <s v="Chennai"/>
    <s v="simran.joshi@company.com"/>
    <s v="+91-6076311346"/>
    <x v="269"/>
    <s v="N/A"/>
    <x v="0"/>
    <s v="8 Years, 3 Months, 3 Days"/>
    <n v="3121.64"/>
    <x v="0"/>
    <n v="165280"/>
    <s v="Below Average"/>
    <n v="8"/>
    <m/>
    <m/>
    <m/>
    <m/>
  </r>
  <r>
    <n v="5348"/>
    <s v="Tanvi Reddy"/>
    <x v="1"/>
    <x v="3"/>
    <s v="D01"/>
    <s v="Ananya Sen"/>
    <s v="Ahmedabad"/>
    <s v="priya.pillai@company.com"/>
    <s v="+91-7495288314"/>
    <x v="270"/>
    <d v="2020-08-24T00:00:00"/>
    <x v="6"/>
    <s v="3 Years, 10 Months, 28 Days"/>
    <n v="821.38"/>
    <x v="1"/>
    <n v="90051"/>
    <s v="Below Average"/>
    <n v="6"/>
    <m/>
    <m/>
    <m/>
    <m/>
  </r>
  <r>
    <n v="5339"/>
    <s v="Anita Saxena"/>
    <x v="1"/>
    <x v="2"/>
    <s v="D02"/>
    <s v="Rajiv Kapoor"/>
    <s v="Delhi"/>
    <s v="rajesh.mehta@company.com"/>
    <s v="+91-2553802848"/>
    <x v="271"/>
    <s v="Still Employed"/>
    <x v="0"/>
    <s v="2 Years, 0 Months, 29 Days"/>
    <n v="3120.64"/>
    <x v="0"/>
    <n v="144556"/>
    <s v="Average"/>
    <n v="6"/>
    <m/>
    <m/>
    <m/>
    <m/>
  </r>
  <r>
    <n v="5248"/>
    <s v="Simran Joshi"/>
    <x v="0"/>
    <x v="0"/>
    <s v="D02"/>
    <s v="Rajiv Kapoor"/>
    <s v="Hyderabad"/>
    <s v="isha.rao@company.com"/>
    <s v="+91-2322761077"/>
    <x v="272"/>
    <d v="2025-06-30T00:00:00"/>
    <x v="2"/>
    <s v="6 Years, 1 Months, 11 Days"/>
    <n v="798.38"/>
    <x v="1"/>
    <n v="76283"/>
    <s v="Poor"/>
    <n v="0"/>
    <m/>
    <m/>
    <m/>
    <m/>
  </r>
  <r>
    <n v="5026"/>
    <s v="Priya Pillai"/>
    <x v="0"/>
    <x v="4"/>
    <s v="D05"/>
    <s v="Leela Iyer"/>
    <s v="Pune"/>
    <s v="amit.verma@company.com "/>
    <s v="Invalid"/>
    <x v="273"/>
    <s v="Still Employed"/>
    <x v="0"/>
    <s v="6 Years, 7 Months, 20 Days"/>
    <n v="1686.08"/>
    <x v="0"/>
    <n v="102426"/>
    <s v="Good"/>
    <n v="3"/>
    <m/>
    <m/>
    <m/>
    <m/>
  </r>
  <r>
    <n v="5127"/>
    <s v="Rajesh Mehta"/>
    <x v="1"/>
    <x v="4"/>
    <s v="D02"/>
    <s v="Rajiv Kapoor"/>
    <s v="Kolkata"/>
    <s v="pooja.shah@company.com"/>
    <s v="+91-2438146228"/>
    <x v="184"/>
    <d v="2021-09-09T00:00:00"/>
    <x v="3"/>
    <s v="8 Years, 6 Months, 15 Days"/>
    <n v="730.09"/>
    <x v="1"/>
    <n v="0"/>
    <s v="Excellent"/>
    <n v="10"/>
    <m/>
    <m/>
    <m/>
    <m/>
  </r>
  <r>
    <n v="5101"/>
    <s v="Isha Rao"/>
    <x v="1"/>
    <x v="3"/>
    <s v="D01"/>
    <s v="Ananya Sen"/>
    <s v="Chennai"/>
    <s v="No Email ID"/>
    <s v="+91-7238083681"/>
    <x v="274"/>
    <s v="Missing"/>
    <x v="0"/>
    <s v="2 Years, 2 Months, 30 Days"/>
    <n v="2411.58"/>
    <x v="0"/>
    <n v="123330"/>
    <s v="Excellent"/>
    <n v="10"/>
    <m/>
    <m/>
    <m/>
    <m/>
  </r>
  <r>
    <n v="5053"/>
    <s v="Amit Verma"/>
    <x v="1"/>
    <x v="4"/>
    <s v="D04"/>
    <s v="Vivek Malhotra"/>
    <s v="Delhi"/>
    <s v="simran.kulkarni@company.com"/>
    <s v="Incomplete"/>
    <x v="275"/>
    <s v="Missing"/>
    <x v="0"/>
    <s v="8 Years, 6 Months, 14 Days"/>
    <n v="2382.14"/>
    <x v="0"/>
    <n v="141427"/>
    <s v="Good"/>
    <n v="2"/>
    <m/>
    <m/>
    <m/>
    <m/>
  </r>
  <r>
    <n v="5168"/>
    <s v="Pooja Shah"/>
    <x v="0"/>
    <x v="4"/>
    <s v="D06"/>
    <s v="Faisal Ahmed"/>
    <s v="Pune"/>
    <s v="rohan.saxena@company.com"/>
    <s v="Incomplete"/>
    <x v="105"/>
    <s v="Still Employed"/>
    <x v="0"/>
    <s v="2 Years, 2 Months, 7 Days"/>
    <n v="2221.94"/>
    <x v="0"/>
    <n v="159942"/>
    <s v="Excellent"/>
    <n v="8"/>
    <m/>
    <m/>
    <m/>
    <m/>
  </r>
  <r>
    <n v="5159"/>
    <s v="Varun Desai"/>
    <x v="1"/>
    <x v="5"/>
    <s v="D02"/>
    <s v="Rajiv Kapoor"/>
    <s v="Mumbai"/>
    <s v="vikram.trivedi@company.com"/>
    <s v="+91-1826330434"/>
    <x v="276"/>
    <s v="Still Employed"/>
    <x v="0"/>
    <s v="4 Years, 7 Months, 10 Days"/>
    <n v="837.82"/>
    <x v="0"/>
    <n v="40609"/>
    <s v="Average"/>
    <n v="10"/>
    <m/>
    <m/>
    <m/>
    <m/>
  </r>
  <r>
    <n v="5046"/>
    <s v="Simran Kulkarni"/>
    <x v="0"/>
    <x v="2"/>
    <s v="D02"/>
    <s v="Rajiv Kapoor"/>
    <s v="Bengaluru"/>
    <s v="No Email ID"/>
    <s v="+91-1041422618"/>
    <x v="277"/>
    <s v="Missing"/>
    <x v="0"/>
    <s v="1 Years, 11 Months, 30 Days"/>
    <n v="2410.58"/>
    <x v="0"/>
    <n v="141889"/>
    <s v="Poor"/>
    <n v="11"/>
    <m/>
    <m/>
    <m/>
    <m/>
  </r>
  <r>
    <n v="5122"/>
    <s v="Rohan Saxena"/>
    <x v="1"/>
    <x v="3"/>
    <s v="D01"/>
    <s v="Ananya Sen"/>
    <s v="Pune"/>
    <s v="ritusaxena@company.com"/>
    <s v="+91-3001113275"/>
    <x v="278"/>
    <d v="2025-06-30T00:00:00"/>
    <x v="2"/>
    <s v="6 Years, 7 Months, 5 Days"/>
    <n v="799.38"/>
    <x v="1"/>
    <n v="0"/>
    <s v="Average"/>
    <n v="12"/>
    <m/>
    <m/>
    <m/>
    <m/>
  </r>
  <r>
    <n v="5010"/>
    <s v="Vikram Trivedi"/>
    <x v="0"/>
    <x v="5"/>
    <s v="D02"/>
    <s v="Rajiv Kapoor"/>
    <s v="Ahmedabad"/>
    <s v="varun.iyer@company.com"/>
    <s v="Incomplete"/>
    <x v="279"/>
    <s v="Missing"/>
    <x v="0"/>
    <s v="6 Years, 6 Months, 6 Days"/>
    <n v="1692.08"/>
    <x v="0"/>
    <n v="50004"/>
    <s v="Average"/>
    <n v="5"/>
    <m/>
    <m/>
    <m/>
    <m/>
  </r>
  <r>
    <n v="5169"/>
    <s v="Nikhil Bhatt"/>
    <x v="1"/>
    <x v="2"/>
    <s v="D02"/>
    <s v="Rajiv Kapoor"/>
    <s v="Mumbai"/>
    <s v="anjali.pillai@company.com"/>
    <s v="Invalid"/>
    <x v="1"/>
    <s v="Still Employed"/>
    <x v="0"/>
    <s v="6 Years, 0 Months, 28 Days"/>
    <n v="1310.83"/>
    <x v="0"/>
    <n v="0"/>
    <s v="Average"/>
    <n v="22"/>
    <m/>
    <m/>
    <m/>
    <m/>
  </r>
  <r>
    <n v="5173"/>
    <s v="Ritu Saxena"/>
    <x v="1"/>
    <x v="2"/>
    <s v="D03"/>
    <s v="Sunita Rao"/>
    <s v="Bengaluru"/>
    <s v="sneha.menon@company.com"/>
    <s v="+91-1145931862"/>
    <x v="280"/>
    <d v="2024-09-07T00:00:00"/>
    <x v="1"/>
    <s v="2 Years, 3 Months, 14 Days"/>
    <n v="1984.45"/>
    <x v="1"/>
    <n v="162620"/>
    <s v="Good"/>
    <n v="4"/>
    <m/>
    <m/>
    <m/>
    <m/>
  </r>
  <r>
    <n v="5162"/>
    <s v="Varun Iyer"/>
    <x v="1"/>
    <x v="3"/>
    <s v="D04"/>
    <s v="Vivek Malhotra"/>
    <s v="Hyderabad"/>
    <s v="divya.shah@company.com"/>
    <s v="+91-5865611658"/>
    <x v="281"/>
    <d v="2022-08-26T00:00:00"/>
    <x v="4"/>
    <s v="6 Years, 7 Months, 4 Days"/>
    <n v="807.38"/>
    <x v="1"/>
    <n v="37000"/>
    <s v="Average"/>
    <n v="10"/>
    <m/>
    <m/>
    <m/>
    <m/>
  </r>
  <r>
    <n v="5137"/>
    <s v="Anjali Pillai"/>
    <x v="0"/>
    <x v="2"/>
    <s v="D01"/>
    <s v="Ananya Sen"/>
    <s v="Kolkata"/>
    <s v="sneha.agarwal@company.com"/>
    <s v="+91-2315616156"/>
    <x v="282"/>
    <s v="N/A"/>
    <x v="0"/>
    <s v="2 Years, 2 Months, 8 Days"/>
    <n v="1535.88"/>
    <x v="0"/>
    <n v="86892"/>
    <s v="Good"/>
    <n v="11"/>
    <m/>
    <m/>
    <m/>
    <m/>
  </r>
  <r>
    <n v="5071"/>
    <s v="Sneha Menon"/>
    <x v="1"/>
    <x v="1"/>
    <s v="D03"/>
    <s v="Sunita Rao"/>
    <s v="Bengaluru"/>
    <s v="anjali.saxena@company.com"/>
    <s v="Incomplete"/>
    <x v="283"/>
    <s v="N/A"/>
    <x v="0"/>
    <s v="4 Years, 7 Months, 16 Days"/>
    <n v="2926"/>
    <x v="0"/>
    <n v="89361"/>
    <s v="Poor"/>
    <n v="19"/>
    <m/>
    <m/>
    <m/>
    <m/>
  </r>
  <r>
    <n v="5091"/>
    <s v="Divya Shah"/>
    <x v="0"/>
    <x v="1"/>
    <s v="D04"/>
    <s v="Vivek Malhotra"/>
    <s v="Bengaluru"/>
    <s v="isha.kapoor@company.com"/>
    <s v="+91-6264525235"/>
    <x v="284"/>
    <d v="2025-06-30T00:00:00"/>
    <x v="2"/>
    <s v="3 Years, 7 Months, 0 Days"/>
    <n v="389.25"/>
    <x v="1"/>
    <n v="98368"/>
    <s v="Good"/>
    <n v="7"/>
    <m/>
    <m/>
    <m/>
    <m/>
  </r>
  <r>
    <n v="5188"/>
    <s v="Sneha Agarwal"/>
    <x v="0"/>
    <x v="3"/>
    <s v="D04"/>
    <s v="Vivek Malhotra"/>
    <s v="Hyderabad"/>
    <s v="sneha.naidu@company.com"/>
    <s v="+91-3765928697"/>
    <x v="61"/>
    <d v="2022-12-28T00:00:00"/>
    <x v="4"/>
    <s v="5 Years, 5 Months, 6 Days"/>
    <n v="1661.64"/>
    <x v="1"/>
    <n v="53442"/>
    <s v="Average"/>
    <n v="2"/>
    <m/>
    <m/>
    <m/>
    <m/>
  </r>
  <r>
    <n v="5245"/>
    <s v="Anjali Saxena"/>
    <x v="1"/>
    <x v="5"/>
    <s v="D01"/>
    <s v="Ananya Sen"/>
    <s v="Delhi"/>
    <s v="rajesh.mehta@company.com"/>
    <s v="+91-7124248109"/>
    <x v="285"/>
    <s v="Missing"/>
    <x v="0"/>
    <s v="2 Years, 2 Months, 16 Days"/>
    <n v="2287.8200000000002"/>
    <x v="0"/>
    <n v="94837"/>
    <s v="Not Rated"/>
    <s v="Negate Leave"/>
    <m/>
    <m/>
    <m/>
    <m/>
  </r>
  <r>
    <n v="5140"/>
    <s v="Isha Kapoor"/>
    <x v="0"/>
    <x v="5"/>
    <s v="D04"/>
    <s v="Vivek Malhotra"/>
    <s v="Bengaluru"/>
    <s v="deepak.kulkarni@company.com"/>
    <s v="+91-8452984153"/>
    <x v="286"/>
    <s v="Missing"/>
    <x v="0"/>
    <s v="4 Years, 2 Months, 12 Days"/>
    <n v="2294.8200000000002"/>
    <x v="0"/>
    <n v="90236"/>
    <s v="Good"/>
    <n v="0"/>
    <m/>
    <m/>
    <m/>
    <m/>
  </r>
  <r>
    <n v="5331"/>
    <s v="Sneha Naidu"/>
    <x v="1"/>
    <x v="5"/>
    <s v="D05"/>
    <s v="Leela Iyer"/>
    <s v="Hyderabad"/>
    <s v="sanjay.chopra@company.com"/>
    <s v="+91-8866750957"/>
    <x v="287"/>
    <s v="Missing"/>
    <x v="0"/>
    <s v="8 Years, 0 Months, 2 Days"/>
    <n v="2386.14"/>
    <x v="0"/>
    <n v="113595"/>
    <s v="Excellent"/>
    <n v="10"/>
    <m/>
    <m/>
    <m/>
    <m/>
  </r>
  <r>
    <n v="5224"/>
    <s v="Rajesh Mehta"/>
    <x v="1"/>
    <x v="5"/>
    <s v="D02"/>
    <s v="Rajiv Kapoor"/>
    <s v="Delhi"/>
    <s v="kirti.kapoor@company.com"/>
    <s v="+91-3929372352"/>
    <x v="288"/>
    <s v="N/A"/>
    <x v="0"/>
    <s v="7978 Years, 11 Months, 16 Days"/>
    <n v="1552.32"/>
    <x v="0"/>
    <n v="152089"/>
    <s v="Good"/>
    <n v="9"/>
    <m/>
    <m/>
    <m/>
    <m/>
  </r>
  <r>
    <n v="5022"/>
    <s v="Deepak Kulkarni"/>
    <x v="0"/>
    <x v="1"/>
    <s v="D05"/>
    <s v="Leela Iyer"/>
    <s v="Bengaluru"/>
    <s v="sanjay.pillai@company.com"/>
    <s v="+91-3335851907"/>
    <x v="289"/>
    <d v="2022-05-13T00:00:00"/>
    <x v="4"/>
    <s v="1 Years, 0 Months, 24 Days"/>
    <n v="540.45000000000005"/>
    <x v="1"/>
    <n v="170930"/>
    <s v="Good"/>
    <s v="Negate Leave"/>
    <m/>
    <m/>
    <m/>
    <m/>
  </r>
  <r>
    <n v="5086"/>
    <s v="Sanjay Chopra"/>
    <x v="1"/>
    <x v="1"/>
    <s v="D01"/>
    <s v="Ananya Sen"/>
    <s v="Pune"/>
    <s v="ritu.gupta@company.com"/>
    <s v="Incomplete"/>
    <x v="290"/>
    <s v="Missing"/>
    <x v="0"/>
    <s v="4 Years, 6 Months, 18 Days"/>
    <n v="1324.83"/>
    <x v="0"/>
    <n v="0"/>
    <s v="Excellent"/>
    <n v="25"/>
    <m/>
    <m/>
    <m/>
    <m/>
  </r>
  <r>
    <n v="5266"/>
    <s v="Kirti Kapoor"/>
    <x v="0"/>
    <x v="4"/>
    <s v="D03"/>
    <s v="Sunita Rao"/>
    <s v="Bengaluru"/>
    <s v="meenal.pillai@company.com"/>
    <s v="+91-8281264644"/>
    <x v="291"/>
    <s v="Missing"/>
    <x v="0"/>
    <s v="6 Years, 3 Months, 3 Days"/>
    <n v="2406.58"/>
    <x v="0"/>
    <n v="161748"/>
    <s v="Not Rated"/>
    <n v="25"/>
    <m/>
    <m/>
    <m/>
    <m/>
  </r>
  <r>
    <n v="5183"/>
    <s v="Sanjay Pillai"/>
    <x v="1"/>
    <x v="1"/>
    <s v="D05"/>
    <s v="Leela Iyer"/>
    <s v="Ahmedabad"/>
    <s v="sneha.agarwal@company.com"/>
    <s v="+91-4854035353"/>
    <x v="292"/>
    <s v="N/A"/>
    <x v="0"/>
    <s v="7980 Years, 1 Months, 22 Days"/>
    <n v="783.94"/>
    <x v="0"/>
    <n v="170002"/>
    <s v="Average"/>
    <n v="0"/>
    <m/>
    <m/>
    <m/>
    <m/>
  </r>
  <r>
    <n v="5341"/>
    <s v="Ritu Gupta"/>
    <x v="1"/>
    <x v="3"/>
    <s v="D03"/>
    <s v="Sunita Rao"/>
    <s v="Chennai"/>
    <s v="sanjay.chopra@company.com"/>
    <s v="+91-0040910686"/>
    <x v="293"/>
    <s v="Missing"/>
    <x v="0"/>
    <s v="6 Years, 3 Months, 10 Days"/>
    <n v="2876.15"/>
    <x v="0"/>
    <n v="100424"/>
    <s v="Excellent"/>
    <n v="20"/>
    <m/>
    <m/>
    <m/>
    <m/>
  </r>
  <r>
    <n v="5037"/>
    <s v="Meenal Pillai"/>
    <x v="0"/>
    <x v="3"/>
    <s v="D03"/>
    <s v="Sunita Rao"/>
    <s v="Pune"/>
    <s v="yash.joshi@company.com"/>
    <s v="+91-4116130205"/>
    <x v="294"/>
    <d v="2025-06-30T00:00:00"/>
    <x v="2"/>
    <s v="6 Years, 6 Months, 10 Days"/>
    <n v="844.82"/>
    <x v="1"/>
    <n v="0"/>
    <s v="Poor"/>
    <n v="20"/>
    <m/>
    <m/>
    <m/>
    <m/>
  </r>
  <r>
    <n v="5254"/>
    <s v="Sneha Agarwal"/>
    <x v="1"/>
    <x v="2"/>
    <s v="D03"/>
    <s v="Sunita Rao"/>
    <s v="Mumbai"/>
    <s v="tanvi.rao@company.com"/>
    <s v="+91-1823147652"/>
    <x v="295"/>
    <s v="N/A"/>
    <x v="0"/>
    <s v="4 Years, 2 Months, 28 Days"/>
    <n v="1376.71"/>
    <x v="0"/>
    <n v="73471"/>
    <s v="Average"/>
    <n v="0"/>
    <m/>
    <m/>
    <m/>
    <m/>
  </r>
  <r>
    <n v="5285"/>
    <s v="Sanjay Chopra"/>
    <x v="1"/>
    <x v="2"/>
    <s v="D05"/>
    <s v="Leela Iyer"/>
    <s v="Pune"/>
    <s v="vikram.saxena@company.com"/>
    <s v="+91-1412786036"/>
    <x v="296"/>
    <d v="2025-06-30T00:00:00"/>
    <x v="2"/>
    <s v="1 Years, 5 Months, 23 Days"/>
    <n v="1773.4"/>
    <x v="1"/>
    <n v="102924"/>
    <s v="Average"/>
    <n v="14"/>
    <m/>
    <m/>
    <m/>
    <m/>
  </r>
  <r>
    <n v="5208"/>
    <s v="Yash Joshi"/>
    <x v="1"/>
    <x v="4"/>
    <s v="D05"/>
    <s v="Leela Iyer"/>
    <s v="Hyderabad"/>
    <s v="deepak.kapoor@company.com"/>
    <s v="+91-7780772737"/>
    <x v="297"/>
    <s v="Missing"/>
    <x v="0"/>
    <s v="3 Years, 7 Months, 14 Days"/>
    <n v="1597.76"/>
    <x v="0"/>
    <n v="66043"/>
    <s v="Poor"/>
    <n v="7"/>
    <m/>
    <m/>
    <m/>
    <m/>
  </r>
  <r>
    <n v="5307"/>
    <s v="Tanvi Rao"/>
    <x v="0"/>
    <x v="2"/>
    <s v="D02"/>
    <s v="Rajiv Kapoor"/>
    <s v="Pune"/>
    <s v="amit.verma@company.com"/>
    <s v="+91-8091874892"/>
    <x v="77"/>
    <d v="2025-05-28T00:00:00"/>
    <x v="2"/>
    <s v="6 Years, 7 Months, 0 Days"/>
    <n v="614.77"/>
    <x v="1"/>
    <n v="151539"/>
    <s v="Below Average"/>
    <s v="Negate Leave"/>
    <m/>
    <m/>
    <m/>
    <m/>
  </r>
  <r>
    <n v="5233"/>
    <s v="Vikram Saxena"/>
    <x v="1"/>
    <x v="1"/>
    <s v="D05"/>
    <s v="Leela Iyer"/>
    <s v="Delhi"/>
    <s v="karthik.iyer@company.com"/>
    <s v="+91-9229992314"/>
    <x v="42"/>
    <s v="Still Employed"/>
    <x v="0"/>
    <s v="2 Years, 1 Months, 21 Days"/>
    <n v="2752.39"/>
    <x v="0"/>
    <n v="114726"/>
    <s v="Excellent"/>
    <n v="12"/>
    <m/>
    <m/>
    <m/>
    <m/>
  </r>
  <r>
    <n v="5060"/>
    <s v="Deepak Kapoor"/>
    <x v="0"/>
    <x v="2"/>
    <s v="D01"/>
    <s v="Ananya Sen"/>
    <s v="Pune"/>
    <s v="No Email ID"/>
    <s v="Incomplete"/>
    <x v="298"/>
    <s v="N/A"/>
    <x v="0"/>
    <s v="7 Years, 10 Months, 13 Days"/>
    <n v="2174.09"/>
    <x v="0"/>
    <n v="133452"/>
    <s v="Below Average"/>
    <n v="24"/>
    <m/>
    <m/>
    <m/>
    <m/>
  </r>
  <r>
    <n v="5326"/>
    <s v="Amit Verma"/>
    <x v="1"/>
    <x v="5"/>
    <s v="D01"/>
    <s v="Ananya Sen"/>
    <s v="Bengaluru"/>
    <s v="suresh.bhatt@company.com"/>
    <s v="+91-0668745852"/>
    <x v="299"/>
    <s v="Still Employed"/>
    <x v="0"/>
    <s v="2 Years, 3 Months, 23 Days"/>
    <n v="1791.4"/>
    <x v="0"/>
    <n v="0"/>
    <s v="Poor"/>
    <n v="24"/>
    <m/>
    <m/>
    <m/>
    <m/>
  </r>
  <r>
    <n v="5344"/>
    <s v="Karthik Iyer"/>
    <x v="0"/>
    <x v="3"/>
    <s v="D04"/>
    <s v="Vivek Malhotra"/>
    <s v="Delhi"/>
    <s v="nikhil.naidu@company.com"/>
    <s v="+91-0090518772"/>
    <x v="300"/>
    <s v="N/A"/>
    <x v="0"/>
    <s v="3 Years, 9 Months, 5 Days"/>
    <n v="1330.83"/>
    <x v="0"/>
    <n v="0"/>
    <s v="Below Average"/>
    <n v="24"/>
    <m/>
    <m/>
    <m/>
    <m/>
  </r>
  <r>
    <n v="5116"/>
    <s v="Meenal Shah"/>
    <x v="0"/>
    <x v="2"/>
    <s v="D04"/>
    <s v="Vivek Malhotra"/>
    <s v="Pune"/>
    <s v="simran.verma@company.com"/>
    <s v="+91-8757503368"/>
    <x v="301"/>
    <d v="2024-12-26T00:00:00"/>
    <x v="1"/>
    <s v="4 Years, 10 Months, 8 Days"/>
    <n v="725.09"/>
    <x v="1"/>
    <n v="43808"/>
    <s v="Average"/>
    <n v="0"/>
    <m/>
    <m/>
    <m/>
    <m/>
  </r>
  <r>
    <n v="5215"/>
    <s v="Suresh Bhatt"/>
    <x v="0"/>
    <x v="3"/>
    <s v="D02"/>
    <s v="Rajiv Kapoor"/>
    <s v="Hyderabad"/>
    <s v="deepak.desai@company.com"/>
    <s v="+91-8795610909"/>
    <x v="302"/>
    <d v="2025-06-30T00:00:00"/>
    <x v="2"/>
    <s v="4 Years, 4 Months, 13 Days"/>
    <n v="1544.88"/>
    <x v="1"/>
    <n v="92783"/>
    <s v="Average"/>
    <n v="10"/>
    <m/>
    <m/>
    <m/>
    <m/>
  </r>
  <r>
    <n v="5061"/>
    <s v="Nikhil Naidu"/>
    <x v="1"/>
    <x v="1"/>
    <s v="D04"/>
    <s v="Vivek Malhotra"/>
    <s v="Kolkata"/>
    <s v="isha.agarwal@company.com"/>
    <s v="+91-7217513451"/>
    <x v="303"/>
    <s v="Missing"/>
    <x v="0"/>
    <s v="1 Years, 8 Months, 6 Days"/>
    <n v="1142.19"/>
    <x v="0"/>
    <n v="0"/>
    <s v="Good"/>
    <n v="13"/>
    <m/>
    <m/>
    <m/>
    <m/>
  </r>
  <r>
    <n v="5256"/>
    <s v="Simran Verma"/>
    <x v="0"/>
    <x v="3"/>
    <s v="D05"/>
    <s v="Leela Iyer"/>
    <s v="Chennai"/>
    <s v="anita.rao@company.com"/>
    <s v="Incomplete"/>
    <x v="304"/>
    <s v="N/A"/>
    <x v="0"/>
    <s v="7 Years, 6 Months, 11 Days"/>
    <n v="2418.58"/>
    <x v="0"/>
    <n v="138986"/>
    <s v="Poor"/>
    <n v="7"/>
    <m/>
    <m/>
    <m/>
    <m/>
  </r>
  <r>
    <n v="5195"/>
    <s v="Nikhil Desai"/>
    <x v="0"/>
    <x v="0"/>
    <s v="D04"/>
    <s v="Vivek Malhotra"/>
    <s v="Ahmedabad"/>
    <s v="rohan.trivedi@company.com "/>
    <s v="+91-9317348688"/>
    <x v="305"/>
    <s v="Missing"/>
    <x v="0"/>
    <s v="5 Years, 11 Months, 11 Days"/>
    <n v="2695.51"/>
    <x v="0"/>
    <n v="158703"/>
    <s v="Not Rated"/>
    <s v="Negate Leave"/>
    <m/>
    <m/>
    <m/>
    <m/>
  </r>
  <r>
    <n v="5252"/>
    <s v="Deepak Desai"/>
    <x v="1"/>
    <x v="0"/>
    <s v="D03"/>
    <s v="Sunita Rao"/>
    <s v="Delhi"/>
    <s v="kavya.kapoor@company.com"/>
    <s v="Incomplete"/>
    <x v="306"/>
    <d v="2020-08-26T00:00:00"/>
    <x v="6"/>
    <s v="4 Years, 10 Months, 24 Days"/>
    <n v="604.33000000000004"/>
    <x v="1"/>
    <n v="110892"/>
    <s v="Poor"/>
    <s v="Negate Leave"/>
    <m/>
    <m/>
    <m/>
    <m/>
  </r>
  <r>
    <n v="5165"/>
    <s v="Isha Agarwal"/>
    <x v="0"/>
    <x v="1"/>
    <s v="D01"/>
    <s v="Ananya Sen"/>
    <s v="Delhi"/>
    <s v="nikhil.bhatt@company.com"/>
    <s v="+91-4833935442"/>
    <x v="307"/>
    <s v="Still Employed"/>
    <x v="0"/>
    <s v="3 Years, 7 Months, 20 Days"/>
    <n v="1957.01"/>
    <x v="0"/>
    <n v="39617"/>
    <s v="Excellent"/>
    <n v="0"/>
    <m/>
    <m/>
    <m/>
    <m/>
  </r>
  <r>
    <n v="5118"/>
    <s v="Anita Rao"/>
    <x v="0"/>
    <x v="5"/>
    <s v="D04"/>
    <s v="Vivek Malhotra"/>
    <s v="Delhi"/>
    <s v="ishamenon@company.com"/>
    <s v="+91-5296813454"/>
    <x v="308"/>
    <s v="Still Employed"/>
    <x v="0"/>
    <s v="1 Years, 11 Months, 25 Days"/>
    <n v="1897.13"/>
    <x v="0"/>
    <n v="157613"/>
    <s v="Poor"/>
    <n v="9"/>
    <m/>
    <m/>
    <m/>
    <m/>
  </r>
  <r>
    <n v="5093"/>
    <s v="Rahul Bose"/>
    <x v="0"/>
    <x v="5"/>
    <s v="D01"/>
    <s v="Ananya Sen"/>
    <s v="Bengaluru"/>
    <s v="kavya.kapoor@company.com"/>
    <s v="Incomplete"/>
    <x v="155"/>
    <s v="Missing"/>
    <x v="0"/>
    <s v="4 Years, 2 Months, 23 Days"/>
    <n v="1882.69"/>
    <x v="0"/>
    <n v="49265"/>
    <s v="Excellent"/>
    <n v="6"/>
    <m/>
    <m/>
    <m/>
    <m/>
  </r>
  <r>
    <n v="5175"/>
    <s v="Rohan Trivedi"/>
    <x v="0"/>
    <x v="0"/>
    <s v="D05"/>
    <s v="Leela Iyer"/>
    <s v="Pune"/>
    <s v="rajesh.trivedi@company.com"/>
    <s v="+91-2806692084"/>
    <x v="309"/>
    <s v="Still Employed"/>
    <x v="0"/>
    <s v="3 Years, 1 Months, 14 Days"/>
    <n v="2913.59"/>
    <x v="0"/>
    <n v="127991"/>
    <s v="Good"/>
    <n v="13"/>
    <m/>
    <m/>
    <m/>
    <m/>
  </r>
  <r>
    <n v="5099"/>
    <s v="Kavya Kapoor"/>
    <x v="1"/>
    <x v="5"/>
    <s v="D01"/>
    <s v="Ananya Sen"/>
    <s v="Chennai"/>
    <s v="suresh.trivedi@company.com"/>
    <s v="+91-2385052528"/>
    <x v="310"/>
    <s v="Missing"/>
    <x v="0"/>
    <s v="6 Years, 7 Months, 12 Days"/>
    <n v="2731.95"/>
    <x v="0"/>
    <n v="101379"/>
    <s v="Not Rated"/>
    <n v="14"/>
    <m/>
    <m/>
    <m/>
    <m/>
  </r>
  <r>
    <n v="5172"/>
    <s v="Nikhil Bhatt"/>
    <x v="0"/>
    <x v="2"/>
    <s v="D06"/>
    <s v="Faisal Ahmed"/>
    <s v="Bengaluru"/>
    <s v="rajesh.saxena@company.com"/>
    <s v="+91-1590109281"/>
    <x v="311"/>
    <s v="Missing"/>
    <x v="0"/>
    <s v="7 Years, 4 Months, 15 Days"/>
    <n v="2616.19"/>
    <x v="0"/>
    <n v="84967"/>
    <s v="Poor"/>
    <n v="16"/>
    <m/>
    <m/>
    <m/>
    <m/>
  </r>
  <r>
    <n v="5251"/>
    <s v="Isha Menon"/>
    <x v="1"/>
    <x v="4"/>
    <s v="D06"/>
    <s v="Faisal Ahmed"/>
    <s v="Ahmedabad"/>
    <s v="rajesh.desai@company.com"/>
    <s v="+91-3556752334"/>
    <x v="312"/>
    <s v="Missing"/>
    <x v="0"/>
    <s v="1 Years, 7 Months, 26 Days"/>
    <n v="3018.32"/>
    <x v="0"/>
    <n v="0"/>
    <s v="Good"/>
    <n v="17"/>
    <m/>
    <m/>
    <m/>
    <m/>
  </r>
  <r>
    <n v="5268"/>
    <s v="Kavya Kapoor"/>
    <x v="0"/>
    <x v="0"/>
    <s v="D05"/>
    <s v="Leela Iyer"/>
    <s v="Bengaluru"/>
    <s v="priya.menon@company.com"/>
    <s v="+91-5251526053"/>
    <x v="313"/>
    <s v="Still Employed"/>
    <x v="0"/>
    <s v="5 Years, 4 Months, 7 Days"/>
    <n v="1028.46"/>
    <x v="0"/>
    <n v="131831"/>
    <s v="Good"/>
    <n v="11"/>
    <m/>
    <m/>
    <m/>
    <m/>
  </r>
  <r>
    <n v="5209"/>
    <s v="Rajesh Trivedi"/>
    <x v="1"/>
    <x v="4"/>
    <s v="D03"/>
    <s v="Sunita Rao"/>
    <s v="Bengaluru"/>
    <s v="No Email ID"/>
    <s v="Incomplete"/>
    <x v="314"/>
    <s v="Missing"/>
    <x v="0"/>
    <s v="5 Years, 2 Months, 8 Days"/>
    <n v="1457.5900000000001"/>
    <x v="0"/>
    <n v="174698"/>
    <s v="Excellent"/>
    <n v="0"/>
    <m/>
    <m/>
    <m/>
    <m/>
  </r>
  <r>
    <n v="5181"/>
    <s v="Suresh Trivedi"/>
    <x v="1"/>
    <x v="1"/>
    <s v="D03"/>
    <s v="Sunita Rao"/>
    <s v="Bengaluru"/>
    <s v="sneha.rao@company.com"/>
    <s v="+91-3670066384"/>
    <x v="315"/>
    <s v="Missing"/>
    <x v="0"/>
    <s v="5 Years, 1 Months, 24 Days"/>
    <n v="2226.94"/>
    <x v="0"/>
    <n v="86430"/>
    <s v="Poor"/>
    <s v="Negate Leave"/>
    <m/>
    <m/>
    <m/>
    <m/>
  </r>
  <r>
    <n v="5006"/>
    <s v="Rajesh Saxena"/>
    <x v="1"/>
    <x v="4"/>
    <s v="D06"/>
    <s v="Faisal Ahmed"/>
    <s v="Delhi"/>
    <s v="amit.bose@company.com"/>
    <s v="+91-7270238544"/>
    <x v="316"/>
    <s v="Missing"/>
    <x v="0"/>
    <s v="7 Years, 11 Months, 20 Days"/>
    <n v="1044.9000000000001"/>
    <x v="0"/>
    <n v="97952"/>
    <s v="Average"/>
    <s v="Negate Leave"/>
    <m/>
    <m/>
    <m/>
    <m/>
  </r>
  <r>
    <n v="5171"/>
    <s v="Rajesh Desai"/>
    <x v="1"/>
    <x v="5"/>
    <s v="D03"/>
    <s v="Sunita Rao"/>
    <s v="Hyderabad"/>
    <s v="anita.mehta@company.com"/>
    <s v="+91-1773284857"/>
    <x v="178"/>
    <d v="2025-05-03T00:00:00"/>
    <x v="2"/>
    <s v="7 Years, 5 Months, 21 Days"/>
    <n v="690.65000000000009"/>
    <x v="1"/>
    <n v="174560"/>
    <s v="Good"/>
    <n v="15"/>
    <m/>
    <m/>
    <m/>
    <m/>
  </r>
  <r>
    <n v="5216"/>
    <s v="Priya Menon"/>
    <x v="0"/>
    <x v="1"/>
    <s v="D04"/>
    <s v="Vivek Malhotra"/>
    <s v="Kolkata"/>
    <s v="karthik.joshi@company.com"/>
    <s v="Incomplete"/>
    <x v="317"/>
    <s v="N/A"/>
    <x v="0"/>
    <s v="7 Years, 1 Months, 27 Days"/>
    <n v="2299.8200000000002"/>
    <x v="0"/>
    <n v="0"/>
    <s v="Poor"/>
    <n v="6"/>
    <m/>
    <m/>
    <m/>
    <m/>
  </r>
  <r>
    <n v="5250"/>
    <s v="Anjali Iyer"/>
    <x v="1"/>
    <x v="4"/>
    <s v="D02"/>
    <s v="Rajiv Kapoor"/>
    <s v="Pune"/>
    <s v="No Email ID"/>
    <s v="+91-7393373474"/>
    <x v="269"/>
    <s v="Missing"/>
    <x v="0"/>
    <s v="8 Years, 3 Months, 3 Days"/>
    <n v="3076.2"/>
    <x v="0"/>
    <n v="161932"/>
    <s v="Average"/>
    <n v="0"/>
    <m/>
    <m/>
    <m/>
    <m/>
  </r>
  <r>
    <n v="5054"/>
    <s v="Sneha Rao"/>
    <x v="0"/>
    <x v="1"/>
    <s v="D06"/>
    <s v="Faisal Ahmed"/>
    <s v="Hyderabad"/>
    <s v="No Email ID"/>
    <s v="+91-4718227205"/>
    <x v="318"/>
    <s v="Missing"/>
    <x v="0"/>
    <s v="2 Years, 9 Months, 22 Days"/>
    <n v="1762.96"/>
    <x v="0"/>
    <n v="173438"/>
    <s v="Average"/>
    <n v="14"/>
    <m/>
    <m/>
    <m/>
    <m/>
  </r>
  <r>
    <n v="5299"/>
    <s v="Amit Bose"/>
    <x v="1"/>
    <x v="5"/>
    <s v="D02"/>
    <s v="Rajiv Kapoor"/>
    <s v="Chennai"/>
    <s v="kavya.iyer@company.com"/>
    <s v="+91-7785986365"/>
    <x v="319"/>
    <s v="N/A"/>
    <x v="0"/>
    <s v="3 Years, 11 Months, 25 Days"/>
    <n v="2743.39"/>
    <x v="0"/>
    <n v="150979"/>
    <s v="Poor"/>
    <n v="18"/>
    <m/>
    <m/>
    <m/>
    <m/>
  </r>
  <r>
    <n v="5280"/>
    <s v="Anita Mehta"/>
    <x v="1"/>
    <x v="3"/>
    <s v="D05"/>
    <s v="Leela Iyer"/>
    <s v="Bengaluru"/>
    <s v="sureshgupta@company.com"/>
    <s v="+91-2901195203"/>
    <x v="320"/>
    <s v="Missing"/>
    <x v="0"/>
    <s v="6 Years, 1 Months, 3 Days"/>
    <n v="2709.95"/>
    <x v="0"/>
    <n v="109091"/>
    <s v="Poor"/>
    <s v="Negate Leave"/>
    <m/>
    <m/>
    <m/>
    <m/>
  </r>
  <r>
    <m/>
    <m/>
    <x v="2"/>
    <x v="6"/>
    <m/>
    <m/>
    <m/>
    <m/>
    <m/>
    <x v="321"/>
    <m/>
    <x v="7"/>
    <m/>
    <m/>
    <x v="2"/>
    <m/>
    <m/>
    <m/>
    <m/>
    <m/>
    <m/>
    <m/>
  </r>
  <r>
    <m/>
    <m/>
    <x v="2"/>
    <x v="6"/>
    <m/>
    <m/>
    <m/>
    <m/>
    <m/>
    <x v="321"/>
    <m/>
    <x v="7"/>
    <m/>
    <m/>
    <x v="2"/>
    <m/>
    <m/>
    <m/>
    <m/>
    <m/>
    <m/>
    <m/>
  </r>
  <r>
    <m/>
    <m/>
    <x v="2"/>
    <x v="6"/>
    <m/>
    <m/>
    <m/>
    <m/>
    <m/>
    <x v="321"/>
    <m/>
    <x v="7"/>
    <m/>
    <m/>
    <x v="2"/>
    <m/>
    <m/>
    <m/>
    <m/>
    <m/>
    <m/>
    <m/>
  </r>
  <r>
    <m/>
    <m/>
    <x v="2"/>
    <x v="6"/>
    <m/>
    <m/>
    <m/>
    <m/>
    <m/>
    <x v="321"/>
    <m/>
    <x v="7"/>
    <m/>
    <m/>
    <x v="2"/>
    <m/>
    <m/>
    <m/>
    <m/>
    <m/>
    <m/>
    <m/>
  </r>
  <r>
    <m/>
    <m/>
    <x v="2"/>
    <x v="6"/>
    <m/>
    <m/>
    <m/>
    <m/>
    <m/>
    <x v="321"/>
    <m/>
    <x v="7"/>
    <m/>
    <m/>
    <x v="2"/>
    <m/>
    <m/>
    <m/>
    <m/>
    <m/>
    <m/>
    <m/>
  </r>
  <r>
    <m/>
    <m/>
    <x v="2"/>
    <x v="6"/>
    <m/>
    <m/>
    <m/>
    <m/>
    <m/>
    <x v="321"/>
    <m/>
    <x v="7"/>
    <m/>
    <m/>
    <x v="2"/>
    <m/>
    <m/>
    <m/>
    <m/>
    <m/>
    <m/>
    <m/>
  </r>
  <r>
    <m/>
    <m/>
    <x v="2"/>
    <x v="6"/>
    <m/>
    <m/>
    <m/>
    <m/>
    <m/>
    <x v="321"/>
    <m/>
    <x v="7"/>
    <m/>
    <m/>
    <x v="2"/>
    <m/>
    <m/>
    <m/>
    <m/>
    <m/>
    <m/>
    <m/>
  </r>
  <r>
    <m/>
    <m/>
    <x v="2"/>
    <x v="6"/>
    <m/>
    <m/>
    <m/>
    <m/>
    <m/>
    <x v="321"/>
    <m/>
    <x v="7"/>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D127D-FAE0-40EB-96A5-05C907E315C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colHeaderCaption="Departments">
  <location ref="I20:O27" firstHeaderRow="1" firstDataRow="2" firstDataCol="1" rowPageCount="1" colPageCount="1"/>
  <pivotFields count="24">
    <pivotField showAll="0"/>
    <pivotField showAll="0"/>
    <pivotField showAll="0"/>
    <pivotField axis="axisCol" showAll="0">
      <items count="8">
        <item x="0"/>
        <item x="3"/>
        <item x="1"/>
        <item x="5"/>
        <item x="2"/>
        <item x="4"/>
        <item h="1" x="6"/>
        <item t="default"/>
      </items>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axis="axisRow" showAll="0">
      <items count="9">
        <item x="6"/>
        <item x="3"/>
        <item x="4"/>
        <item x="5"/>
        <item x="1"/>
        <item x="2"/>
        <item x="0"/>
        <item x="7"/>
        <item t="default"/>
      </items>
    </pivotField>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11"/>
  </rowFields>
  <rowItems count="6">
    <i>
      <x/>
    </i>
    <i>
      <x v="1"/>
    </i>
    <i>
      <x v="2"/>
    </i>
    <i>
      <x v="3"/>
    </i>
    <i>
      <x v="4"/>
    </i>
    <i>
      <x v="5"/>
    </i>
  </rowItems>
  <colFields count="1">
    <field x="3"/>
  </colFields>
  <colItems count="6">
    <i>
      <x/>
    </i>
    <i>
      <x v="1"/>
    </i>
    <i>
      <x v="2"/>
    </i>
    <i>
      <x v="3"/>
    </i>
    <i>
      <x v="4"/>
    </i>
    <i>
      <x v="5"/>
    </i>
  </colItems>
  <pageFields count="1">
    <pageField fld="14" item="1" hier="-1"/>
  </pageFields>
  <dataFields count="1">
    <dataField name="Count of Employee status" fld="14" subtotal="count" baseField="0" baseItem="0" numFmtId="1"/>
  </dataFields>
  <formats count="3">
    <format dxfId="84">
      <pivotArea outline="0" collapsedLevelsAreSubtotals="1" fieldPosition="0"/>
    </format>
    <format dxfId="83">
      <pivotArea dataOnly="0" labelOnly="1" outline="0" axis="axisValues" fieldPosition="0"/>
    </format>
    <format dxfId="8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4B2B8B-7FB6-478D-83F9-00D9E5FEC9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ate of Joining">
  <location ref="A20:B26" firstHeaderRow="1" firstDataRow="1" firstDataCol="1"/>
  <pivotFields count="24">
    <pivotField dataField="1" showAll="0"/>
    <pivotField showAll="0"/>
    <pivotField showAll="0"/>
    <pivotField showAll="0">
      <items count="8">
        <item x="0"/>
        <item h="1" x="3"/>
        <item h="1" x="1"/>
        <item h="1" x="5"/>
        <item h="1" x="2"/>
        <item h="1" x="4"/>
        <item h="1" x="6"/>
        <item t="default"/>
      </items>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10">
        <item h="1" x="0"/>
        <item sd="0" x="1"/>
        <item sd="0" x="2"/>
        <item sd="0" x="3"/>
        <item sd="0" x="4"/>
        <item sd="0" x="5"/>
        <item sd="0" x="6"/>
        <item sd="0" x="7"/>
        <item x="8"/>
        <item t="default"/>
      </items>
    </pivotField>
  </pivotFields>
  <rowFields count="1">
    <field x="23"/>
  </rowFields>
  <rowItems count="6">
    <i>
      <x v="1"/>
    </i>
    <i>
      <x v="2"/>
    </i>
    <i>
      <x v="3"/>
    </i>
    <i>
      <x v="4"/>
    </i>
    <i>
      <x v="5"/>
    </i>
    <i>
      <x v="7"/>
    </i>
  </rowItems>
  <colItems count="1">
    <i/>
  </colItems>
  <dataFields count="1">
    <dataField name="Total Employees" fld="0" subtotal="count" baseField="9" baseItem="0" numFmtId="1"/>
  </dataFields>
  <formats count="3">
    <format dxfId="87">
      <pivotArea outline="0" collapsedLevelsAreSubtotals="1" fieldPosition="0"/>
    </format>
    <format dxfId="86">
      <pivotArea dataOnly="0" labelOnly="1" outline="0" axis="axisValues" fieldPosition="0"/>
    </format>
    <format dxfId="8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50BA6E-9640-417F-9AB8-87419902C66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s">
  <location ref="A10:B11" firstHeaderRow="1" firstDataRow="1" firstDataCol="1"/>
  <pivotFields count="24">
    <pivotField showAll="0"/>
    <pivotField showAll="0"/>
    <pivotField showAll="0"/>
    <pivotField axis="axisRow" showAll="0" sortType="descending">
      <items count="8">
        <item x="0"/>
        <item h="1" x="3"/>
        <item h="1" x="1"/>
        <item h="1" x="5"/>
        <item h="1" x="2"/>
        <item h="1"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3"/>
  </rowFields>
  <rowItems count="1">
    <i>
      <x/>
    </i>
  </rowItems>
  <colItems count="1">
    <i/>
  </colItems>
  <dataFields count="1">
    <dataField name="Average of Monthly Salary" fld="15" subtotal="average" baseField="3" baseItem="0" numFmtId="2"/>
  </dataFields>
  <formats count="2">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DB25C-1590-4DA6-8B9B-D58F1CF113D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Gender" colHeaderCaption="Departments">
  <location ref="A47:B49" firstHeaderRow="1" firstDataRow="1" firstDataCol="1"/>
  <pivotFields count="24">
    <pivotField dataField="1" showAll="0"/>
    <pivotField showAll="0"/>
    <pivotField axis="axisRow" showAll="0">
      <items count="4">
        <item x="0"/>
        <item x="1"/>
        <item h="1" x="2"/>
        <item t="default"/>
      </items>
    </pivotField>
    <pivotField showAll="0">
      <items count="8">
        <item x="0"/>
        <item x="3"/>
        <item x="1"/>
        <item x="5"/>
        <item x="2"/>
        <item x="4"/>
        <item h="1" x="6"/>
        <item t="default"/>
      </items>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2"/>
  </rowFields>
  <rowItems count="2">
    <i>
      <x/>
    </i>
    <i>
      <x v="1"/>
    </i>
  </rowItems>
  <colItems count="1">
    <i/>
  </colItems>
  <dataFields count="1">
    <dataField name="Count of Employee ID" fld="0" subtotal="count" baseField="2" baseItem="0"/>
  </dataField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EDC6D5-510F-4B8D-9399-32D5A32EB1D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epartment" colHeaderCaption="Departments">
  <location ref="A34:B40" firstHeaderRow="1" firstDataRow="1" firstDataCol="1"/>
  <pivotFields count="24">
    <pivotField dataField="1" showAll="0"/>
    <pivotField showAll="0"/>
    <pivotField showAll="0">
      <items count="4">
        <item x="0"/>
        <item x="1"/>
        <item h="1" x="2"/>
        <item t="default"/>
      </items>
    </pivotField>
    <pivotField axis="axisRow" showAll="0">
      <items count="8">
        <item x="0"/>
        <item x="3"/>
        <item x="1"/>
        <item x="5"/>
        <item x="2"/>
        <item x="4"/>
        <item h="1" x="6"/>
        <item t="default"/>
      </items>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3"/>
  </rowFields>
  <rowItems count="6">
    <i>
      <x/>
    </i>
    <i>
      <x v="1"/>
    </i>
    <i>
      <x v="2"/>
    </i>
    <i>
      <x v="3"/>
    </i>
    <i>
      <x v="4"/>
    </i>
    <i>
      <x v="5"/>
    </i>
  </rowItems>
  <colItems count="1">
    <i/>
  </colItems>
  <dataFields count="1">
    <dataField name="Count of Employee ID" fld="0" subtotal="count"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98D02-8276-45F0-9140-EFB0505871B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colHeaderCaption="Departments">
  <location ref="A3:B6" firstHeaderRow="1" firstDataRow="2" firstDataCol="1"/>
  <pivotFields count="24">
    <pivotField dataField="1" showAll="0"/>
    <pivotField showAll="0"/>
    <pivotField axis="axisRow" showAll="0">
      <items count="4">
        <item x="0"/>
        <item x="1"/>
        <item h="1" x="2"/>
        <item t="default"/>
      </items>
    </pivotField>
    <pivotField axis="axisCol" showAll="0">
      <items count="8">
        <item x="0"/>
        <item h="1" x="3"/>
        <item h="1" x="1"/>
        <item h="1" x="5"/>
        <item h="1" x="2"/>
        <item h="1" x="4"/>
        <item h="1" x="6"/>
        <item t="default"/>
      </items>
    </pivotField>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2"/>
  </rowFields>
  <rowItems count="2">
    <i>
      <x/>
    </i>
    <i>
      <x v="1"/>
    </i>
  </rowItems>
  <colFields count="1">
    <field x="3"/>
  </colFields>
  <colItems count="1">
    <i>
      <x/>
    </i>
  </colItems>
  <dataFields count="1">
    <dataField name="Count of Employee ID" fld="0" subtotal="count" baseField="2"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887C86-178A-472D-84F9-FB8B19FA206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s">
  <location ref="A31:A32" firstHeaderRow="1" firstDataRow="1" firstDataCol="0"/>
  <pivotFields count="24">
    <pivotField dataField="1" showAll="0"/>
    <pivotField showAll="0"/>
    <pivotField showAll="0"/>
    <pivotField showAll="0"/>
    <pivotField showAll="0"/>
    <pivotField showAll="0"/>
    <pivotField showAll="0"/>
    <pivotField showAll="0"/>
    <pivotField showAll="0"/>
    <pivotField showAll="0">
      <items count="323">
        <item x="184"/>
        <item x="275"/>
        <item x="194"/>
        <item x="159"/>
        <item x="191"/>
        <item x="187"/>
        <item x="203"/>
        <item x="16"/>
        <item x="266"/>
        <item x="205"/>
        <item x="269"/>
        <item x="189"/>
        <item x="274"/>
        <item x="290"/>
        <item x="229"/>
        <item x="55"/>
        <item x="262"/>
        <item x="287"/>
        <item x="316"/>
        <item x="0"/>
        <item x="185"/>
        <item x="197"/>
        <item x="140"/>
        <item x="298"/>
        <item x="211"/>
        <item x="76"/>
        <item x="167"/>
        <item x="233"/>
        <item x="162"/>
        <item x="27"/>
        <item x="183"/>
        <item x="93"/>
        <item x="195"/>
        <item x="240"/>
        <item x="158"/>
        <item x="312"/>
        <item x="304"/>
        <item x="264"/>
        <item x="178"/>
        <item x="83"/>
        <item x="177"/>
        <item x="11"/>
        <item x="225"/>
        <item x="228"/>
        <item x="166"/>
        <item x="100"/>
        <item x="311"/>
        <item x="257"/>
        <item x="58"/>
        <item x="63"/>
        <item x="210"/>
        <item x="124"/>
        <item x="61"/>
        <item x="81"/>
        <item x="2"/>
        <item x="145"/>
        <item x="18"/>
        <item x="90"/>
        <item x="317"/>
        <item x="101"/>
        <item x="212"/>
        <item x="56"/>
        <item x="174"/>
        <item x="260"/>
        <item x="255"/>
        <item x="71"/>
        <item x="121"/>
        <item x="292"/>
        <item x="66"/>
        <item x="277"/>
        <item x="152"/>
        <item x="208"/>
        <item x="94"/>
        <item x="109"/>
        <item x="146"/>
        <item x="113"/>
        <item x="156"/>
        <item x="143"/>
        <item x="26"/>
        <item x="206"/>
        <item x="182"/>
        <item x="48"/>
        <item x="116"/>
        <item x="273"/>
        <item x="310"/>
        <item x="278"/>
        <item x="281"/>
        <item x="77"/>
        <item x="193"/>
        <item x="54"/>
        <item x="17"/>
        <item x="294"/>
        <item x="52"/>
        <item x="279"/>
        <item x="254"/>
        <item x="175"/>
        <item x="148"/>
        <item x="117"/>
        <item x="153"/>
        <item x="213"/>
        <item x="107"/>
        <item x="44"/>
        <item x="163"/>
        <item x="13"/>
        <item x="172"/>
        <item x="227"/>
        <item x="106"/>
        <item x="64"/>
        <item x="293"/>
        <item x="89"/>
        <item x="99"/>
        <item x="291"/>
        <item x="232"/>
        <item x="6"/>
        <item x="35"/>
        <item x="188"/>
        <item x="272"/>
        <item x="238"/>
        <item x="161"/>
        <item x="157"/>
        <item x="285"/>
        <item x="320"/>
        <item x="1"/>
        <item x="40"/>
        <item x="104"/>
        <item x="57"/>
        <item x="122"/>
        <item x="192"/>
        <item x="242"/>
        <item x="120"/>
        <item x="37"/>
        <item x="251"/>
        <item x="305"/>
        <item x="301"/>
        <item x="62"/>
        <item x="47"/>
        <item x="68"/>
        <item x="224"/>
        <item x="84"/>
        <item x="25"/>
        <item x="119"/>
        <item x="154"/>
        <item x="19"/>
        <item x="179"/>
        <item x="103"/>
        <item x="288"/>
        <item x="130"/>
        <item x="201"/>
        <item x="296"/>
        <item x="241"/>
        <item x="4"/>
        <item x="43"/>
        <item x="39"/>
        <item x="87"/>
        <item x="123"/>
        <item x="200"/>
        <item x="23"/>
        <item x="231"/>
        <item x="313"/>
        <item x="74"/>
        <item x="114"/>
        <item x="155"/>
        <item x="215"/>
        <item x="268"/>
        <item x="173"/>
        <item x="164"/>
        <item x="202"/>
        <item x="51"/>
        <item x="314"/>
        <item x="12"/>
        <item x="88"/>
        <item x="265"/>
        <item x="176"/>
        <item x="315"/>
        <item x="248"/>
        <item x="31"/>
        <item x="196"/>
        <item x="239"/>
        <item x="267"/>
        <item x="78"/>
        <item x="165"/>
        <item x="134"/>
        <item x="169"/>
        <item x="59"/>
        <item x="20"/>
        <item x="111"/>
        <item x="306"/>
        <item x="199"/>
        <item x="186"/>
        <item x="133"/>
        <item x="150"/>
        <item x="171"/>
        <item x="230"/>
        <item x="247"/>
        <item x="65"/>
        <item x="236"/>
        <item x="10"/>
        <item x="283"/>
        <item x="217"/>
        <item x="276"/>
        <item x="250"/>
        <item x="263"/>
        <item x="170"/>
        <item x="33"/>
        <item x="136"/>
        <item x="151"/>
        <item x="72"/>
        <item x="220"/>
        <item x="86"/>
        <item x="147"/>
        <item x="125"/>
        <item x="97"/>
        <item x="252"/>
        <item x="34"/>
        <item x="302"/>
        <item x="168"/>
        <item x="237"/>
        <item x="60"/>
        <item x="9"/>
        <item x="204"/>
        <item x="15"/>
        <item x="295"/>
        <item x="80"/>
        <item x="286"/>
        <item x="21"/>
        <item x="75"/>
        <item x="32"/>
        <item x="67"/>
        <item x="249"/>
        <item x="132"/>
        <item x="198"/>
        <item x="127"/>
        <item x="319"/>
        <item x="118"/>
        <item x="222"/>
        <item x="79"/>
        <item x="270"/>
        <item x="243"/>
        <item x="14"/>
        <item x="223"/>
        <item x="5"/>
        <item x="226"/>
        <item x="137"/>
        <item x="300"/>
        <item x="234"/>
        <item x="96"/>
        <item x="218"/>
        <item x="92"/>
        <item x="307"/>
        <item x="297"/>
        <item x="131"/>
        <item x="82"/>
        <item x="253"/>
        <item x="244"/>
        <item x="284"/>
        <item x="235"/>
        <item x="308"/>
        <item x="95"/>
        <item x="190"/>
        <item x="299"/>
        <item x="221"/>
        <item x="45"/>
        <item x="30"/>
        <item x="69"/>
        <item x="181"/>
        <item x="41"/>
        <item x="7"/>
        <item x="282"/>
        <item x="105"/>
        <item x="85"/>
        <item x="73"/>
        <item x="110"/>
        <item x="271"/>
        <item x="309"/>
        <item x="50"/>
        <item x="129"/>
        <item x="139"/>
        <item x="245"/>
        <item x="149"/>
        <item x="138"/>
        <item x="3"/>
        <item x="142"/>
        <item x="128"/>
        <item x="91"/>
        <item x="214"/>
        <item x="303"/>
        <item x="318"/>
        <item x="112"/>
        <item x="144"/>
        <item x="22"/>
        <item x="246"/>
        <item x="46"/>
        <item x="258"/>
        <item x="49"/>
        <item x="53"/>
        <item x="38"/>
        <item x="256"/>
        <item x="70"/>
        <item x="207"/>
        <item x="36"/>
        <item x="160"/>
        <item x="216"/>
        <item x="24"/>
        <item x="108"/>
        <item x="28"/>
        <item x="219"/>
        <item x="8"/>
        <item x="98"/>
        <item x="280"/>
        <item x="115"/>
        <item x="180"/>
        <item x="141"/>
        <item x="29"/>
        <item x="102"/>
        <item x="135"/>
        <item x="261"/>
        <item x="209"/>
        <item x="42"/>
        <item x="289"/>
        <item x="126"/>
        <item x="259"/>
        <item x="321"/>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Items count="1">
    <i/>
  </rowItems>
  <colItems count="1">
    <i/>
  </colItems>
  <dataFields count="1">
    <dataField name="Count of Employee ID" fld="0" subtotal="count" baseField="3" baseItem="0"/>
  </dataFields>
  <formats count="2">
    <format dxfId="91">
      <pivotArea outline="0" collapsedLevelsAreSubtotals="1"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 xr10:uid="{6A94678B-EE90-49A3-AE7C-2E083588B0E6}" sourceName="Employee status">
  <pivotTables>
    <pivotTable tabId="5" name="PivotTable3"/>
    <pivotTable tabId="5" name="PivotTable1"/>
    <pivotTable tabId="5" name="PivotTable2"/>
    <pivotTable tabId="5" name="PivotTable5"/>
    <pivotTable tabId="5" name="PivotTable6"/>
    <pivotTable tabId="5" name="PivotTable7"/>
    <pivotTable tabId="5" name="PivotTable8"/>
  </pivotTables>
  <data>
    <tabular pivotCacheId="243223438">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7803690-BC7B-4F22-97E5-5EA16EF87C29}" sourceName="Department">
  <pivotTables>
    <pivotTable tabId="5" name="PivotTable3"/>
    <pivotTable tabId="5" name="PivotTable1"/>
    <pivotTable tabId="5" name="PivotTable2"/>
  </pivotTables>
  <data>
    <tabular pivotCacheId="243223438">
      <items count="7">
        <i x="0" s="1"/>
        <i x="3"/>
        <i x="1"/>
        <i x="5"/>
        <i x="2"/>
        <i x="4"/>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status 1" xr10:uid="{E67558B5-A222-40ED-85B0-9EEA495DBE70}" cache="Slicer_Employee_status" caption="Employee status" style="SlicerStyleDark3" rowHeight="234950"/>
  <slicer name="Department 1" xr10:uid="{34FA98EA-C304-4A19-90FC-6E6FD729C9DA}" cache="Slicer_Department" caption="Department"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status" xr10:uid="{34877F15-FAE9-46B1-8061-63DDED599AE0}" cache="Slicer_Employee_status" caption="Employee status" rowHeight="234950"/>
  <slicer name="Department" xr10:uid="{C99E5390-0CCE-401D-A699-8AD11E4E6267}"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E29277-5C72-4BC1-8394-A53AFB58AF76}">
  <we:reference id="wa200009404" version="1.0.0.8" store="en-US" storeType="OMEX"/>
  <we:alternateReferences>
    <we:reference id="WA200009404" version="1.0.0.8" store="" storeType="OMEX"/>
  </we:alternateReferences>
  <we:properties>
    <we:property name="claude.fileId" value="&quot;3e0cd001-250b-4dd2-8f56-4c4f6525be9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9"/>
  <sheetViews>
    <sheetView showGridLines="0" topLeftCell="A29" workbookViewId="0">
      <selection activeCell="B34" sqref="B34"/>
    </sheetView>
  </sheetViews>
  <sheetFormatPr defaultRowHeight="14.4" x14ac:dyDescent="0.3"/>
  <cols>
    <col min="1" max="1" width="3" customWidth="1"/>
    <col min="2" max="2" width="100" customWidth="1"/>
  </cols>
  <sheetData>
    <row r="2" spans="2:2" ht="21" x14ac:dyDescent="0.4">
      <c r="B2" s="1" t="s">
        <v>0</v>
      </c>
    </row>
    <row r="3" spans="2:2" x14ac:dyDescent="0.3">
      <c r="B3" s="2" t="s">
        <v>1</v>
      </c>
    </row>
    <row r="5" spans="2:2" ht="15.6" x14ac:dyDescent="0.3">
      <c r="B5" s="3" t="s">
        <v>2</v>
      </c>
    </row>
    <row r="6" spans="2:2" ht="28.05" customHeight="1" x14ac:dyDescent="0.3">
      <c r="B6" s="4" t="s">
        <v>3</v>
      </c>
    </row>
    <row r="7" spans="2:2" ht="28.05" customHeight="1" x14ac:dyDescent="0.3">
      <c r="B7" s="4" t="s">
        <v>4</v>
      </c>
    </row>
    <row r="8" spans="2:2" ht="28.05" customHeight="1" x14ac:dyDescent="0.3">
      <c r="B8" s="4" t="s">
        <v>5</v>
      </c>
    </row>
    <row r="9" spans="2:2" ht="28.05" customHeight="1" x14ac:dyDescent="0.3">
      <c r="B9" s="4" t="s">
        <v>6</v>
      </c>
    </row>
    <row r="10" spans="2:2" ht="28.05" customHeight="1" x14ac:dyDescent="0.3">
      <c r="B10" s="4" t="s">
        <v>7</v>
      </c>
    </row>
    <row r="11" spans="2:2" ht="28.05" customHeight="1" x14ac:dyDescent="0.3">
      <c r="B11" s="4" t="s">
        <v>8</v>
      </c>
    </row>
    <row r="12" spans="2:2" ht="28.05" customHeight="1" x14ac:dyDescent="0.3">
      <c r="B12" s="4" t="s">
        <v>9</v>
      </c>
    </row>
    <row r="13" spans="2:2" ht="28.05" customHeight="1" x14ac:dyDescent="0.3">
      <c r="B13" s="4" t="s">
        <v>10</v>
      </c>
    </row>
    <row r="15" spans="2:2" ht="15.6" x14ac:dyDescent="0.3">
      <c r="B15" s="3" t="s">
        <v>11</v>
      </c>
    </row>
    <row r="16" spans="2:2" ht="28.05" customHeight="1" x14ac:dyDescent="0.3">
      <c r="B16" s="4" t="s">
        <v>12</v>
      </c>
    </row>
    <row r="17" spans="2:2" ht="28.05" customHeight="1" x14ac:dyDescent="0.3">
      <c r="B17" s="4" t="s">
        <v>13</v>
      </c>
    </row>
    <row r="18" spans="2:2" ht="28.05" customHeight="1" x14ac:dyDescent="0.3">
      <c r="B18" s="4" t="s">
        <v>14</v>
      </c>
    </row>
    <row r="19" spans="2:2" ht="28.05" customHeight="1" x14ac:dyDescent="0.3">
      <c r="B19" s="4" t="s">
        <v>15</v>
      </c>
    </row>
    <row r="20" spans="2:2" ht="28.05" customHeight="1" x14ac:dyDescent="0.3">
      <c r="B20" s="4" t="s">
        <v>16</v>
      </c>
    </row>
    <row r="21" spans="2:2" ht="28.05" customHeight="1" x14ac:dyDescent="0.3">
      <c r="B21" s="4" t="s">
        <v>17</v>
      </c>
    </row>
    <row r="22" spans="2:2" ht="28.05" customHeight="1" x14ac:dyDescent="0.3">
      <c r="B22" s="4" t="s">
        <v>18</v>
      </c>
    </row>
    <row r="24" spans="2:2" ht="15.6" x14ac:dyDescent="0.3">
      <c r="B24" s="3" t="s">
        <v>19</v>
      </c>
    </row>
    <row r="25" spans="2:2" ht="28.05" customHeight="1" x14ac:dyDescent="0.3">
      <c r="B25" s="38" t="s">
        <v>20</v>
      </c>
    </row>
    <row r="26" spans="2:2" ht="28.05" customHeight="1" x14ac:dyDescent="0.3">
      <c r="B26" s="38" t="s">
        <v>21</v>
      </c>
    </row>
    <row r="27" spans="2:2" ht="28.05" customHeight="1" x14ac:dyDescent="0.3">
      <c r="B27" s="38" t="s">
        <v>22</v>
      </c>
    </row>
    <row r="28" spans="2:2" ht="28.05" customHeight="1" x14ac:dyDescent="0.3">
      <c r="B28" s="4" t="s">
        <v>23</v>
      </c>
    </row>
    <row r="29" spans="2:2" ht="28.05" customHeight="1" x14ac:dyDescent="0.3">
      <c r="B29" s="4" t="s">
        <v>24</v>
      </c>
    </row>
    <row r="31" spans="2:2" ht="15.6" x14ac:dyDescent="0.3">
      <c r="B31" s="3" t="s">
        <v>25</v>
      </c>
    </row>
    <row r="32" spans="2:2" ht="28.05" customHeight="1" x14ac:dyDescent="0.3">
      <c r="B32" s="4" t="s">
        <v>26</v>
      </c>
    </row>
    <row r="33" spans="2:2" ht="28.05" customHeight="1" x14ac:dyDescent="0.3">
      <c r="B33" s="4" t="s">
        <v>27</v>
      </c>
    </row>
    <row r="34" spans="2:2" ht="28.05" customHeight="1" x14ac:dyDescent="0.3">
      <c r="B34" s="4" t="s">
        <v>28</v>
      </c>
    </row>
    <row r="35" spans="2:2" ht="28.05" customHeight="1" x14ac:dyDescent="0.3">
      <c r="B35" s="4" t="s">
        <v>29</v>
      </c>
    </row>
    <row r="36" spans="2:2" ht="28.05" customHeight="1" x14ac:dyDescent="0.3">
      <c r="B36" s="4" t="s">
        <v>30</v>
      </c>
    </row>
    <row r="39" spans="2:2" ht="27" x14ac:dyDescent="0.3">
      <c r="B39" s="5"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103-9201-4135-A60B-C2304583D307}">
  <dimension ref="A1:X3"/>
  <sheetViews>
    <sheetView tabSelected="1" zoomScale="107" zoomScaleNormal="107" workbookViewId="0">
      <selection activeCell="C23" sqref="C23"/>
    </sheetView>
  </sheetViews>
  <sheetFormatPr defaultRowHeight="14.4" x14ac:dyDescent="0.3"/>
  <cols>
    <col min="1" max="1" width="16.88671875" bestFit="1" customWidth="1"/>
  </cols>
  <sheetData>
    <row r="1" spans="1:24" x14ac:dyDescent="0.3">
      <c r="A1" s="45"/>
      <c r="B1" s="45"/>
      <c r="C1" s="45"/>
      <c r="D1" s="45"/>
      <c r="E1" s="45"/>
      <c r="F1" s="45"/>
      <c r="G1" s="45"/>
      <c r="H1" s="45"/>
      <c r="I1" s="45"/>
      <c r="J1" s="45"/>
      <c r="K1" s="45"/>
      <c r="L1" s="45"/>
      <c r="M1" s="45"/>
      <c r="N1" s="45"/>
      <c r="O1" s="45"/>
      <c r="P1" s="45"/>
      <c r="Q1" s="45"/>
      <c r="R1" s="45"/>
      <c r="S1" s="45"/>
      <c r="T1" s="45"/>
      <c r="U1" s="45"/>
      <c r="V1" s="45"/>
      <c r="W1" s="45"/>
      <c r="X1" s="45"/>
    </row>
    <row r="2" spans="1:24" x14ac:dyDescent="0.3">
      <c r="A2" s="45"/>
      <c r="B2" s="45"/>
      <c r="C2" s="45"/>
      <c r="D2" s="45"/>
      <c r="E2" s="45"/>
      <c r="F2" s="45"/>
      <c r="G2" s="45"/>
      <c r="H2" s="45"/>
      <c r="I2" s="45"/>
      <c r="J2" s="45"/>
      <c r="K2" s="45"/>
      <c r="L2" s="45"/>
      <c r="M2" s="45"/>
      <c r="N2" s="45"/>
      <c r="O2" s="45"/>
      <c r="P2" s="45"/>
      <c r="Q2" s="45"/>
      <c r="R2" s="45"/>
      <c r="S2" s="45"/>
      <c r="T2" s="45"/>
      <c r="U2" s="45"/>
      <c r="V2" s="45"/>
      <c r="W2" s="45"/>
      <c r="X2" s="45"/>
    </row>
    <row r="3" spans="1:24" x14ac:dyDescent="0.3">
      <c r="A3" s="46"/>
      <c r="B3" s="46"/>
      <c r="C3" s="46"/>
      <c r="D3" s="46"/>
      <c r="E3" s="46"/>
      <c r="F3" s="46"/>
      <c r="G3" s="46"/>
      <c r="H3" s="46"/>
      <c r="I3" s="46"/>
      <c r="J3" s="46"/>
      <c r="K3" s="46"/>
      <c r="L3" s="46"/>
      <c r="M3" s="46"/>
      <c r="N3" s="46"/>
      <c r="O3" s="46"/>
      <c r="P3" s="46"/>
      <c r="Q3" s="46"/>
      <c r="R3" s="46"/>
      <c r="S3" s="46"/>
      <c r="T3" s="46"/>
      <c r="U3" s="46"/>
      <c r="V3" s="46"/>
      <c r="W3" s="46"/>
      <c r="X3" s="4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344"/>
  <sheetViews>
    <sheetView topLeftCell="M1" workbookViewId="0">
      <pane ySplit="1" topLeftCell="A2" activePane="bottomLeft" state="frozen"/>
      <selection pane="bottomLeft" activeCell="S18" sqref="S18"/>
    </sheetView>
  </sheetViews>
  <sheetFormatPr defaultRowHeight="14.4" x14ac:dyDescent="0.3"/>
  <cols>
    <col min="1" max="1" width="11" customWidth="1"/>
    <col min="2" max="4" width="22" customWidth="1"/>
    <col min="5" max="5" width="10" customWidth="1"/>
    <col min="6" max="6" width="20" customWidth="1"/>
    <col min="7" max="7" width="10" customWidth="1"/>
    <col min="8" max="8" width="14" bestFit="1" customWidth="1"/>
    <col min="9" max="9" width="12" customWidth="1"/>
    <col min="10" max="11" width="26" customWidth="1"/>
    <col min="12" max="14" width="16" customWidth="1"/>
    <col min="15" max="15" width="14" customWidth="1"/>
    <col min="16" max="18" width="16" style="15" customWidth="1"/>
    <col min="19" max="19" width="26.109375" bestFit="1" customWidth="1"/>
    <col min="20" max="20" width="26.109375" customWidth="1"/>
    <col min="21" max="22" width="23.88671875" customWidth="1"/>
    <col min="23" max="23" width="16" style="15" customWidth="1"/>
    <col min="24" max="24" width="16.109375" style="20" bestFit="1" customWidth="1"/>
    <col min="25" max="25" width="16.109375" style="20" customWidth="1"/>
    <col min="26" max="27" width="14" style="23" customWidth="1"/>
    <col min="28" max="29" width="16" customWidth="1"/>
    <col min="30" max="30" width="12" customWidth="1"/>
    <col min="31" max="31" width="12.109375" bestFit="1" customWidth="1"/>
    <col min="32" max="32" width="14.77734375" bestFit="1" customWidth="1"/>
    <col min="33" max="34" width="12.109375" customWidth="1"/>
    <col min="35" max="35" width="16.109375" customWidth="1"/>
    <col min="36" max="36" width="12.109375" customWidth="1"/>
    <col min="37" max="37" width="15.109375" bestFit="1" customWidth="1"/>
    <col min="41" max="41" width="10.33203125" bestFit="1" customWidth="1"/>
  </cols>
  <sheetData>
    <row r="1" spans="1:42" ht="27.6" x14ac:dyDescent="0.3">
      <c r="A1" s="6" t="s">
        <v>32</v>
      </c>
      <c r="B1" s="6" t="s">
        <v>33</v>
      </c>
      <c r="C1" s="6"/>
      <c r="D1" s="6"/>
      <c r="E1" s="6" t="s">
        <v>34</v>
      </c>
      <c r="F1" s="6" t="s">
        <v>35</v>
      </c>
      <c r="G1" s="6" t="s">
        <v>36</v>
      </c>
      <c r="H1" s="6" t="s">
        <v>2151</v>
      </c>
      <c r="I1" s="6" t="s">
        <v>37</v>
      </c>
      <c r="J1" s="6" t="s">
        <v>38</v>
      </c>
      <c r="K1" s="6"/>
      <c r="L1" s="6" t="s">
        <v>39</v>
      </c>
      <c r="M1" s="6" t="s">
        <v>1464</v>
      </c>
      <c r="N1" s="6" t="s">
        <v>1463</v>
      </c>
      <c r="O1" s="6" t="s">
        <v>40</v>
      </c>
      <c r="P1" s="13" t="s">
        <v>41</v>
      </c>
      <c r="Q1" s="13"/>
      <c r="R1" s="13"/>
      <c r="S1" s="30" t="s">
        <v>1827</v>
      </c>
      <c r="T1" s="30" t="s">
        <v>2173</v>
      </c>
      <c r="U1" s="30"/>
      <c r="V1" s="30" t="s">
        <v>2169</v>
      </c>
      <c r="W1" s="28" t="s">
        <v>1824</v>
      </c>
      <c r="X1" s="17" t="s">
        <v>42</v>
      </c>
      <c r="Y1" s="17"/>
      <c r="Z1" s="21"/>
      <c r="AA1" s="21"/>
      <c r="AB1" s="6" t="s">
        <v>43</v>
      </c>
      <c r="AC1" s="6"/>
      <c r="AD1" s="6" t="s">
        <v>44</v>
      </c>
    </row>
    <row r="2" spans="1:42" x14ac:dyDescent="0.3">
      <c r="A2" s="7">
        <v>5304</v>
      </c>
      <c r="B2" s="7" t="s">
        <v>45</v>
      </c>
      <c r="C2" s="7" t="str">
        <f>IF(ISNUMBER(SEARCH(",",B2)), TRIM(MID(B2,FIND(",",B2)+1,LEN(B2))&amp;" "&amp;LEFT(B2,FIND(",",B2)-1)), B2)</f>
        <v>Rajesh  Trivedi</v>
      </c>
      <c r="D2" s="7" t="str">
        <f>PROPER(TRIM(C2))</f>
        <v>Rajesh Trivedi</v>
      </c>
      <c r="E2" s="7" t="s">
        <v>61</v>
      </c>
      <c r="F2" s="7" t="s">
        <v>219</v>
      </c>
      <c r="G2" s="7" t="s">
        <v>46</v>
      </c>
      <c r="H2" s="7" t="str">
        <f>_xlfn.XLOOKUP(G2,Lookup_Tables!$A$4:$A$9,Lookup_Tables!$C$4:$C$9,"Not Found",0)</f>
        <v>Faisal Ahmed</v>
      </c>
      <c r="I2" s="7" t="s">
        <v>47</v>
      </c>
      <c r="J2" s="7" t="s">
        <v>48</v>
      </c>
      <c r="K2" s="7" t="str">
        <f>IF(J2="","No Email ID",SUBSTITUTE(J2,"companycom","company.com"))</f>
        <v>rajesh.trivedi@company.com</v>
      </c>
      <c r="L2" s="7"/>
      <c r="M2" s="7" t="str">
        <f t="shared" ref="M2:M64" si="0">SUBSTITUTE(L2," ","")</f>
        <v/>
      </c>
      <c r="N2" s="7" t="str" cm="1">
        <f t="array" ref="N2">_xlfn.IFS(M2="","Incomplete",LEN(M2)&lt;10,"Invalid",AND(LEN(M2) =10,LEFT(M2,4) &lt;&gt;"+91-"),"+91-"&amp;M2,TRUE,M2)</f>
        <v>Incomplete</v>
      </c>
      <c r="O2" s="8" t="s">
        <v>49</v>
      </c>
      <c r="P2" s="14"/>
      <c r="Q2" s="14" t="str">
        <f t="shared" ref="Q2:Q65" si="1">IF(P2="","Missing",P2)</f>
        <v>Missing</v>
      </c>
      <c r="R2" s="14" t="str" cm="1">
        <f t="array" ref="R2">_xlfn.IFS(OR(Q2="Missing",Q2="N/A",Q2="Still Employed"),Q2,ISNUMBER(SEARCH(",",Q2)),DATEVALUE(Q2),AND(ISNUMBER(SEARCH("-",Q2)),ISNUMBER(VALUE(LEFT(Q2,4)))),DATE(LEFT(Q2,4),MID(Q2,6,2),RIGHT(Q2,2)),ISNUMBER(SEARCH("-",Q2)),DATE(RIGHT(Q2,4),MID(Q2,4,2),LEFT(Q2,2)),ISNUMBER(SEARCH("/",Q2)),DATE(RIGHT(Q2,4),MID(Q2,4,2),LEFT(Q2,2)),TRUE,"Check Manually")</f>
        <v>Missing</v>
      </c>
      <c r="S2" s="31" t="str">
        <f ca="1">IF(OR(R2="Missing",R2="N/A",R2="Still Employed"),DATEDIF(O2,TODAY(),"y") &amp;" Years, " &amp;DATEDIF(O2,TODAY(),"ym") &amp; " Months, "&amp;DATEDIF(O2,TODAY(),"md") &amp;" Days",DATEDIF(O2,R2,"y") &amp;" Years, " &amp;DATEDIF(O2,R2,"ym") &amp; " Months, "&amp;DATEDIF(O2,R2,"md") &amp;" Days")</f>
        <v>7 Years, 11 Months, 18 Days</v>
      </c>
      <c r="T2" s="31">
        <f ca="1">VALUE(LEFT(S2,FIND(" Years",S2)-1))*365.25
+ VALUE(MID(S2,FIND(", ",S2)+2,FIND(" Months",S2)-FIND(", ",S2)-2))*30.44
+ VALUE(MID(S2,FIND("Months, ",S2)+8,FIND(" Days",S2)-FIND("Months, ",S2)-8))</f>
        <v>2909.59</v>
      </c>
      <c r="U2" s="31" t="str" cm="1">
        <f t="array" ref="U2">_xlfn.IFS(OR(R2="Missing",R2="N/A",R2="Still Employed"),"Unknown",ISNUMBER(R2),"Exited",TRUE,"Unknown")</f>
        <v>Unknown</v>
      </c>
      <c r="V2" s="31" t="str">
        <f>IF(U2="Exited",YEAR(R2),"")</f>
        <v/>
      </c>
      <c r="W2" s="14" t="str">
        <f>IF(OR(R2="Missing",R2="N/A",R2="Still Employed"),"Active","Exited")</f>
        <v>Active</v>
      </c>
      <c r="X2" s="18" t="s">
        <v>50</v>
      </c>
      <c r="Y2" s="18" t="str">
        <f>TRIM(X2)</f>
        <v>₹159,086</v>
      </c>
      <c r="Z2" s="22" t="str" cm="1">
        <f t="array" ref="Z2">_xlfn.IFS(Y2="","0",LEFT(Y2,5)="",Y2,LEFT(Y2,1)="₹",REPLACE(Y2,1,1,""),LEFT(Y2,4)="Rs. ",REPLACE(Y2,1,4,""),TRUE,Y2)</f>
        <v>159,086</v>
      </c>
      <c r="AA2" s="22" t="str">
        <f>SUBSTITUTE(Z2,",","")</f>
        <v>159086</v>
      </c>
      <c r="AB2" s="7" t="s">
        <v>51</v>
      </c>
      <c r="AC2" s="7" t="str">
        <f>IF(AB2="","Not Rated",AB2)</f>
        <v>Excellent</v>
      </c>
      <c r="AD2" s="7">
        <v>9</v>
      </c>
      <c r="AE2" cm="1">
        <f t="array" ref="AE2">_xlfn.IFS(AD2="",0,AD2&lt;0,"Negate Leave",AD2&gt;=0,AD2)</f>
        <v>9</v>
      </c>
      <c r="AI2" t="str" cm="1">
        <f t="array" ref="AI2:AI9">_xlfn.UNIQUE(F:F)</f>
        <v>Department</v>
      </c>
      <c r="AJ2" t="s">
        <v>2154</v>
      </c>
      <c r="AK2" t="str">
        <f>LEFT(X2,1)</f>
        <v>₹</v>
      </c>
    </row>
    <row r="3" spans="1:42" x14ac:dyDescent="0.3">
      <c r="A3" s="7">
        <v>5129</v>
      </c>
      <c r="B3" s="7" t="s">
        <v>52</v>
      </c>
      <c r="C3" s="7" t="str">
        <f t="shared" ref="C3:C65" si="2">IF(ISNUMBER(SEARCH(",",B3)), TRIM(MID(B3,FIND(",",B3)+1,LEN(B3))&amp;" "&amp;LEFT(B3,FIND(",",B3)-1)), B3)</f>
        <v>Pooja Trivedi</v>
      </c>
      <c r="D3" s="7" t="str">
        <f t="shared" ref="D3:D65" si="3">PROPER(TRIM(C3))</f>
        <v>Pooja Trivedi</v>
      </c>
      <c r="E3" s="7" t="s">
        <v>68</v>
      </c>
      <c r="F3" s="7" t="s">
        <v>53</v>
      </c>
      <c r="G3" s="7" t="s">
        <v>54</v>
      </c>
      <c r="H3" s="7" t="str">
        <f>_xlfn.XLOOKUP(G3,Lookup_Tables!$A$4:$A$9,Lookup_Tables!$C$4:$C$9,"Not Found",0)</f>
        <v>Leela Iyer</v>
      </c>
      <c r="I3" s="7" t="s">
        <v>55</v>
      </c>
      <c r="J3" s="7" t="s">
        <v>56</v>
      </c>
      <c r="K3" s="7" t="str">
        <f t="shared" ref="K3:K65" si="4">IF(J3="","No Email ID",SUBSTITUTE(J3,"companycom","company.com"))</f>
        <v>pooja.trivedi@company.com</v>
      </c>
      <c r="L3" s="7" t="s">
        <v>57</v>
      </c>
      <c r="M3" s="7" t="str">
        <f t="shared" si="0"/>
        <v>3302610219</v>
      </c>
      <c r="N3" s="7" t="str" cm="1">
        <f t="array" ref="N3">_xlfn.IFS(M3="","Incomplete",LEN(M3)&lt;10,"Invalid",AND(LEN(M3) =10,LEFT(M3,4) &lt;&gt;"+91-"),"+91-"&amp;M3,TRUE,M3)</f>
        <v>+91-3302610219</v>
      </c>
      <c r="O3" s="8" t="s">
        <v>58</v>
      </c>
      <c r="P3" s="14"/>
      <c r="Q3" s="14" t="str">
        <f t="shared" si="1"/>
        <v>Missing</v>
      </c>
      <c r="R3" s="14" t="str" cm="1">
        <f t="array" ref="R3">_xlfn.IFS(OR(Q3="Missing",Q3="N/A",Q3="Still Employed"),Q3,ISNUMBER(SEARCH(",",Q3)),DATEVALUE(Q3),AND(ISNUMBER(SEARCH("-",Q3)),ISNUMBER(VALUE(LEFT(Q3,4)))),DATE(LEFT(Q3,4),MID(Q3,6,2),RIGHT(Q3,2)),ISNUMBER(SEARCH("-",Q3)),DATE(RIGHT(Q3,4),MID(Q3,4,2),LEFT(Q3,2)),ISNUMBER(SEARCH("/",Q3)),DATE(RIGHT(Q3,4),MID(Q3,4,2),LEFT(Q3,2)),TRUE,"Check Manually")</f>
        <v>Missing</v>
      </c>
      <c r="S3" s="31" t="str">
        <f t="shared" ref="S3:S66" ca="1" si="5">IF(OR(R3="Missing",R3="N/A",R3="Still Employed"),DATEDIF(O3,TODAY(),"y") &amp;" Years, " &amp;DATEDIF(O3,TODAY(),"ym") &amp; " Months, "&amp;DATEDIF(O3,TODAY(),"md") &amp;" Days",DATEDIF(O3,R3,"y") &amp;" Years, " &amp;DATEDIF(O3,R3,"ym") &amp; " Months, "&amp;DATEDIF(O3,R3,"md") &amp;" Days")</f>
        <v>6 Years, 1 Months, 3 Days</v>
      </c>
      <c r="T3" s="31">
        <f t="shared" ref="T3:T66" ca="1" si="6">VALUE(LEFT(S3,FIND(" Years",S3)-1))*365.25
+ VALUE(MID(S3,FIND(", ",S3)+2,FIND(" Months",S3)-FIND(", ",S3)-2))*30.44
+ VALUE(MID(S3,FIND("Months, ",S3)+8,FIND(" Days",S3)-FIND("Months, ",S3)-8))</f>
        <v>2224.94</v>
      </c>
      <c r="U3" s="31" t="str" cm="1">
        <f t="array" ref="U3">_xlfn.IFS(OR(R3="Missing",R3="N/A",R3="Still Employed"),"Unknown",ISNUMBER(R3),"Exited",TRUE,"Unknown")</f>
        <v>Unknown</v>
      </c>
      <c r="V3" s="31" t="str">
        <f t="shared" ref="V3:V66" si="7">IF(U3="Exited",YEAR(R3),"")</f>
        <v/>
      </c>
      <c r="W3" s="14" t="str">
        <f t="shared" ref="W3:W66" si="8">IF(OR(R3="Missing",R3="N/A",R3="Still Employed"),"Active","Exited")</f>
        <v>Active</v>
      </c>
      <c r="X3" s="19" t="s">
        <v>59</v>
      </c>
      <c r="Y3" s="18" t="str">
        <f t="shared" ref="Y3:Y65" si="9">TRIM(X3)</f>
        <v>Rs. 89,883</v>
      </c>
      <c r="Z3" s="22" t="str" cm="1">
        <f t="array" ref="Z3">_xlfn.IFS(Y3="","0",LEFT(Y3,5)="",Y3,LEFT(Y3,1)="₹",REPLACE(Y3,1,1,""),LEFT(Y3,4)="Rs. ",REPLACE(Y3,1,4,""),TRUE,Y3)</f>
        <v>89,883</v>
      </c>
      <c r="AA3" s="22" t="str">
        <f t="shared" ref="AA3:AA65" si="10">SUBSTITUTE(Z3,",","")</f>
        <v>89883</v>
      </c>
      <c r="AB3" s="7"/>
      <c r="AC3" s="7" t="str">
        <f t="shared" ref="AC3:AC65" si="11">IF(AB3="","Not Rated",AB3)</f>
        <v>Not Rated</v>
      </c>
      <c r="AD3" s="7">
        <v>20</v>
      </c>
      <c r="AE3" cm="1">
        <f t="array" ref="AE3">_xlfn.IFS(AD3="",0,AD3&lt;0,"Negate Leave",AD3&gt;=0,AD3)</f>
        <v>20</v>
      </c>
      <c r="AG3" t="e">
        <f>AVERAGEIF(U2:U344,"Customer Support")</f>
        <v>#DIV/0!</v>
      </c>
      <c r="AI3" t="str">
        <v>Customer Support</v>
      </c>
      <c r="AJ3">
        <f>COUNTIFS($F:$F,"Customer Support")</f>
        <v>55</v>
      </c>
      <c r="AK3" t="str">
        <f>LEFT(X3,4)</f>
        <v xml:space="preserve">Rs. </v>
      </c>
    </row>
    <row r="4" spans="1:42" x14ac:dyDescent="0.3">
      <c r="A4" s="7">
        <v>5014</v>
      </c>
      <c r="B4" s="7" t="s">
        <v>60</v>
      </c>
      <c r="C4" s="7" t="str">
        <f t="shared" si="2"/>
        <v>Rajesh  Shah</v>
      </c>
      <c r="D4" s="7" t="str">
        <f t="shared" si="3"/>
        <v>Rajesh Shah</v>
      </c>
      <c r="E4" s="7" t="s">
        <v>61</v>
      </c>
      <c r="F4" s="7" t="s">
        <v>53</v>
      </c>
      <c r="G4" s="7" t="s">
        <v>54</v>
      </c>
      <c r="H4" s="7" t="str">
        <f>_xlfn.XLOOKUP(G4,Lookup_Tables!$A$4:$A$9,Lookup_Tables!$C$4:$C$9,"Not Found",0)</f>
        <v>Leela Iyer</v>
      </c>
      <c r="I4" s="7" t="s">
        <v>62</v>
      </c>
      <c r="J4" s="7" t="s">
        <v>63</v>
      </c>
      <c r="K4" s="7" t="str">
        <f t="shared" si="4"/>
        <v>rajesh.shah@company.com</v>
      </c>
      <c r="L4" s="7"/>
      <c r="M4" s="7" t="str">
        <f t="shared" si="0"/>
        <v/>
      </c>
      <c r="N4" s="7" t="str" cm="1">
        <f t="array" ref="N4">_xlfn.IFS(M4="","Incomplete",LEN(M4)&lt;10,"Invalid",AND(LEN(M4) =10,LEFT(M4,4) &lt;&gt;"+91-"),"+91-"&amp;M4,TRUE,M4)</f>
        <v>Incomplete</v>
      </c>
      <c r="O4" s="8" t="s">
        <v>64</v>
      </c>
      <c r="P4" s="14" t="s">
        <v>65</v>
      </c>
      <c r="Q4" s="14" t="str">
        <f t="shared" si="1"/>
        <v>2024-03-06</v>
      </c>
      <c r="R4" s="14" cm="1">
        <f t="array" ref="R4">_xlfn.IFS(OR(Q4="Missing",Q4="N/A",Q4="Still Employed"),Q4,ISNUMBER(SEARCH(",",Q4)),DATEVALUE(Q4),AND(ISNUMBER(SEARCH("-",Q4)),ISNUMBER(VALUE(LEFT(Q4,4)))),DATE(LEFT(Q4,4),MID(Q4,6,2),RIGHT(Q4,2)),ISNUMBER(SEARCH("-",Q4)),DATE(RIGHT(Q4,4),MID(Q4,4,2),LEFT(Q4,2)),ISNUMBER(SEARCH("/",Q4)),DATE(RIGHT(Q4,4),MID(Q4,4,2),LEFT(Q4,2)),TRUE,"Check Manually")</f>
        <v>45357</v>
      </c>
      <c r="S4" s="31" t="str">
        <f t="shared" ca="1" si="5"/>
        <v>4 Years, 10 Months, 27 Days</v>
      </c>
      <c r="T4" s="31">
        <f ca="1">VALUE(LEFT(S4,FIND(" Years",S4)-1))*365.25
+ VALUE(MID(S4,FIND(", ",S4)+2,FIND(" Months",S4)-FIND(", ",S4)-2))*30.44
+ VALUE(MID(S4,FIND("Months, ",S4)+8,FIND(" Days",S4)-FIND("Months, ",S4)-8))</f>
        <v>1792.4</v>
      </c>
      <c r="U4" s="31" t="str" cm="1">
        <f t="array" ref="U4">_xlfn.IFS(OR(R4="Missing",R4="N/A",R4="Still Employed"),"Unknown",ISNUMBER(R4),"Exited",TRUE,"Unknown")</f>
        <v>Exited</v>
      </c>
      <c r="V4" s="31">
        <f t="shared" si="7"/>
        <v>2024</v>
      </c>
      <c r="W4" s="14" t="str">
        <f t="shared" si="8"/>
        <v>Exited</v>
      </c>
      <c r="X4" s="19" t="s">
        <v>66</v>
      </c>
      <c r="Y4" s="18" t="str">
        <f t="shared" si="9"/>
        <v>Rs. 62,467</v>
      </c>
      <c r="Z4" s="22" t="str" cm="1">
        <f t="array" ref="Z4">_xlfn.IFS(Y4="","0",LEFT(Y4,5)="",Y4,LEFT(Y4,1)="₹",REPLACE(Y4,1,1,""),LEFT(Y4,4)="Rs. ",REPLACE(Y4,1,4,""),TRUE,Y4)</f>
        <v>62,467</v>
      </c>
      <c r="AA4" s="22" t="str">
        <f t="shared" si="10"/>
        <v>62467</v>
      </c>
      <c r="AB4" s="7" t="s">
        <v>95</v>
      </c>
      <c r="AC4" s="7" t="str">
        <f t="shared" si="11"/>
        <v>Average</v>
      </c>
      <c r="AD4" s="7">
        <v>19</v>
      </c>
      <c r="AE4" cm="1">
        <f t="array" ref="AE4">_xlfn.IFS(AD4="",0,AD4&lt;0,"Negate Leave",AD4&gt;=0,AD4)</f>
        <v>19</v>
      </c>
      <c r="AI4" t="str">
        <v>Finance</v>
      </c>
      <c r="AJ4">
        <f>COUNTIFS($F:$F,"Finance")</f>
        <v>57</v>
      </c>
      <c r="AK4">
        <f>LEN(X2)</f>
        <v>8</v>
      </c>
      <c r="AO4" s="15">
        <v>44935</v>
      </c>
      <c r="AP4">
        <f>MONTH(AO4)</f>
        <v>1</v>
      </c>
    </row>
    <row r="5" spans="1:42" x14ac:dyDescent="0.3">
      <c r="A5" s="7">
        <v>5260</v>
      </c>
      <c r="B5" s="7" t="s">
        <v>67</v>
      </c>
      <c r="C5" s="7" t="str">
        <f t="shared" si="2"/>
        <v>Varun  Shah</v>
      </c>
      <c r="D5" s="7" t="str">
        <f t="shared" si="3"/>
        <v>Varun Shah</v>
      </c>
      <c r="E5" s="7" t="s">
        <v>68</v>
      </c>
      <c r="F5" s="7" t="s">
        <v>133</v>
      </c>
      <c r="G5" s="7" t="s">
        <v>69</v>
      </c>
      <c r="H5" s="7" t="str">
        <f>_xlfn.XLOOKUP(G5,Lookup_Tables!$A$4:$A$9,Lookup_Tables!$C$4:$C$9,"Not Found",0)</f>
        <v>Vivek Malhotra</v>
      </c>
      <c r="I5" s="7" t="s">
        <v>70</v>
      </c>
      <c r="J5" s="7" t="s">
        <v>71</v>
      </c>
      <c r="K5" s="7" t="str">
        <f t="shared" si="4"/>
        <v>varun.shah@company.com</v>
      </c>
      <c r="L5" s="7" t="s">
        <v>72</v>
      </c>
      <c r="M5" s="7" t="str">
        <f t="shared" si="0"/>
        <v>72286286</v>
      </c>
      <c r="N5" s="7" t="str" cm="1">
        <f t="array" ref="N5">_xlfn.IFS(M5="","Incomplete",LEN(M5)&lt;10,"Invalid",AND(LEN(M5) =10,LEFT(M5,4) &lt;&gt;"+91-"),"+91-"&amp;M5,TRUE,M5)</f>
        <v>Invalid</v>
      </c>
      <c r="O5" s="8" t="s">
        <v>73</v>
      </c>
      <c r="P5" s="14" t="s">
        <v>74</v>
      </c>
      <c r="Q5" s="14" t="str">
        <f t="shared" si="1"/>
        <v>Jun 30, 2025</v>
      </c>
      <c r="R5" s="14" cm="1">
        <f t="array" ref="R5">_xlfn.IFS(OR(Q5="Missing",Q5="N/A",Q5="Still Employed"),Q5,ISNUMBER(SEARCH(",",Q5)),DATEVALUE(Q5),AND(ISNUMBER(SEARCH("-",Q5)),ISNUMBER(VALUE(LEFT(Q5,4)))),DATE(LEFT(Q5,4),MID(Q5,6,2),RIGHT(Q5,2)),ISNUMBER(SEARCH("-",Q5)),DATE(RIGHT(Q5,4),MID(Q5,4,2),LEFT(Q5,2)),ISNUMBER(SEARCH("/",Q5)),DATE(RIGHT(Q5,4),MID(Q5,4,2),LEFT(Q5,2)),TRUE,"Check Manually")</f>
        <v>45838</v>
      </c>
      <c r="S5" s="31" t="str">
        <f t="shared" ca="1" si="5"/>
        <v>1 Years, 10 Months, 26 Days</v>
      </c>
      <c r="T5" s="31">
        <f t="shared" ca="1" si="6"/>
        <v>695.65000000000009</v>
      </c>
      <c r="U5" s="31" t="str" cm="1">
        <f t="array" ref="U5">_xlfn.IFS(OR(R5="Missing",R5="N/A",R5="Still Employed"),"Unknown",ISNUMBER(R5),"Exited",TRUE,"Unknown")</f>
        <v>Exited</v>
      </c>
      <c r="V5" s="31">
        <f t="shared" si="7"/>
        <v>2025</v>
      </c>
      <c r="W5" s="14" t="str">
        <f t="shared" si="8"/>
        <v>Exited</v>
      </c>
      <c r="X5" s="19"/>
      <c r="Y5" s="18" t="str">
        <f t="shared" si="9"/>
        <v/>
      </c>
      <c r="Z5" s="22" t="str" cm="1">
        <f t="array" ref="Z5">_xlfn.IFS(Y5="","0",LEFT(Y5,5)="",Y5,LEFT(Y5,1)="₹",REPLACE(Y5,1,1,""),LEFT(Y5,4)="Rs. ",REPLACE(Y5,1,4,""),TRUE,Y5)</f>
        <v>0</v>
      </c>
      <c r="AA5" s="22" t="str">
        <f t="shared" si="10"/>
        <v>0</v>
      </c>
      <c r="AB5" s="7" t="s">
        <v>95</v>
      </c>
      <c r="AC5" s="7" t="str">
        <f t="shared" si="11"/>
        <v>Average</v>
      </c>
      <c r="AD5" s="7">
        <v>25</v>
      </c>
      <c r="AE5" cm="1">
        <f t="array" ref="AE5">_xlfn.IFS(AD5="",0,AD5&lt;0,"Negate Leave",AD5&gt;=0,AD5)</f>
        <v>25</v>
      </c>
      <c r="AG5" s="31" t="s">
        <v>2172</v>
      </c>
      <c r="AI5" t="str">
        <v>Marketing</v>
      </c>
      <c r="AJ5">
        <f>COUNTIFS($F:$F,"Marketing")</f>
        <v>50</v>
      </c>
    </row>
    <row r="6" spans="1:42" x14ac:dyDescent="0.3">
      <c r="A6" s="7">
        <v>5330</v>
      </c>
      <c r="B6" s="7" t="s">
        <v>75</v>
      </c>
      <c r="C6" s="7" t="str">
        <f t="shared" si="2"/>
        <v>amit naidu</v>
      </c>
      <c r="D6" s="7" t="str">
        <f t="shared" si="3"/>
        <v>Amit Naidu</v>
      </c>
      <c r="E6" s="7" t="s">
        <v>68</v>
      </c>
      <c r="F6" s="7" t="s">
        <v>151</v>
      </c>
      <c r="G6" s="7" t="s">
        <v>76</v>
      </c>
      <c r="H6" s="7" t="str">
        <f>_xlfn.XLOOKUP(G6,Lookup_Tables!$A$4:$A$9,Lookup_Tables!$C$4:$C$9,"Not Found",0)</f>
        <v>Ananya Sen</v>
      </c>
      <c r="I6" s="7" t="s">
        <v>77</v>
      </c>
      <c r="J6" s="7" t="s">
        <v>78</v>
      </c>
      <c r="K6" s="7" t="str">
        <f t="shared" si="4"/>
        <v>amitnaidu@company.com</v>
      </c>
      <c r="L6" s="7" t="s">
        <v>79</v>
      </c>
      <c r="M6" s="7" t="str">
        <f t="shared" si="0"/>
        <v>95044801</v>
      </c>
      <c r="N6" s="7" t="str" cm="1">
        <f t="array" ref="N6">_xlfn.IFS(M6="","Incomplete",LEN(M6)&lt;10,"Invalid",AND(LEN(M6) =10,LEFT(M6,4) &lt;&gt;"+91-"),"+91-"&amp;M6,TRUE,M6)</f>
        <v>Invalid</v>
      </c>
      <c r="O6" s="8" t="s">
        <v>80</v>
      </c>
      <c r="P6" s="14" t="s">
        <v>81</v>
      </c>
      <c r="Q6" s="14" t="str">
        <f t="shared" si="1"/>
        <v>30/04/2025</v>
      </c>
      <c r="R6" s="14" cm="1">
        <f t="array" ref="R6">_xlfn.IFS(OR(Q6="Missing",Q6="N/A",Q6="Still Employed"),Q6,ISNUMBER(SEARCH(",",Q6)),DATEVALUE(Q6),AND(ISNUMBER(SEARCH("-",Q6)),ISNUMBER(VALUE(LEFT(Q6,4)))),DATE(LEFT(Q6,4),MID(Q6,6,2),RIGHT(Q6,2)),ISNUMBER(SEARCH("-",Q6)),DATE(RIGHT(Q6,4),MID(Q6,4,2),LEFT(Q6,2)),ISNUMBER(SEARCH("/",Q6)),DATE(RIGHT(Q6,4),MID(Q6,4,2),LEFT(Q6,2)),TRUE,"Check Manually")</f>
        <v>45777</v>
      </c>
      <c r="S6" s="31" t="str">
        <f t="shared" ca="1" si="5"/>
        <v>4 Years, 5 Months, 1 Days</v>
      </c>
      <c r="T6" s="31">
        <f t="shared" ca="1" si="6"/>
        <v>1614.2</v>
      </c>
      <c r="U6" s="31" t="str" cm="1">
        <f t="array" ref="U6">_xlfn.IFS(OR(R6="Missing",R6="N/A",R6="Still Employed"),"Unknown",ISNUMBER(R6),"Exited",TRUE,"Unknown")</f>
        <v>Exited</v>
      </c>
      <c r="V6" s="31">
        <f t="shared" si="7"/>
        <v>2025</v>
      </c>
      <c r="W6" s="14" t="str">
        <f t="shared" si="8"/>
        <v>Exited</v>
      </c>
      <c r="X6" s="19" t="s">
        <v>82</v>
      </c>
      <c r="Y6" s="18" t="str">
        <f t="shared" si="9"/>
        <v>Rs. 162,965</v>
      </c>
      <c r="Z6" s="22" t="str" cm="1">
        <f t="array" ref="Z6">_xlfn.IFS(Y6="","0",LEFT(Y6,5)="",Y6,LEFT(Y6,1)="₹",REPLACE(Y6,1,1,""),LEFT(Y6,4)="Rs. ",REPLACE(Y6,1,4,""),TRUE,Y6)</f>
        <v>162,965</v>
      </c>
      <c r="AA6" s="22" t="str">
        <f t="shared" si="10"/>
        <v>162965</v>
      </c>
      <c r="AB6" s="7" t="s">
        <v>51</v>
      </c>
      <c r="AC6" s="7" t="str">
        <f t="shared" si="11"/>
        <v>Excellent</v>
      </c>
      <c r="AD6" s="7">
        <v>16</v>
      </c>
      <c r="AE6" cm="1">
        <f t="array" ref="AE6">_xlfn.IFS(AD6="",0,AD6&lt;0,"Negate Leave",AD6&gt;=0,AD6)</f>
        <v>16</v>
      </c>
      <c r="AG6" s="24"/>
      <c r="AI6" t="str">
        <v>Engineering</v>
      </c>
      <c r="AJ6">
        <f>COUNTIFS($F:$F,"Engineering")</f>
        <v>62</v>
      </c>
      <c r="AK6" s="16" t="s">
        <v>59</v>
      </c>
      <c r="AL6" t="str">
        <f>IF(LEFT(AK6,4)=AK3,REPLACE(AK6,1,4,"INR"),"As it is")</f>
        <v>INR89,883</v>
      </c>
      <c r="AO6" s="15">
        <v>44531</v>
      </c>
      <c r="AP6">
        <f>MONTH(AO6)</f>
        <v>12</v>
      </c>
    </row>
    <row r="7" spans="1:42" x14ac:dyDescent="0.3">
      <c r="A7" s="7">
        <v>5350</v>
      </c>
      <c r="B7" s="7" t="s">
        <v>83</v>
      </c>
      <c r="C7" s="7" t="str">
        <f t="shared" si="2"/>
        <v>Arjun  Mehta</v>
      </c>
      <c r="D7" s="7" t="str">
        <f t="shared" si="3"/>
        <v>Arjun Mehta</v>
      </c>
      <c r="E7" s="7" t="s">
        <v>84</v>
      </c>
      <c r="F7" s="7" t="s">
        <v>53</v>
      </c>
      <c r="G7" s="7" t="s">
        <v>54</v>
      </c>
      <c r="H7" s="7" t="str">
        <f>_xlfn.XLOOKUP(G7,Lookup_Tables!$A$4:$A$9,Lookup_Tables!$C$4:$C$9,"Not Found",0)</f>
        <v>Leela Iyer</v>
      </c>
      <c r="I7" s="7" t="s">
        <v>85</v>
      </c>
      <c r="J7" s="7" t="s">
        <v>86</v>
      </c>
      <c r="K7" s="7" t="str">
        <f t="shared" si="4"/>
        <v>arjun.mehta@company.com</v>
      </c>
      <c r="L7" s="7" t="s">
        <v>87</v>
      </c>
      <c r="M7" s="7" t="str">
        <f t="shared" si="0"/>
        <v>28953756</v>
      </c>
      <c r="N7" s="7" t="str" cm="1">
        <f t="array" ref="N7">_xlfn.IFS(M7="","Incomplete",LEN(M7)&lt;10,"Invalid",AND(LEN(M7) =10,LEFT(M7,4) &lt;&gt;"+91-"),"+91-"&amp;M7,TRUE,M7)</f>
        <v>Invalid</v>
      </c>
      <c r="O7" s="8" t="s">
        <v>88</v>
      </c>
      <c r="P7" s="14"/>
      <c r="Q7" s="14" t="str">
        <f t="shared" si="1"/>
        <v>Missing</v>
      </c>
      <c r="R7" s="14" t="str" cm="1">
        <f t="array" ref="R7">_xlfn.IFS(OR(Q7="Missing",Q7="N/A",Q7="Still Employed"),Q7,ISNUMBER(SEARCH(",",Q7)),DATEVALUE(Q7),AND(ISNUMBER(SEARCH("-",Q7)),ISNUMBER(VALUE(LEFT(Q7,4)))),DATE(LEFT(Q7,4),MID(Q7,6,2),RIGHT(Q7,2)),ISNUMBER(SEARCH("-",Q7)),DATE(RIGHT(Q7,4),MID(Q7,4,2),LEFT(Q7,2)),ISNUMBER(SEARCH("/",Q7)),DATE(RIGHT(Q7,4),MID(Q7,4,2),LEFT(Q7,2)),TRUE,"Check Manually")</f>
        <v>Missing</v>
      </c>
      <c r="S7" s="31" t="str">
        <f t="shared" ca="1" si="5"/>
        <v>3 Years, 10 Months, 4 Days</v>
      </c>
      <c r="T7" s="31">
        <f t="shared" ca="1" si="6"/>
        <v>1404.15</v>
      </c>
      <c r="U7" s="31" t="str" cm="1">
        <f t="array" ref="U7">_xlfn.IFS(OR(R7="Missing",R7="N/A",R7="Still Employed"),"Unknown",ISNUMBER(R7),"Exited",TRUE,"Unknown")</f>
        <v>Unknown</v>
      </c>
      <c r="V7" s="31" t="str">
        <f t="shared" si="7"/>
        <v/>
      </c>
      <c r="W7" s="14" t="str">
        <f t="shared" si="8"/>
        <v>Active</v>
      </c>
      <c r="X7" s="19">
        <v>173211</v>
      </c>
      <c r="Y7" s="18" t="str">
        <f t="shared" si="9"/>
        <v>173211</v>
      </c>
      <c r="Z7" s="22" t="str" cm="1">
        <f t="array" ref="Z7">_xlfn.IFS(Y7="","0",LEFT(Y7,5)="",Y7,LEFT(Y7,1)="₹",REPLACE(Y7,1,1,""),LEFT(Y7,4)="Rs. ",REPLACE(Y7,1,4,""),TRUE,Y7)</f>
        <v>173211</v>
      </c>
      <c r="AA7" s="22" t="str">
        <f t="shared" si="10"/>
        <v>173211</v>
      </c>
      <c r="AB7" s="7" t="s">
        <v>89</v>
      </c>
      <c r="AC7" s="7" t="str">
        <f t="shared" si="11"/>
        <v>Below Average</v>
      </c>
      <c r="AD7" s="7">
        <v>18</v>
      </c>
      <c r="AE7" cm="1">
        <f t="array" ref="AE7">_xlfn.IFS(AD7="",0,AD7&lt;0,"Negate Leave",AD7&gt;=0,AD7)</f>
        <v>18</v>
      </c>
      <c r="AI7" t="str">
        <v>Sales</v>
      </c>
      <c r="AJ7">
        <f>COUNTIFS($F:$F,"Sales")</f>
        <v>65</v>
      </c>
    </row>
    <row r="8" spans="1:42" x14ac:dyDescent="0.3">
      <c r="A8" s="7">
        <v>5130</v>
      </c>
      <c r="B8" s="7" t="s">
        <v>90</v>
      </c>
      <c r="C8" s="7" t="str">
        <f t="shared" si="2"/>
        <v>Priya Kapoor</v>
      </c>
      <c r="D8" s="7" t="str">
        <f t="shared" si="3"/>
        <v>Priya Kapoor</v>
      </c>
      <c r="E8" s="7" t="s">
        <v>68</v>
      </c>
      <c r="F8" s="7" t="s">
        <v>122</v>
      </c>
      <c r="G8" s="7" t="s">
        <v>91</v>
      </c>
      <c r="H8" s="7" t="str">
        <f>_xlfn.XLOOKUP(G8,Lookup_Tables!$A$4:$A$9,Lookup_Tables!$C$4:$C$9,"Not Found",0)</f>
        <v>Rajiv Kapoor</v>
      </c>
      <c r="I8" s="7" t="s">
        <v>62</v>
      </c>
      <c r="J8" s="7" t="s">
        <v>92</v>
      </c>
      <c r="K8" s="7" t="str">
        <f t="shared" si="4"/>
        <v>priya.kapoor@company.com</v>
      </c>
      <c r="L8" s="7" t="s">
        <v>93</v>
      </c>
      <c r="M8" s="7" t="str">
        <f t="shared" si="0"/>
        <v>4762020274</v>
      </c>
      <c r="N8" s="7" t="str" cm="1">
        <f t="array" ref="N8">_xlfn.IFS(M8="","Incomplete",LEN(M8)&lt;10,"Invalid",AND(LEN(M8) =10,LEFT(M8,4) &lt;&gt;"+91-"),"+91-"&amp;M8,TRUE,M8)</f>
        <v>+91-4762020274</v>
      </c>
      <c r="O8" s="8" t="s">
        <v>94</v>
      </c>
      <c r="P8" s="14"/>
      <c r="Q8" s="14" t="str">
        <f t="shared" si="1"/>
        <v>Missing</v>
      </c>
      <c r="R8" s="14" t="str" cm="1">
        <f t="array" ref="R8">_xlfn.IFS(OR(Q8="Missing",Q8="N/A",Q8="Still Employed"),Q8,ISNUMBER(SEARCH(",",Q8)),DATEVALUE(Q8),AND(ISNUMBER(SEARCH("-",Q8)),ISNUMBER(VALUE(LEFT(Q8,4)))),DATE(LEFT(Q8,4),MID(Q8,6,2),RIGHT(Q8,2)),ISNUMBER(SEARCH("-",Q8)),DATE(RIGHT(Q8,4),MID(Q8,4,2),LEFT(Q8,2)),ISNUMBER(SEARCH("/",Q8)),DATE(RIGHT(Q8,4),MID(Q8,4,2),LEFT(Q8,2)),TRUE,"Check Manually")</f>
        <v>Missing</v>
      </c>
      <c r="S8" s="31" t="str">
        <f t="shared" ca="1" si="5"/>
        <v>6 Years, 2 Months, 24 Days</v>
      </c>
      <c r="T8" s="31">
        <f t="shared" ca="1" si="6"/>
        <v>2276.38</v>
      </c>
      <c r="U8" s="31" t="str" cm="1">
        <f t="array" ref="U8">_xlfn.IFS(OR(R8="Missing",R8="N/A",R8="Still Employed"),"Unknown",ISNUMBER(R8),"Exited",TRUE,"Unknown")</f>
        <v>Unknown</v>
      </c>
      <c r="V8" s="31" t="str">
        <f t="shared" si="7"/>
        <v/>
      </c>
      <c r="W8" s="14" t="str">
        <f t="shared" si="8"/>
        <v>Active</v>
      </c>
      <c r="X8" s="19">
        <v>87855</v>
      </c>
      <c r="Y8" s="18" t="str">
        <f t="shared" si="9"/>
        <v>87855</v>
      </c>
      <c r="Z8" s="22" t="str" cm="1">
        <f t="array" ref="Z8">_xlfn.IFS(Y8="","0",LEFT(Y8,5)="",Y8,LEFT(Y8,1)="₹",REPLACE(Y8,1,1,""),LEFT(Y8,4)="Rs. ",REPLACE(Y8,1,4,""),TRUE,Y8)</f>
        <v>87855</v>
      </c>
      <c r="AA8" s="22" t="str">
        <f t="shared" si="10"/>
        <v>87855</v>
      </c>
      <c r="AB8" s="7" t="s">
        <v>95</v>
      </c>
      <c r="AC8" s="7" t="str">
        <f t="shared" si="11"/>
        <v>Average</v>
      </c>
      <c r="AD8" s="7">
        <v>20</v>
      </c>
      <c r="AE8" cm="1">
        <f t="array" ref="AE8">_xlfn.IFS(AD8="",0,AD8&lt;0,"Negate Leave",AD8&gt;=0,AD8)</f>
        <v>20</v>
      </c>
      <c r="AI8" t="str">
        <v>HR</v>
      </c>
      <c r="AJ8">
        <f>COUNTIFS($F:$F,"HR")</f>
        <v>54</v>
      </c>
      <c r="AO8" t="str">
        <f>IF(ISNUMBER(SEARCH("-",AO4)),,"NF")</f>
        <v>NF</v>
      </c>
    </row>
    <row r="9" spans="1:42" x14ac:dyDescent="0.3">
      <c r="A9" s="7">
        <v>5283</v>
      </c>
      <c r="B9" s="7" t="s">
        <v>96</v>
      </c>
      <c r="C9" s="7" t="str">
        <f t="shared" si="2"/>
        <v>Meenal Pillai</v>
      </c>
      <c r="D9" s="7" t="str">
        <f t="shared" si="3"/>
        <v>Meenal Pillai</v>
      </c>
      <c r="E9" s="7" t="s">
        <v>68</v>
      </c>
      <c r="F9" s="7" t="s">
        <v>151</v>
      </c>
      <c r="G9" s="7" t="s">
        <v>76</v>
      </c>
      <c r="H9" s="7" t="str">
        <f>_xlfn.XLOOKUP(G9,Lookup_Tables!$A$4:$A$9,Lookup_Tables!$C$4:$C$9,"Not Found",0)</f>
        <v>Ananya Sen</v>
      </c>
      <c r="I9" s="7" t="s">
        <v>70</v>
      </c>
      <c r="J9" s="7" t="s">
        <v>97</v>
      </c>
      <c r="K9" s="7" t="str">
        <f t="shared" si="4"/>
        <v>meenal.pillai@company.com</v>
      </c>
      <c r="L9" s="7" t="s">
        <v>98</v>
      </c>
      <c r="M9" s="7" t="str">
        <f t="shared" si="0"/>
        <v>4819825539</v>
      </c>
      <c r="N9" s="7" t="str" cm="1">
        <f t="array" ref="N9">_xlfn.IFS(M9="","Incomplete",LEN(M9)&lt;10,"Invalid",AND(LEN(M9) =10,LEFT(M9,4) &lt;&gt;"+91-"),"+91-"&amp;M9,TRUE,M9)</f>
        <v>+91-4819825539</v>
      </c>
      <c r="O9" s="8" t="s">
        <v>99</v>
      </c>
      <c r="P9" s="14" t="s">
        <v>74</v>
      </c>
      <c r="Q9" s="14" t="str">
        <f t="shared" si="1"/>
        <v>Jun 30, 2025</v>
      </c>
      <c r="R9" s="14" cm="1">
        <f t="array" ref="R9">_xlfn.IFS(OR(Q9="Missing",Q9="N/A",Q9="Still Employed"),Q9,ISNUMBER(SEARCH(",",Q9)),DATEVALUE(Q9),AND(ISNUMBER(SEARCH("-",Q9)),ISNUMBER(VALUE(LEFT(Q9,4)))),DATE(LEFT(Q9,4),MID(Q9,6,2),RIGHT(Q9,2)),ISNUMBER(SEARCH("-",Q9)),DATE(RIGHT(Q9,4),MID(Q9,4,2),LEFT(Q9,2)),ISNUMBER(SEARCH("/",Q9)),DATE(RIGHT(Q9,4),MID(Q9,4,2),LEFT(Q9,2)),TRUE,"Check Manually")</f>
        <v>45838</v>
      </c>
      <c r="S9" s="31" t="str">
        <f t="shared" ca="1" si="5"/>
        <v>2 Years, 2 Months, 10 Days</v>
      </c>
      <c r="T9" s="31">
        <f t="shared" ca="1" si="6"/>
        <v>801.38</v>
      </c>
      <c r="U9" s="31" t="str" cm="1">
        <f t="array" ref="U9">_xlfn.IFS(OR(R9="Missing",R9="N/A",R9="Still Employed"),"Unknown",ISNUMBER(R9),"Exited",TRUE,"Unknown")</f>
        <v>Exited</v>
      </c>
      <c r="V9" s="31">
        <f t="shared" si="7"/>
        <v>2025</v>
      </c>
      <c r="W9" s="14" t="str">
        <f t="shared" si="8"/>
        <v>Exited</v>
      </c>
      <c r="X9" s="19">
        <v>70870</v>
      </c>
      <c r="Y9" s="18" t="str">
        <f t="shared" si="9"/>
        <v>70870</v>
      </c>
      <c r="Z9" s="22" t="str" cm="1">
        <f t="array" ref="Z9">_xlfn.IFS(Y9="","0",LEFT(Y9,5)="",Y9,LEFT(Y9,1)="₹",REPLACE(Y9,1,1,""),LEFT(Y9,4)="Rs. ",REPLACE(Y9,1,4,""),TRUE,Y9)</f>
        <v>70870</v>
      </c>
      <c r="AA9" s="22" t="str">
        <f t="shared" si="10"/>
        <v>70870</v>
      </c>
      <c r="AB9" s="7" t="s">
        <v>89</v>
      </c>
      <c r="AC9" s="7" t="str">
        <f t="shared" si="11"/>
        <v>Below Average</v>
      </c>
      <c r="AD9" s="7">
        <v>23</v>
      </c>
      <c r="AE9" cm="1">
        <f t="array" ref="AE9">_xlfn.IFS(AD9="",0,AD9&lt;0,"Negate Leave",AD9&gt;=0,AD9)</f>
        <v>23</v>
      </c>
      <c r="AI9">
        <v>0</v>
      </c>
      <c r="AJ9">
        <f>COUNTIFS($F:$F,"No Dept")</f>
        <v>0</v>
      </c>
      <c r="AK9" t="str">
        <f>IF(LEFT(AK6,4)=AK3,REPLACE(AK6,1,4,"INR"),"As it is")</f>
        <v>INR89,883</v>
      </c>
      <c r="AL9" t="str">
        <f>SUBSTITUTE(AK9,",","")</f>
        <v>INR89883</v>
      </c>
    </row>
    <row r="10" spans="1:42" x14ac:dyDescent="0.3">
      <c r="A10" s="7">
        <v>5179</v>
      </c>
      <c r="B10" s="7" t="s">
        <v>100</v>
      </c>
      <c r="C10" s="7" t="str">
        <f t="shared" si="2"/>
        <v>Yash  Desai</v>
      </c>
      <c r="D10" s="7" t="str">
        <f t="shared" si="3"/>
        <v>Yash Desai</v>
      </c>
      <c r="E10" s="7" t="s">
        <v>68</v>
      </c>
      <c r="F10" s="7" t="s">
        <v>133</v>
      </c>
      <c r="G10" s="7" t="s">
        <v>69</v>
      </c>
      <c r="H10" s="7" t="str">
        <f>_xlfn.XLOOKUP(G10,Lookup_Tables!$A$4:$A$9,Lookup_Tables!$C$4:$C$9,"Not Found",0)</f>
        <v>Vivek Malhotra</v>
      </c>
      <c r="I10" s="7" t="s">
        <v>55</v>
      </c>
      <c r="J10" s="7" t="s">
        <v>101</v>
      </c>
      <c r="K10" s="7" t="str">
        <f t="shared" si="4"/>
        <v>yash.desai@company.com</v>
      </c>
      <c r="L10" s="7" t="s">
        <v>102</v>
      </c>
      <c r="M10" s="7" t="str">
        <f t="shared" si="0"/>
        <v>+91-4763237185</v>
      </c>
      <c r="N10" s="7" t="str" cm="1">
        <f t="array" ref="N10">_xlfn.IFS(M10="","Incomplete",LEN(M10)&lt;10,"Invalid",AND(LEN(M10) =10,LEFT(M10,4) &lt;&gt;"+91-"),"+91-"&amp;M10,TRUE,M10)</f>
        <v>+91-4763237185</v>
      </c>
      <c r="O10" s="8" t="s">
        <v>103</v>
      </c>
      <c r="P10" s="14"/>
      <c r="Q10" s="14" t="str">
        <f t="shared" si="1"/>
        <v>Missing</v>
      </c>
      <c r="R10" s="14" t="str" cm="1">
        <f t="array" ref="R10">_xlfn.IFS(OR(Q10="Missing",Q10="N/A",Q10="Still Employed"),Q10,ISNUMBER(SEARCH(",",Q10)),DATEVALUE(Q10),AND(ISNUMBER(SEARCH("-",Q10)),ISNUMBER(VALUE(LEFT(Q10,4)))),DATE(LEFT(Q10,4),MID(Q10,6,2),RIGHT(Q10,2)),ISNUMBER(SEARCH("-",Q10)),DATE(RIGHT(Q10,4),MID(Q10,4,2),LEFT(Q10,2)),ISNUMBER(SEARCH("/",Q10)),DATE(RIGHT(Q10,4),MID(Q10,4,2),LEFT(Q10,2)),TRUE,"Check Manually")</f>
        <v>Missing</v>
      </c>
      <c r="S10" s="31" t="str">
        <f t="shared" ca="1" si="5"/>
        <v>2 Years, 4 Months, 11 Days</v>
      </c>
      <c r="T10" s="31">
        <f t="shared" ca="1" si="6"/>
        <v>863.26</v>
      </c>
      <c r="U10" s="31" t="str" cm="1">
        <f t="array" ref="U10">_xlfn.IFS(OR(R10="Missing",R10="N/A",R10="Still Employed"),"Unknown",ISNUMBER(R10),"Exited",TRUE,"Unknown")</f>
        <v>Unknown</v>
      </c>
      <c r="V10" s="31" t="str">
        <f t="shared" si="7"/>
        <v/>
      </c>
      <c r="W10" s="14" t="str">
        <f t="shared" si="8"/>
        <v>Active</v>
      </c>
      <c r="X10" s="19">
        <v>136375</v>
      </c>
      <c r="Y10" s="18" t="str">
        <f t="shared" si="9"/>
        <v>136375</v>
      </c>
      <c r="Z10" s="22" t="str" cm="1">
        <f t="array" ref="Z10">_xlfn.IFS(Y10="","0",LEFT(Y10,5)="",Y10,LEFT(Y10,1)="₹",REPLACE(Y10,1,1,""),LEFT(Y10,4)="Rs. ",REPLACE(Y10,1,4,""),TRUE,Y10)</f>
        <v>136375</v>
      </c>
      <c r="AA10" s="22" t="str">
        <f t="shared" si="10"/>
        <v>136375</v>
      </c>
      <c r="AB10" s="7"/>
      <c r="AC10" s="7" t="str">
        <f t="shared" si="11"/>
        <v>Not Rated</v>
      </c>
      <c r="AD10" s="7">
        <v>23</v>
      </c>
      <c r="AE10" cm="1">
        <f t="array" ref="AE10">_xlfn.IFS(AD10="",0,AD10&lt;0,"Negate Leave",AD10&gt;=0,AD10)</f>
        <v>23</v>
      </c>
    </row>
    <row r="11" spans="1:42" x14ac:dyDescent="0.3">
      <c r="A11" s="7">
        <v>5047</v>
      </c>
      <c r="B11" s="7" t="s">
        <v>104</v>
      </c>
      <c r="C11" s="7" t="str">
        <f t="shared" si="2"/>
        <v>Rohan Kapoor</v>
      </c>
      <c r="D11" s="7" t="str">
        <f t="shared" si="3"/>
        <v>Rohan Kapoor</v>
      </c>
      <c r="E11" s="7" t="s">
        <v>61</v>
      </c>
      <c r="F11" s="7" t="s">
        <v>53</v>
      </c>
      <c r="G11" s="7" t="s">
        <v>54</v>
      </c>
      <c r="H11" s="7" t="str">
        <f>_xlfn.XLOOKUP(G11,Lookup_Tables!$A$4:$A$9,Lookup_Tables!$C$4:$C$9,"Not Found",0)</f>
        <v>Leela Iyer</v>
      </c>
      <c r="I11" s="7" t="s">
        <v>55</v>
      </c>
      <c r="J11" s="7" t="s">
        <v>105</v>
      </c>
      <c r="K11" s="7" t="str">
        <f t="shared" si="4"/>
        <v>rohankapoor@company.com</v>
      </c>
      <c r="L11" s="7" t="s">
        <v>106</v>
      </c>
      <c r="M11" s="7" t="str">
        <f t="shared" si="0"/>
        <v>4301540486</v>
      </c>
      <c r="N11" s="7" t="str" cm="1">
        <f t="array" ref="N11">_xlfn.IFS(M11="","Incomplete",LEN(M11)&lt;10,"Invalid",AND(LEN(M11) =10,LEFT(M11,4) &lt;&gt;"+91-"),"+91-"&amp;M11,TRUE,M11)</f>
        <v>+91-4301540486</v>
      </c>
      <c r="O11" s="8" t="s">
        <v>107</v>
      </c>
      <c r="P11" s="14" t="s">
        <v>108</v>
      </c>
      <c r="Q11" s="14" t="str">
        <f t="shared" si="1"/>
        <v>30/06/2025</v>
      </c>
      <c r="R11" s="14" cm="1">
        <f t="array" ref="R11">_xlfn.IFS(OR(Q11="Missing",Q11="N/A",Q11="Still Employed"),Q11,ISNUMBER(SEARCH(",",Q11)),DATEVALUE(Q11),AND(ISNUMBER(SEARCH("-",Q11)),ISNUMBER(VALUE(LEFT(Q11,4)))),DATE(LEFT(Q11,4),MID(Q11,6,2),RIGHT(Q11,2)),ISNUMBER(SEARCH("-",Q11)),DATE(RIGHT(Q11,4),MID(Q11,4,2),LEFT(Q11,2)),ISNUMBER(SEARCH("/",Q11)),DATE(RIGHT(Q11,4),MID(Q11,4,2),LEFT(Q11,2)),TRUE,"Check Manually")</f>
        <v>45838</v>
      </c>
      <c r="S11" s="31" t="str">
        <f t="shared" ca="1" si="5"/>
        <v>3 Years, 3 Months, 13 Days</v>
      </c>
      <c r="T11" s="31">
        <f t="shared" ca="1" si="6"/>
        <v>1200.07</v>
      </c>
      <c r="U11" s="31" t="str" cm="1">
        <f t="array" ref="U11">_xlfn.IFS(OR(R11="Missing",R11="N/A",R11="Still Employed"),"Unknown",ISNUMBER(R11),"Exited",TRUE,"Unknown")</f>
        <v>Exited</v>
      </c>
      <c r="V11" s="31">
        <f t="shared" si="7"/>
        <v>2025</v>
      </c>
      <c r="W11" s="14" t="str">
        <f t="shared" si="8"/>
        <v>Exited</v>
      </c>
      <c r="X11" s="19">
        <v>56096</v>
      </c>
      <c r="Y11" s="18" t="str">
        <f t="shared" si="9"/>
        <v>56096</v>
      </c>
      <c r="Z11" s="22" t="str" cm="1">
        <f t="array" ref="Z11">_xlfn.IFS(Y11="","0",LEFT(Y11,5)="",Y11,LEFT(Y11,1)="₹",REPLACE(Y11,1,1,""),LEFT(Y11,4)="Rs. ",REPLACE(Y11,1,4,""),TRUE,Y11)</f>
        <v>56096</v>
      </c>
      <c r="AA11" s="22" t="str">
        <f t="shared" si="10"/>
        <v>56096</v>
      </c>
      <c r="AB11" s="7" t="s">
        <v>95</v>
      </c>
      <c r="AC11" s="7" t="str">
        <f t="shared" si="11"/>
        <v>Average</v>
      </c>
      <c r="AD11" s="7">
        <v>25</v>
      </c>
      <c r="AE11" cm="1">
        <f t="array" ref="AE11">_xlfn.IFS(AD11="",0,AD11&lt;0,"Negate Leave",AD11&gt;=0,AD11)</f>
        <v>25</v>
      </c>
      <c r="AK11" t="s">
        <v>1465</v>
      </c>
      <c r="AL11">
        <f>LEN(AK11)</f>
        <v>5</v>
      </c>
    </row>
    <row r="12" spans="1:42" x14ac:dyDescent="0.3">
      <c r="A12" s="7">
        <v>5316</v>
      </c>
      <c r="B12" s="7" t="s">
        <v>109</v>
      </c>
      <c r="C12" s="7" t="str">
        <f t="shared" si="2"/>
        <v>Yash Verma</v>
      </c>
      <c r="D12" s="7" t="str">
        <f t="shared" si="3"/>
        <v>Yash Verma</v>
      </c>
      <c r="E12" s="7" t="s">
        <v>61</v>
      </c>
      <c r="F12" s="7" t="s">
        <v>53</v>
      </c>
      <c r="G12" s="7" t="s">
        <v>54</v>
      </c>
      <c r="H12" s="7" t="str">
        <f>_xlfn.XLOOKUP(G12,Lookup_Tables!$A$4:$A$9,Lookup_Tables!$C$4:$C$9,"Not Found",0)</f>
        <v>Leela Iyer</v>
      </c>
      <c r="I12" s="7" t="s">
        <v>110</v>
      </c>
      <c r="J12" s="7" t="s">
        <v>111</v>
      </c>
      <c r="K12" s="7" t="str">
        <f t="shared" si="4"/>
        <v>yash.verma@company.com</v>
      </c>
      <c r="L12" s="7" t="s">
        <v>112</v>
      </c>
      <c r="M12" s="7" t="str">
        <f t="shared" si="0"/>
        <v>6358814765</v>
      </c>
      <c r="N12" s="7" t="str" cm="1">
        <f t="array" ref="N12">_xlfn.IFS(M12="","Incomplete",LEN(M12)&lt;10,"Invalid",AND(LEN(M12) =10,LEFT(M12,4) &lt;&gt;"+91-"),"+91-"&amp;M12,TRUE,M12)</f>
        <v>+91-6358814765</v>
      </c>
      <c r="O12" s="8" t="s">
        <v>113</v>
      </c>
      <c r="P12" s="14" t="s">
        <v>114</v>
      </c>
      <c r="Q12" s="14" t="str">
        <f t="shared" si="1"/>
        <v>Still Employed</v>
      </c>
      <c r="R12" s="14" t="str" cm="1">
        <f t="array" ref="R12">_xlfn.IFS(OR(Q12="Missing",Q12="N/A",Q12="Still Employed"),Q12,ISNUMBER(SEARCH(",",Q12)),DATEVALUE(Q12),AND(ISNUMBER(SEARCH("-",Q12)),ISNUMBER(VALUE(LEFT(Q12,4)))),DATE(LEFT(Q12,4),MID(Q12,6,2),RIGHT(Q12,2)),ISNUMBER(SEARCH("-",Q12)),DATE(RIGHT(Q12,4),MID(Q12,4,2),LEFT(Q12,2)),ISNUMBER(SEARCH("/",Q12)),DATE(RIGHT(Q12,4),MID(Q12,4,2),LEFT(Q12,2)),TRUE,"Check Manually")</f>
        <v>Still Employed</v>
      </c>
      <c r="S12" s="31" t="str">
        <f t="shared" ca="1" si="5"/>
        <v>4 Years, 7 Months, 28 Days</v>
      </c>
      <c r="T12" s="31">
        <f t="shared" ca="1" si="6"/>
        <v>1702.08</v>
      </c>
      <c r="U12" s="31" t="str" cm="1">
        <f t="array" ref="U12">_xlfn.IFS(OR(R12="Missing",R12="N/A",R12="Still Employed"),"Unknown",ISNUMBER(R12),"Exited",TRUE,"Unknown")</f>
        <v>Unknown</v>
      </c>
      <c r="V12" s="31" t="str">
        <f t="shared" si="7"/>
        <v/>
      </c>
      <c r="W12" s="14" t="str">
        <f t="shared" si="8"/>
        <v>Active</v>
      </c>
      <c r="X12" s="19" t="s">
        <v>115</v>
      </c>
      <c r="Y12" s="18" t="str">
        <f t="shared" si="9"/>
        <v>₹130,511</v>
      </c>
      <c r="Z12" s="22" t="str" cm="1">
        <f t="array" ref="Z12">_xlfn.IFS(Y12="","0",LEFT(Y12,5)="",Y12,LEFT(Y12,1)="₹",REPLACE(Y12,1,1,""),LEFT(Y12,4)="Rs. ",REPLACE(Y12,1,4,""),TRUE,Y12)</f>
        <v>130,511</v>
      </c>
      <c r="AA12" s="22" t="str">
        <f t="shared" si="10"/>
        <v>130511</v>
      </c>
      <c r="AB12" s="7" t="s">
        <v>144</v>
      </c>
      <c r="AC12" s="7" t="str">
        <f t="shared" si="11"/>
        <v>Poor</v>
      </c>
      <c r="AD12" s="7">
        <v>16</v>
      </c>
      <c r="AE12" cm="1">
        <f t="array" ref="AE12">_xlfn.IFS(AD12="",0,AD12&lt;0,"Negate Leave",AD12&gt;=0,AD12)</f>
        <v>16</v>
      </c>
      <c r="AK12" s="19">
        <v>173211</v>
      </c>
    </row>
    <row r="13" spans="1:42" x14ac:dyDescent="0.3">
      <c r="A13" s="7">
        <v>5028</v>
      </c>
      <c r="B13" s="7" t="s">
        <v>116</v>
      </c>
      <c r="C13" s="7" t="str">
        <f t="shared" si="2"/>
        <v>VIKRAM JOSHI</v>
      </c>
      <c r="D13" s="7" t="str">
        <f t="shared" si="3"/>
        <v>Vikram Joshi</v>
      </c>
      <c r="E13" s="7" t="s">
        <v>61</v>
      </c>
      <c r="F13" s="7" t="s">
        <v>219</v>
      </c>
      <c r="G13" s="7" t="s">
        <v>46</v>
      </c>
      <c r="H13" s="7" t="str">
        <f>_xlfn.XLOOKUP(G13,Lookup_Tables!$A$4:$A$9,Lookup_Tables!$C$4:$C$9,"Not Found",0)</f>
        <v>Faisal Ahmed</v>
      </c>
      <c r="I13" s="7" t="s">
        <v>70</v>
      </c>
      <c r="J13" s="7" t="s">
        <v>117</v>
      </c>
      <c r="K13" s="7" t="str">
        <f t="shared" si="4"/>
        <v>vikram.joshi@company.com</v>
      </c>
      <c r="L13" s="7" t="s">
        <v>118</v>
      </c>
      <c r="M13" s="7" t="str">
        <f t="shared" si="0"/>
        <v>0084745378</v>
      </c>
      <c r="N13" s="7" t="str" cm="1">
        <f t="array" ref="N13">_xlfn.IFS(M13="","Incomplete",LEN(M13)&lt;10,"Invalid",AND(LEN(M13) =10,LEFT(M13,4) &lt;&gt;"+91-"),"+91-"&amp;M13,TRUE,M13)</f>
        <v>+91-0084745378</v>
      </c>
      <c r="O13" s="8" t="s">
        <v>119</v>
      </c>
      <c r="P13" s="14" t="s">
        <v>114</v>
      </c>
      <c r="Q13" s="14" t="str">
        <f t="shared" si="1"/>
        <v>Still Employed</v>
      </c>
      <c r="R13" s="14" t="str" cm="1">
        <f t="array" ref="R13">_xlfn.IFS(OR(Q13="Missing",Q13="N/A",Q13="Still Employed"),Q13,ISNUMBER(SEARCH(",",Q13)),DATEVALUE(Q13),AND(ISNUMBER(SEARCH("-",Q13)),ISNUMBER(VALUE(LEFT(Q13,4)))),DATE(LEFT(Q13,4),MID(Q13,6,2),RIGHT(Q13,2)),ISNUMBER(SEARCH("-",Q13)),DATE(RIGHT(Q13,4),MID(Q13,4,2),LEFT(Q13,2)),ISNUMBER(SEARCH("/",Q13)),DATE(RIGHT(Q13,4),MID(Q13,4,2),LEFT(Q13,2)),TRUE,"Check Manually")</f>
        <v>Still Employed</v>
      </c>
      <c r="S13" s="31" t="str">
        <f t="shared" ca="1" si="5"/>
        <v>7 Years, 5 Months, 9 Days</v>
      </c>
      <c r="T13" s="31">
        <f t="shared" ca="1" si="6"/>
        <v>2717.95</v>
      </c>
      <c r="U13" s="31" t="str" cm="1">
        <f t="array" ref="U13">_xlfn.IFS(OR(R13="Missing",R13="N/A",R13="Still Employed"),"Unknown",ISNUMBER(R13),"Exited",TRUE,"Unknown")</f>
        <v>Unknown</v>
      </c>
      <c r="V13" s="31" t="str">
        <f t="shared" si="7"/>
        <v/>
      </c>
      <c r="W13" s="14" t="str">
        <f t="shared" si="8"/>
        <v>Active</v>
      </c>
      <c r="X13" s="19" t="s">
        <v>120</v>
      </c>
      <c r="Y13" s="18" t="str">
        <f t="shared" si="9"/>
        <v>₹85,253</v>
      </c>
      <c r="Z13" s="22" t="str" cm="1">
        <f t="array" ref="Z13">_xlfn.IFS(Y13="","0",LEFT(Y13,5)="",Y13,LEFT(Y13,1)="₹",REPLACE(Y13,1,1,""),LEFT(Y13,4)="Rs. ",REPLACE(Y13,1,4,""),TRUE,Y13)</f>
        <v>85,253</v>
      </c>
      <c r="AA13" s="22" t="str">
        <f t="shared" si="10"/>
        <v>85253</v>
      </c>
      <c r="AB13" s="7" t="s">
        <v>89</v>
      </c>
      <c r="AC13" s="7" t="str">
        <f t="shared" si="11"/>
        <v>Below Average</v>
      </c>
      <c r="AD13" s="7">
        <v>6</v>
      </c>
      <c r="AE13" cm="1">
        <f t="array" ref="AE13">_xlfn.IFS(AD13="",0,AD13&lt;0,"Negate Leave",AD13&gt;=0,AD13)</f>
        <v>6</v>
      </c>
      <c r="AI13" t="str" cm="1">
        <f t="array" ref="AI13:AI20">_xlfn.UNIQUE(F:F)</f>
        <v>Department</v>
      </c>
      <c r="AJ13" t="s">
        <v>2155</v>
      </c>
      <c r="AK13" s="16"/>
    </row>
    <row r="14" spans="1:42" x14ac:dyDescent="0.3">
      <c r="A14" s="7">
        <v>5178</v>
      </c>
      <c r="B14" s="7" t="s">
        <v>121</v>
      </c>
      <c r="C14" s="7" t="str">
        <f t="shared" si="2"/>
        <v>Kirti Saxena</v>
      </c>
      <c r="D14" s="7" t="str">
        <f t="shared" si="3"/>
        <v>Kirti Saxena</v>
      </c>
      <c r="E14" s="7" t="s">
        <v>61</v>
      </c>
      <c r="F14" s="7" t="s">
        <v>122</v>
      </c>
      <c r="G14" s="7" t="s">
        <v>91</v>
      </c>
      <c r="H14" s="7" t="str">
        <f>_xlfn.XLOOKUP(G14,Lookup_Tables!$A$4:$A$9,Lookup_Tables!$C$4:$C$9,"Not Found",0)</f>
        <v>Rajiv Kapoor</v>
      </c>
      <c r="I14" s="7" t="s">
        <v>70</v>
      </c>
      <c r="J14" s="7" t="s">
        <v>123</v>
      </c>
      <c r="K14" s="7" t="str">
        <f t="shared" si="4"/>
        <v>kirti.saxena@company.com</v>
      </c>
      <c r="L14" s="7" t="s">
        <v>124</v>
      </c>
      <c r="M14" s="7" t="str">
        <f t="shared" si="0"/>
        <v>+91-1004281152</v>
      </c>
      <c r="N14" s="7" t="str" cm="1">
        <f t="array" ref="N14">_xlfn.IFS(M14="","Incomplete",LEN(M14)&lt;10,"Invalid",AND(LEN(M14) =10,LEFT(M14,4) &lt;&gt;"+91-"),"+91-"&amp;M14,TRUE,M14)</f>
        <v>+91-1004281152</v>
      </c>
      <c r="O14" s="8" t="s">
        <v>125</v>
      </c>
      <c r="P14" s="14" t="s">
        <v>126</v>
      </c>
      <c r="Q14" s="14" t="str">
        <f t="shared" si="1"/>
        <v>N/A</v>
      </c>
      <c r="R14" s="14" t="str" cm="1">
        <f t="array" ref="R14">_xlfn.IFS(OR(Q14="Missing",Q14="N/A",Q14="Still Employed"),Q14,ISNUMBER(SEARCH(",",Q14)),DATEVALUE(Q14),AND(ISNUMBER(SEARCH("-",Q14)),ISNUMBER(VALUE(LEFT(Q14,4)))),DATE(LEFT(Q14,4),MID(Q14,6,2),RIGHT(Q14,2)),ISNUMBER(SEARCH("-",Q14)),DATE(RIGHT(Q14,4),MID(Q14,4,2),LEFT(Q14,2)),ISNUMBER(SEARCH("/",Q14)),DATE(RIGHT(Q14,4),MID(Q14,4,2),LEFT(Q14,2)),TRUE,"Check Manually")</f>
        <v>N/A</v>
      </c>
      <c r="S14" s="31" t="str">
        <f t="shared" ca="1" si="5"/>
        <v>5 Years, 2 Months, 8 Days</v>
      </c>
      <c r="T14" s="31">
        <f t="shared" ca="1" si="6"/>
        <v>1895.13</v>
      </c>
      <c r="U14" s="31" t="str" cm="1">
        <f t="array" ref="U14">_xlfn.IFS(OR(R14="Missing",R14="N/A",R14="Still Employed"),"Unknown",ISNUMBER(R14),"Exited",TRUE,"Unknown")</f>
        <v>Unknown</v>
      </c>
      <c r="V14" s="31" t="str">
        <f t="shared" si="7"/>
        <v/>
      </c>
      <c r="W14" s="14" t="str">
        <f t="shared" si="8"/>
        <v>Active</v>
      </c>
      <c r="X14" s="19">
        <v>124338</v>
      </c>
      <c r="Y14" s="18" t="str">
        <f t="shared" si="9"/>
        <v>124338</v>
      </c>
      <c r="Z14" s="22" t="str" cm="1">
        <f t="array" ref="Z14">_xlfn.IFS(Y14="","0",LEFT(Y14,5)="",Y14,LEFT(Y14,1)="₹",REPLACE(Y14,1,1,""),LEFT(Y14,4)="Rs. ",REPLACE(Y14,1,4,""),TRUE,Y14)</f>
        <v>124338</v>
      </c>
      <c r="AA14" s="22" t="str">
        <f t="shared" si="10"/>
        <v>124338</v>
      </c>
      <c r="AB14" s="7" t="s">
        <v>127</v>
      </c>
      <c r="AC14" s="7" t="str">
        <f t="shared" si="11"/>
        <v>Good</v>
      </c>
      <c r="AD14" s="7">
        <v>2</v>
      </c>
      <c r="AE14" cm="1">
        <f t="array" ref="AE14">_xlfn.IFS(AD14="",0,AD14&lt;0,"Negate Leave",AD14&gt;=0,AD14)</f>
        <v>2</v>
      </c>
      <c r="AI14" t="str">
        <v>Customer Support</v>
      </c>
      <c r="AJ14" t="e">
        <f ca="1">AVERAGEIFS(S:S,F:F,"Customer Support")</f>
        <v>#DIV/0!</v>
      </c>
      <c r="AK14" s="24" t="s">
        <v>1466</v>
      </c>
      <c r="AL14" t="e">
        <f>TEXT(DATEVALUE(AK14),"DD/MM/YYYY")</f>
        <v>#VALUE!</v>
      </c>
    </row>
    <row r="15" spans="1:42" x14ac:dyDescent="0.3">
      <c r="A15" s="7">
        <v>5258</v>
      </c>
      <c r="B15" s="7" t="s">
        <v>128</v>
      </c>
      <c r="C15" s="7" t="str">
        <f t="shared" si="2"/>
        <v>Tanvi Rao</v>
      </c>
      <c r="D15" s="7" t="str">
        <f t="shared" si="3"/>
        <v>Tanvi Rao</v>
      </c>
      <c r="E15" s="7" t="s">
        <v>68</v>
      </c>
      <c r="F15" s="7" t="s">
        <v>219</v>
      </c>
      <c r="G15" s="7" t="s">
        <v>46</v>
      </c>
      <c r="H15" s="7" t="str">
        <f>_xlfn.XLOOKUP(G15,Lookup_Tables!$A$4:$A$9,Lookup_Tables!$C$4:$C$9,"Not Found",0)</f>
        <v>Faisal Ahmed</v>
      </c>
      <c r="I15" s="7" t="s">
        <v>85</v>
      </c>
      <c r="J15" s="7" t="s">
        <v>129</v>
      </c>
      <c r="K15" s="7" t="str">
        <f t="shared" si="4"/>
        <v>tanvi.rao@company.com</v>
      </c>
      <c r="L15" s="7" t="s">
        <v>130</v>
      </c>
      <c r="M15" s="7" t="str">
        <f t="shared" si="0"/>
        <v>8046774548</v>
      </c>
      <c r="N15" s="7" t="str" cm="1">
        <f t="array" ref="N15">_xlfn.IFS(M15="","Incomplete",LEN(M15)&lt;10,"Invalid",AND(LEN(M15) =10,LEFT(M15,4) &lt;&gt;"+91-"),"+91-"&amp;M15,TRUE,M15)</f>
        <v>+91-8046774548</v>
      </c>
      <c r="O15" s="8" t="s">
        <v>131</v>
      </c>
      <c r="P15" s="14" t="s">
        <v>114</v>
      </c>
      <c r="Q15" s="14" t="str">
        <f t="shared" si="1"/>
        <v>Still Employed</v>
      </c>
      <c r="R15" s="14" t="str" cm="1">
        <f t="array" ref="R15">_xlfn.IFS(OR(Q15="Missing",Q15="N/A",Q15="Still Employed"),Q15,ISNUMBER(SEARCH(",",Q15)),DATEVALUE(Q15),AND(ISNUMBER(SEARCH("-",Q15)),ISNUMBER(VALUE(LEFT(Q15,4)))),DATE(LEFT(Q15,4),MID(Q15,6,2),RIGHT(Q15,2)),ISNUMBER(SEARCH("-",Q15)),DATE(RIGHT(Q15,4),MID(Q15,4,2),LEFT(Q15,2)),ISNUMBER(SEARCH("/",Q15)),DATE(RIGHT(Q15,4),MID(Q15,4,2),LEFT(Q15,2)),TRUE,"Check Manually")</f>
        <v>Still Employed</v>
      </c>
      <c r="S15" s="31" t="str">
        <f t="shared" ca="1" si="5"/>
        <v>6 Years, 5 Months, 1 Days</v>
      </c>
      <c r="T15" s="31">
        <f t="shared" ca="1" si="6"/>
        <v>2344.6999999999998</v>
      </c>
      <c r="U15" s="31" t="str" cm="1">
        <f t="array" ref="U15">_xlfn.IFS(OR(R15="Missing",R15="N/A",R15="Still Employed"),"Unknown",ISNUMBER(R15),"Exited",TRUE,"Unknown")</f>
        <v>Unknown</v>
      </c>
      <c r="V15" s="31" t="str">
        <f t="shared" si="7"/>
        <v/>
      </c>
      <c r="W15" s="14" t="str">
        <f t="shared" si="8"/>
        <v>Active</v>
      </c>
      <c r="X15" s="19">
        <v>118204</v>
      </c>
      <c r="Y15" s="18" t="str">
        <f t="shared" si="9"/>
        <v>118204</v>
      </c>
      <c r="Z15" s="22" t="str" cm="1">
        <f t="array" ref="Z15">_xlfn.IFS(Y15="","0",LEFT(Y15,5)="",Y15,LEFT(Y15,1)="₹",REPLACE(Y15,1,1,""),LEFT(Y15,4)="Rs. ",REPLACE(Y15,1,4,""),TRUE,Y15)</f>
        <v>118204</v>
      </c>
      <c r="AA15" s="22" t="str">
        <f t="shared" si="10"/>
        <v>118204</v>
      </c>
      <c r="AB15" s="7" t="s">
        <v>127</v>
      </c>
      <c r="AC15" s="7" t="str">
        <f t="shared" si="11"/>
        <v>Good</v>
      </c>
      <c r="AD15" s="7">
        <v>24</v>
      </c>
      <c r="AE15" cm="1">
        <f t="array" ref="AE15">_xlfn.IFS(AD15="",0,AD15&lt;0,"Negate Leave",AD15&gt;=0,AD15)</f>
        <v>24</v>
      </c>
      <c r="AI15" t="str">
        <v>Finance</v>
      </c>
    </row>
    <row r="16" spans="1:42" x14ac:dyDescent="0.3">
      <c r="A16" s="7">
        <v>5325</v>
      </c>
      <c r="B16" s="7" t="s">
        <v>132</v>
      </c>
      <c r="C16" s="7" t="str">
        <f t="shared" si="2"/>
        <v>Arjun Desai</v>
      </c>
      <c r="D16" s="7" t="str">
        <f t="shared" si="3"/>
        <v>Arjun Desai</v>
      </c>
      <c r="E16" s="7" t="s">
        <v>68</v>
      </c>
      <c r="F16" s="7" t="s">
        <v>133</v>
      </c>
      <c r="G16" s="7" t="s">
        <v>69</v>
      </c>
      <c r="H16" s="7" t="str">
        <f>_xlfn.XLOOKUP(G16,Lookup_Tables!$A$4:$A$9,Lookup_Tables!$C$4:$C$9,"Not Found",0)</f>
        <v>Vivek Malhotra</v>
      </c>
      <c r="I16" s="7" t="s">
        <v>47</v>
      </c>
      <c r="J16" s="7" t="s">
        <v>134</v>
      </c>
      <c r="K16" s="7" t="str">
        <f t="shared" si="4"/>
        <v>arjun.desai@company.com</v>
      </c>
      <c r="L16" s="7" t="s">
        <v>135</v>
      </c>
      <c r="M16" s="7" t="str">
        <f t="shared" si="0"/>
        <v>+91-7675703548</v>
      </c>
      <c r="N16" s="7" t="str" cm="1">
        <f t="array" ref="N16">_xlfn.IFS(M16="","Incomplete",LEN(M16)&lt;10,"Invalid",AND(LEN(M16) =10,LEFT(M16,4) &lt;&gt;"+91-"),"+91-"&amp;M16,TRUE,M16)</f>
        <v>+91-7675703548</v>
      </c>
      <c r="O16" s="8" t="s">
        <v>136</v>
      </c>
      <c r="P16" s="14" t="s">
        <v>126</v>
      </c>
      <c r="Q16" s="14" t="str">
        <f t="shared" si="1"/>
        <v>N/A</v>
      </c>
      <c r="R16" s="14" t="str" cm="1">
        <f t="array" ref="R16">_xlfn.IFS(OR(Q16="Missing",Q16="N/A",Q16="Still Employed"),Q16,ISNUMBER(SEARCH(",",Q16)),DATEVALUE(Q16),AND(ISNUMBER(SEARCH("-",Q16)),ISNUMBER(VALUE(LEFT(Q16,4)))),DATE(LEFT(Q16,4),MID(Q16,6,2),RIGHT(Q16,2)),ISNUMBER(SEARCH("-",Q16)),DATE(RIGHT(Q16,4),MID(Q16,4,2),LEFT(Q16,2)),ISNUMBER(SEARCH("/",Q16)),DATE(RIGHT(Q16,4),MID(Q16,4,2),LEFT(Q16,2)),TRUE,"Check Manually")</f>
        <v>N/A</v>
      </c>
      <c r="S16" s="31" t="str">
        <f t="shared" ca="1" si="5"/>
        <v>3 Years, 10 Months, 24 Days</v>
      </c>
      <c r="T16" s="31">
        <f t="shared" ca="1" si="6"/>
        <v>1424.15</v>
      </c>
      <c r="U16" s="31" t="str" cm="1">
        <f t="array" ref="U16">_xlfn.IFS(OR(R16="Missing",R16="N/A",R16="Still Employed"),"Unknown",ISNUMBER(R16),"Exited",TRUE,"Unknown")</f>
        <v>Unknown</v>
      </c>
      <c r="V16" s="31" t="str">
        <f t="shared" si="7"/>
        <v/>
      </c>
      <c r="W16" s="14" t="str">
        <f t="shared" si="8"/>
        <v>Active</v>
      </c>
      <c r="X16" s="19" t="s">
        <v>137</v>
      </c>
      <c r="Y16" s="18" t="str">
        <f t="shared" si="9"/>
        <v>₹137,736</v>
      </c>
      <c r="Z16" s="22" t="str" cm="1">
        <f t="array" ref="Z16">_xlfn.IFS(Y16="","0",LEFT(Y16,5)="",Y16,LEFT(Y16,1)="₹",REPLACE(Y16,1,1,""),LEFT(Y16,4)="Rs. ",REPLACE(Y16,1,4,""),TRUE,Y16)</f>
        <v>137,736</v>
      </c>
      <c r="AA16" s="22" t="str">
        <f t="shared" si="10"/>
        <v>137736</v>
      </c>
      <c r="AB16" s="7" t="s">
        <v>51</v>
      </c>
      <c r="AC16" s="7" t="str">
        <f t="shared" si="11"/>
        <v>Excellent</v>
      </c>
      <c r="AD16" s="7">
        <v>8</v>
      </c>
      <c r="AE16" cm="1">
        <f t="array" ref="AE16">_xlfn.IFS(AD16="",0,AD16&lt;0,"Negate Leave",AD16&gt;=0,AD16)</f>
        <v>8</v>
      </c>
      <c r="AI16" t="str">
        <v>Marketing</v>
      </c>
    </row>
    <row r="17" spans="1:40" x14ac:dyDescent="0.3">
      <c r="A17" s="7">
        <v>5342</v>
      </c>
      <c r="B17" s="7" t="s">
        <v>138</v>
      </c>
      <c r="C17" s="7" t="str">
        <f t="shared" si="2"/>
        <v>isha rao</v>
      </c>
      <c r="D17" s="7" t="str">
        <f t="shared" si="3"/>
        <v>Isha Rao</v>
      </c>
      <c r="E17" s="7" t="s">
        <v>68</v>
      </c>
      <c r="F17" s="7" t="s">
        <v>389</v>
      </c>
      <c r="G17" s="7" t="s">
        <v>140</v>
      </c>
      <c r="H17" s="7" t="str">
        <f>_xlfn.XLOOKUP(G17,Lookup_Tables!$A$4:$A$9,Lookup_Tables!$C$4:$C$9,"Not Found",0)</f>
        <v>Sunita Rao</v>
      </c>
      <c r="I17" s="7" t="s">
        <v>110</v>
      </c>
      <c r="J17" s="7" t="s">
        <v>141</v>
      </c>
      <c r="K17" s="7" t="str">
        <f t="shared" si="4"/>
        <v xml:space="preserve">isha.rao@company.com </v>
      </c>
      <c r="L17" s="7" t="s">
        <v>142</v>
      </c>
      <c r="M17" s="7" t="str">
        <f t="shared" si="0"/>
        <v>9742803407</v>
      </c>
      <c r="N17" s="7" t="str" cm="1">
        <f t="array" ref="N17">_xlfn.IFS(M17="","Incomplete",LEN(M17)&lt;10,"Invalid",AND(LEN(M17) =10,LEFT(M17,4) &lt;&gt;"+91-"),"+91-"&amp;M17,TRUE,M17)</f>
        <v>+91-9742803407</v>
      </c>
      <c r="O17" s="8" t="s">
        <v>143</v>
      </c>
      <c r="P17" s="14"/>
      <c r="Q17" s="14" t="str">
        <f t="shared" si="1"/>
        <v>Missing</v>
      </c>
      <c r="R17" s="14" t="str" cm="1">
        <f t="array" ref="R17">_xlfn.IFS(OR(Q17="Missing",Q17="N/A",Q17="Still Employed"),Q17,ISNUMBER(SEARCH(",",Q17)),DATEVALUE(Q17),AND(ISNUMBER(SEARCH("-",Q17)),ISNUMBER(VALUE(LEFT(Q17,4)))),DATE(LEFT(Q17,4),MID(Q17,6,2),RIGHT(Q17,2)),ISNUMBER(SEARCH("-",Q17)),DATE(RIGHT(Q17,4),MID(Q17,4,2),LEFT(Q17,2)),ISNUMBER(SEARCH("/",Q17)),DATE(RIGHT(Q17,4),MID(Q17,4,2),LEFT(Q17,2)),TRUE,"Check Manually")</f>
        <v>Missing</v>
      </c>
      <c r="S17" s="31" t="str">
        <f t="shared" ca="1" si="5"/>
        <v>4 Years, 3 Months, 27 Days</v>
      </c>
      <c r="T17" s="31">
        <f t="shared" ca="1" si="6"/>
        <v>1579.32</v>
      </c>
      <c r="U17" s="31" t="str" cm="1">
        <f t="array" ref="U17">_xlfn.IFS(OR(R17="Missing",R17="N/A",R17="Still Employed"),"Unknown",ISNUMBER(R17),"Exited",TRUE,"Unknown")</f>
        <v>Unknown</v>
      </c>
      <c r="V17" s="31" t="str">
        <f t="shared" si="7"/>
        <v/>
      </c>
      <c r="W17" s="14" t="str">
        <f t="shared" si="8"/>
        <v>Active</v>
      </c>
      <c r="X17" s="19">
        <v>64962</v>
      </c>
      <c r="Y17" s="18" t="str">
        <f t="shared" si="9"/>
        <v>64962</v>
      </c>
      <c r="Z17" s="22" t="str" cm="1">
        <f t="array" ref="Z17">_xlfn.IFS(Y17="","0",LEFT(Y17,5)="",Y17,LEFT(Y17,1)="₹",REPLACE(Y17,1,1,""),LEFT(Y17,4)="Rs. ",REPLACE(Y17,1,4,""),TRUE,Y17)</f>
        <v>64962</v>
      </c>
      <c r="AA17" s="22" t="str">
        <f t="shared" si="10"/>
        <v>64962</v>
      </c>
      <c r="AB17" s="7" t="s">
        <v>144</v>
      </c>
      <c r="AC17" s="7" t="str">
        <f t="shared" si="11"/>
        <v>Poor</v>
      </c>
      <c r="AD17" s="7">
        <v>22</v>
      </c>
      <c r="AE17" cm="1">
        <f t="array" ref="AE17">_xlfn.IFS(AD17="",0,AD17&lt;0,"Negate Leave",AD17&gt;=0,AD17)</f>
        <v>22</v>
      </c>
      <c r="AI17" t="str">
        <v>Engineering</v>
      </c>
      <c r="AK17" s="24" t="s">
        <v>1467</v>
      </c>
      <c r="AL17" t="e">
        <f>DATEVALUE(AK17)</f>
        <v>#VALUE!</v>
      </c>
    </row>
    <row r="18" spans="1:40" x14ac:dyDescent="0.3">
      <c r="A18" s="7">
        <v>5185</v>
      </c>
      <c r="B18" s="7" t="s">
        <v>145</v>
      </c>
      <c r="C18" s="7" t="str">
        <f t="shared" si="2"/>
        <v>Tanvi Menon</v>
      </c>
      <c r="D18" s="7" t="str">
        <f t="shared" si="3"/>
        <v>Tanvi Menon</v>
      </c>
      <c r="E18" s="7" t="s">
        <v>68</v>
      </c>
      <c r="F18" s="7" t="s">
        <v>219</v>
      </c>
      <c r="G18" s="7" t="s">
        <v>46</v>
      </c>
      <c r="H18" s="7" t="str">
        <f>_xlfn.XLOOKUP(G18,Lookup_Tables!$A$4:$A$9,Lookup_Tables!$C$4:$C$9,"Not Found",0)</f>
        <v>Faisal Ahmed</v>
      </c>
      <c r="I18" s="7" t="s">
        <v>47</v>
      </c>
      <c r="J18" s="7" t="s">
        <v>146</v>
      </c>
      <c r="K18" s="7" t="str">
        <f t="shared" si="4"/>
        <v>tanvi.menon@company.com</v>
      </c>
      <c r="L18" s="7" t="s">
        <v>147</v>
      </c>
      <c r="M18" s="7" t="str">
        <f t="shared" si="0"/>
        <v>+91-0838728322</v>
      </c>
      <c r="N18" s="7" t="str" cm="1">
        <f t="array" ref="N18">_xlfn.IFS(M18="","Incomplete",LEN(M18)&lt;10,"Invalid",AND(LEN(M18) =10,LEFT(M18,4) &lt;&gt;"+91-"),"+91-"&amp;M18,TRUE,M18)</f>
        <v>+91-0838728322</v>
      </c>
      <c r="O18" s="8" t="s">
        <v>148</v>
      </c>
      <c r="P18" s="14" t="s">
        <v>149</v>
      </c>
      <c r="Q18" s="14" t="str">
        <f t="shared" si="1"/>
        <v>2021-10-12</v>
      </c>
      <c r="R18" s="14" cm="1">
        <f t="array" ref="R18">_xlfn.IFS(OR(Q18="Missing",Q18="N/A",Q18="Still Employed"),Q18,ISNUMBER(SEARCH(",",Q18)),DATEVALUE(Q18),AND(ISNUMBER(SEARCH("-",Q18)),ISNUMBER(VALUE(LEFT(Q18,4)))),DATE(LEFT(Q18,4),MID(Q18,6,2),RIGHT(Q18,2)),ISNUMBER(SEARCH("-",Q18)),DATE(RIGHT(Q18,4),MID(Q18,4,2),LEFT(Q18,2)),ISNUMBER(SEARCH("/",Q18)),DATE(RIGHT(Q18,4),MID(Q18,4,2),LEFT(Q18,2)),TRUE,"Check Manually")</f>
        <v>44481</v>
      </c>
      <c r="S18" s="31" t="str">
        <f t="shared" ca="1" si="5"/>
        <v>3 Years, 6 Months, 29 Days</v>
      </c>
      <c r="T18" s="31">
        <f t="shared" ca="1" si="6"/>
        <v>1307.3900000000001</v>
      </c>
      <c r="U18" s="31" t="str" cm="1">
        <f t="array" ref="U18">_xlfn.IFS(OR(R18="Missing",R18="N/A",R18="Still Employed"),"Unknown",ISNUMBER(R18),"Exited",TRUE,"Unknown")</f>
        <v>Exited</v>
      </c>
      <c r="V18" s="31">
        <f t="shared" si="7"/>
        <v>2021</v>
      </c>
      <c r="W18" s="14" t="str">
        <f t="shared" si="8"/>
        <v>Exited</v>
      </c>
      <c r="X18" s="19">
        <v>129820</v>
      </c>
      <c r="Y18" s="18" t="str">
        <f t="shared" si="9"/>
        <v>129820</v>
      </c>
      <c r="Z18" s="22" t="str" cm="1">
        <f t="array" ref="Z18">_xlfn.IFS(Y18="","0",LEFT(Y18,5)="",Y18,LEFT(Y18,1)="₹",REPLACE(Y18,1,1,""),LEFT(Y18,4)="Rs. ",REPLACE(Y18,1,4,""),TRUE,Y18)</f>
        <v>129820</v>
      </c>
      <c r="AA18" s="22" t="str">
        <f t="shared" si="10"/>
        <v>129820</v>
      </c>
      <c r="AB18" s="7" t="s">
        <v>127</v>
      </c>
      <c r="AC18" s="7" t="str">
        <f t="shared" si="11"/>
        <v>Good</v>
      </c>
      <c r="AD18" s="7">
        <v>19</v>
      </c>
      <c r="AE18" cm="1">
        <f t="array" ref="AE18">_xlfn.IFS(AD18="",0,AD18&lt;0,"Negate Leave",AD18&gt;=0,AD18)</f>
        <v>19</v>
      </c>
      <c r="AI18" t="str">
        <v>Sales</v>
      </c>
    </row>
    <row r="19" spans="1:40" x14ac:dyDescent="0.3">
      <c r="A19" s="7">
        <v>5119</v>
      </c>
      <c r="B19" s="7" t="s">
        <v>150</v>
      </c>
      <c r="C19" s="7" t="str">
        <f t="shared" si="2"/>
        <v>Kavya Naidu</v>
      </c>
      <c r="D19" s="7" t="str">
        <f t="shared" si="3"/>
        <v>Kavya Naidu</v>
      </c>
      <c r="E19" s="7" t="s">
        <v>61</v>
      </c>
      <c r="F19" s="7" t="s">
        <v>151</v>
      </c>
      <c r="G19" s="7" t="s">
        <v>76</v>
      </c>
      <c r="H19" s="7" t="str">
        <f>_xlfn.XLOOKUP(G19,Lookup_Tables!$A$4:$A$9,Lookup_Tables!$C$4:$C$9,"Not Found",0)</f>
        <v>Ananya Sen</v>
      </c>
      <c r="I19" s="7" t="s">
        <v>62</v>
      </c>
      <c r="J19" s="7" t="s">
        <v>152</v>
      </c>
      <c r="K19" s="7" t="str">
        <f t="shared" si="4"/>
        <v>kavya.naidu@company.com</v>
      </c>
      <c r="L19" s="7" t="s">
        <v>153</v>
      </c>
      <c r="M19" s="7" t="str">
        <f t="shared" si="0"/>
        <v>1533142044</v>
      </c>
      <c r="N19" s="7" t="str" cm="1">
        <f t="array" ref="N19">_xlfn.IFS(M19="","Incomplete",LEN(M19)&lt;10,"Invalid",AND(LEN(M19) =10,LEFT(M19,4) &lt;&gt;"+91-"),"+91-"&amp;M19,TRUE,M19)</f>
        <v>+91-1533142044</v>
      </c>
      <c r="O19" s="8" t="s">
        <v>154</v>
      </c>
      <c r="P19" s="14" t="s">
        <v>114</v>
      </c>
      <c r="Q19" s="14" t="str">
        <f t="shared" si="1"/>
        <v>Still Employed</v>
      </c>
      <c r="R19" s="14" t="str" cm="1">
        <f t="array" ref="R19">_xlfn.IFS(OR(Q19="Missing",Q19="N/A",Q19="Still Employed"),Q19,ISNUMBER(SEARCH(",",Q19)),DATEVALUE(Q19),AND(ISNUMBER(SEARCH("-",Q19)),ISNUMBER(VALUE(LEFT(Q19,4)))),DATE(LEFT(Q19,4),MID(Q19,6,2),RIGHT(Q19,2)),ISNUMBER(SEARCH("-",Q19)),DATE(RIGHT(Q19,4),MID(Q19,4,2),LEFT(Q19,2)),ISNUMBER(SEARCH("/",Q19)),DATE(RIGHT(Q19,4),MID(Q19,4,2),LEFT(Q19,2)),TRUE,"Check Manually")</f>
        <v>Still Employed</v>
      </c>
      <c r="S19" s="31" t="str">
        <f t="shared" ca="1" si="5"/>
        <v>6 Years, 6 Months, 17 Days</v>
      </c>
      <c r="T19" s="31">
        <f t="shared" ca="1" si="6"/>
        <v>2391.14</v>
      </c>
      <c r="U19" s="31" t="str" cm="1">
        <f t="array" ref="U19">_xlfn.IFS(OR(R19="Missing",R19="N/A",R19="Still Employed"),"Unknown",ISNUMBER(R19),"Exited",TRUE,"Unknown")</f>
        <v>Unknown</v>
      </c>
      <c r="V19" s="31" t="str">
        <f t="shared" si="7"/>
        <v/>
      </c>
      <c r="W19" s="14" t="str">
        <f t="shared" si="8"/>
        <v>Active</v>
      </c>
      <c r="X19" s="19"/>
      <c r="Y19" s="18" t="str">
        <f t="shared" si="9"/>
        <v/>
      </c>
      <c r="Z19" s="22" t="str" cm="1">
        <f t="array" ref="Z19">_xlfn.IFS(Y19="","0",LEFT(Y19,5)="",Y19,LEFT(Y19,1)="₹",REPLACE(Y19,1,1,""),LEFT(Y19,4)="Rs. ",REPLACE(Y19,1,4,""),TRUE,Y19)</f>
        <v>0</v>
      </c>
      <c r="AA19" s="22" t="str">
        <f t="shared" si="10"/>
        <v>0</v>
      </c>
      <c r="AB19" s="7"/>
      <c r="AC19" s="7" t="str">
        <f t="shared" si="11"/>
        <v>Not Rated</v>
      </c>
      <c r="AD19" s="7">
        <v>10</v>
      </c>
      <c r="AE19" cm="1">
        <f t="array" ref="AE19">_xlfn.IFS(AD19="",0,AD19&lt;0,"Negate Leave",AD19&gt;=0,AD19)</f>
        <v>10</v>
      </c>
      <c r="AI19" t="str">
        <v>HR</v>
      </c>
      <c r="AJ19" s="8" t="s">
        <v>64</v>
      </c>
      <c r="AK19" s="24">
        <v>45357</v>
      </c>
      <c r="AL19">
        <f>DAY(AK19)</f>
        <v>6</v>
      </c>
      <c r="AM19">
        <f>MONTH(AK19)</f>
        <v>3</v>
      </c>
      <c r="AN19">
        <f>YEAR(AK19)</f>
        <v>2024</v>
      </c>
    </row>
    <row r="20" spans="1:40" x14ac:dyDescent="0.3">
      <c r="A20" s="7">
        <v>5262</v>
      </c>
      <c r="B20" s="7" t="s">
        <v>155</v>
      </c>
      <c r="C20" s="7" t="str">
        <f t="shared" si="2"/>
        <v>Varun Rao</v>
      </c>
      <c r="D20" s="7" t="str">
        <f t="shared" si="3"/>
        <v>Varun Rao</v>
      </c>
      <c r="E20" s="7" t="s">
        <v>61</v>
      </c>
      <c r="F20" s="7" t="s">
        <v>122</v>
      </c>
      <c r="G20" s="7" t="s">
        <v>91</v>
      </c>
      <c r="H20" s="7" t="str">
        <f>_xlfn.XLOOKUP(G20,Lookup_Tables!$A$4:$A$9,Lookup_Tables!$C$4:$C$9,"Not Found",0)</f>
        <v>Rajiv Kapoor</v>
      </c>
      <c r="I20" s="7" t="s">
        <v>110</v>
      </c>
      <c r="J20" s="7" t="s">
        <v>156</v>
      </c>
      <c r="K20" s="7" t="str">
        <f t="shared" si="4"/>
        <v>varun.rao@company.com</v>
      </c>
      <c r="L20" s="7" t="s">
        <v>157</v>
      </c>
      <c r="M20" s="7" t="str">
        <f t="shared" si="0"/>
        <v>4907969025</v>
      </c>
      <c r="N20" s="7" t="str" cm="1">
        <f t="array" ref="N20">_xlfn.IFS(M20="","Incomplete",LEN(M20)&lt;10,"Invalid",AND(LEN(M20) =10,LEFT(M20,4) &lt;&gt;"+91-"),"+91-"&amp;M20,TRUE,M20)</f>
        <v>+91-4907969025</v>
      </c>
      <c r="O20" s="8" t="s">
        <v>158</v>
      </c>
      <c r="P20" s="14" t="s">
        <v>114</v>
      </c>
      <c r="Q20" s="14" t="str">
        <f t="shared" si="1"/>
        <v>Still Employed</v>
      </c>
      <c r="R20" s="14" t="str" cm="1">
        <f t="array" ref="R20">_xlfn.IFS(OR(Q20="Missing",Q20="N/A",Q20="Still Employed"),Q20,ISNUMBER(SEARCH(",",Q20)),DATEVALUE(Q20),AND(ISNUMBER(SEARCH("-",Q20)),ISNUMBER(VALUE(LEFT(Q20,4)))),DATE(LEFT(Q20,4),MID(Q20,6,2),RIGHT(Q20,2)),ISNUMBER(SEARCH("-",Q20)),DATE(RIGHT(Q20,4),MID(Q20,4,2),LEFT(Q20,2)),ISNUMBER(SEARCH("/",Q20)),DATE(RIGHT(Q20,4),MID(Q20,4,2),LEFT(Q20,2)),TRUE,"Check Manually")</f>
        <v>Still Employed</v>
      </c>
      <c r="S20" s="31" t="str">
        <f t="shared" ca="1" si="5"/>
        <v>7 Years, 2 Months, 25 Days</v>
      </c>
      <c r="T20" s="31">
        <f t="shared" ca="1" si="6"/>
        <v>2642.63</v>
      </c>
      <c r="U20" s="31" t="str" cm="1">
        <f t="array" ref="U20">_xlfn.IFS(OR(R20="Missing",R20="N/A",R20="Still Employed"),"Unknown",ISNUMBER(R20),"Exited",TRUE,"Unknown")</f>
        <v>Unknown</v>
      </c>
      <c r="V20" s="31" t="str">
        <f t="shared" si="7"/>
        <v/>
      </c>
      <c r="W20" s="14" t="str">
        <f t="shared" si="8"/>
        <v>Active</v>
      </c>
      <c r="X20" s="19" t="s">
        <v>159</v>
      </c>
      <c r="Y20" s="18" t="str">
        <f t="shared" si="9"/>
        <v>Rs. 171,338</v>
      </c>
      <c r="Z20" s="22" t="str" cm="1">
        <f t="array" ref="Z20">_xlfn.IFS(Y20="","0",LEFT(Y20,5)="",Y20,LEFT(Y20,1)="₹",REPLACE(Y20,1,1,""),LEFT(Y20,4)="Rs. ",REPLACE(Y20,1,4,""),TRUE,Y20)</f>
        <v>171,338</v>
      </c>
      <c r="AA20" s="22" t="str">
        <f t="shared" si="10"/>
        <v>171338</v>
      </c>
      <c r="AB20" s="7" t="s">
        <v>89</v>
      </c>
      <c r="AC20" s="7" t="str">
        <f t="shared" si="11"/>
        <v>Below Average</v>
      </c>
      <c r="AD20" s="7">
        <v>13</v>
      </c>
      <c r="AE20" cm="1">
        <f t="array" ref="AE20">_xlfn.IFS(AD20="",0,AD20&lt;0,"Negate Leave",AD20&gt;=0,AD20)</f>
        <v>13</v>
      </c>
      <c r="AI20">
        <v>0</v>
      </c>
    </row>
    <row r="21" spans="1:40" x14ac:dyDescent="0.3">
      <c r="A21" s="7">
        <v>5033</v>
      </c>
      <c r="B21" s="7" t="s">
        <v>160</v>
      </c>
      <c r="C21" s="7" t="str">
        <f t="shared" si="2"/>
        <v>Deepak Reddy</v>
      </c>
      <c r="D21" s="7" t="str">
        <f t="shared" si="3"/>
        <v>Deepak Reddy</v>
      </c>
      <c r="E21" s="7" t="s">
        <v>61</v>
      </c>
      <c r="F21" s="7" t="s">
        <v>151</v>
      </c>
      <c r="G21" s="7" t="s">
        <v>76</v>
      </c>
      <c r="H21" s="7" t="str">
        <f>_xlfn.XLOOKUP(G21,Lookup_Tables!$A$4:$A$9,Lookup_Tables!$C$4:$C$9,"Not Found",0)</f>
        <v>Ananya Sen</v>
      </c>
      <c r="I21" s="7" t="s">
        <v>55</v>
      </c>
      <c r="J21" s="7" t="s">
        <v>161</v>
      </c>
      <c r="K21" s="7" t="str">
        <f t="shared" si="4"/>
        <v>deepakreddy@company.com</v>
      </c>
      <c r="L21" s="7" t="s">
        <v>162</v>
      </c>
      <c r="M21" s="7" t="str">
        <f t="shared" si="0"/>
        <v>4293557591</v>
      </c>
      <c r="N21" s="7" t="str" cm="1">
        <f t="array" ref="N21">_xlfn.IFS(M21="","Incomplete",LEN(M21)&lt;10,"Invalid",AND(LEN(M21) =10,LEFT(M21,4) &lt;&gt;"+91-"),"+91-"&amp;M21,TRUE,M21)</f>
        <v>+91-4293557591</v>
      </c>
      <c r="O21" s="8" t="s">
        <v>163</v>
      </c>
      <c r="P21" s="14" t="s">
        <v>108</v>
      </c>
      <c r="Q21" s="14" t="str">
        <f t="shared" si="1"/>
        <v>30/06/2025</v>
      </c>
      <c r="R21" s="14" cm="1">
        <f t="array" ref="R21">_xlfn.IFS(OR(Q21="Missing",Q21="N/A",Q21="Still Employed"),Q21,ISNUMBER(SEARCH(",",Q21)),DATEVALUE(Q21),AND(ISNUMBER(SEARCH("-",Q21)),ISNUMBER(VALUE(LEFT(Q21,4)))),DATE(LEFT(Q21,4),MID(Q21,6,2),RIGHT(Q21,2)),ISNUMBER(SEARCH("-",Q21)),DATE(RIGHT(Q21,4),MID(Q21,4,2),LEFT(Q21,2)),ISNUMBER(SEARCH("/",Q21)),DATE(RIGHT(Q21,4),MID(Q21,4,2),LEFT(Q21,2)),TRUE,"Check Manually")</f>
        <v>45838</v>
      </c>
      <c r="S21" s="31" t="str">
        <f t="shared" ca="1" si="5"/>
        <v>4 Years, 8 Months, 5 Days</v>
      </c>
      <c r="T21" s="31">
        <f t="shared" ca="1" si="6"/>
        <v>1709.52</v>
      </c>
      <c r="U21" s="31" t="str" cm="1">
        <f t="array" ref="U21">_xlfn.IFS(OR(R21="Missing",R21="N/A",R21="Still Employed"),"Unknown",ISNUMBER(R21),"Exited",TRUE,"Unknown")</f>
        <v>Exited</v>
      </c>
      <c r="V21" s="31">
        <f t="shared" si="7"/>
        <v>2025</v>
      </c>
      <c r="W21" s="14" t="str">
        <f t="shared" si="8"/>
        <v>Exited</v>
      </c>
      <c r="X21" s="19" t="s">
        <v>164</v>
      </c>
      <c r="Y21" s="18" t="str">
        <f t="shared" si="9"/>
        <v>69,788</v>
      </c>
      <c r="Z21" s="22" t="str" cm="1">
        <f t="array" ref="Z21">_xlfn.IFS(Y21="","0",LEFT(Y21,5)="",Y21,LEFT(Y21,1)="₹",REPLACE(Y21,1,1,""),LEFT(Y21,4)="Rs. ",REPLACE(Y21,1,4,""),TRUE,Y21)</f>
        <v>69,788</v>
      </c>
      <c r="AA21" s="22" t="str">
        <f t="shared" si="10"/>
        <v>69788</v>
      </c>
      <c r="AB21" s="7" t="s">
        <v>127</v>
      </c>
      <c r="AC21" s="7" t="str">
        <f t="shared" si="11"/>
        <v>Good</v>
      </c>
      <c r="AD21" s="7">
        <v>-1</v>
      </c>
      <c r="AE21" t="str" cm="1">
        <f t="array" ref="AE21">_xlfn.IFS(AD21="",0,AD21&lt;0,"Negate Leave",AD21&gt;=0,AD21)</f>
        <v>Negate Leave</v>
      </c>
      <c r="AK21" s="29">
        <f>AK19-AJ19</f>
        <v>1794</v>
      </c>
      <c r="AL21">
        <f>_xlfn.DAYS(AK19,AJ19)</f>
        <v>1794</v>
      </c>
    </row>
    <row r="22" spans="1:40" x14ac:dyDescent="0.3">
      <c r="A22" s="7">
        <v>5187</v>
      </c>
      <c r="B22" s="7" t="s">
        <v>165</v>
      </c>
      <c r="C22" s="7" t="str">
        <f t="shared" si="2"/>
        <v>Kirti Iyer</v>
      </c>
      <c r="D22" s="7" t="str">
        <f t="shared" si="3"/>
        <v>Kirti Iyer</v>
      </c>
      <c r="E22" s="7" t="s">
        <v>61</v>
      </c>
      <c r="F22" s="7" t="s">
        <v>133</v>
      </c>
      <c r="G22" s="7" t="s">
        <v>69</v>
      </c>
      <c r="H22" s="7" t="str">
        <f>_xlfn.XLOOKUP(G22,Lookup_Tables!$A$4:$A$9,Lookup_Tables!$C$4:$C$9,"Not Found",0)</f>
        <v>Vivek Malhotra</v>
      </c>
      <c r="I22" s="7" t="s">
        <v>85</v>
      </c>
      <c r="J22" s="7" t="s">
        <v>166</v>
      </c>
      <c r="K22" s="7" t="str">
        <f t="shared" si="4"/>
        <v>kirti.iyer@company.com</v>
      </c>
      <c r="L22" s="7" t="s">
        <v>167</v>
      </c>
      <c r="M22" s="7" t="str">
        <f t="shared" si="0"/>
        <v>3326596442</v>
      </c>
      <c r="N22" s="7" t="str" cm="1">
        <f t="array" ref="N22">_xlfn.IFS(M22="","Incomplete",LEN(M22)&lt;10,"Invalid",AND(LEN(M22) =10,LEFT(M22,4) &lt;&gt;"+91-"),"+91-"&amp;M22,TRUE,M22)</f>
        <v>+91-3326596442</v>
      </c>
      <c r="O22" s="8" t="s">
        <v>168</v>
      </c>
      <c r="P22" s="14" t="s">
        <v>114</v>
      </c>
      <c r="Q22" s="14" t="str">
        <f t="shared" si="1"/>
        <v>Still Employed</v>
      </c>
      <c r="R22" s="14" t="str" cm="1">
        <f t="array" ref="R22">_xlfn.IFS(OR(Q22="Missing",Q22="N/A",Q22="Still Employed"),Q22,ISNUMBER(SEARCH(",",Q22)),DATEVALUE(Q22),AND(ISNUMBER(SEARCH("-",Q22)),ISNUMBER(VALUE(LEFT(Q22,4)))),DATE(LEFT(Q22,4),MID(Q22,6,2),RIGHT(Q22,2)),ISNUMBER(SEARCH("-",Q22)),DATE(RIGHT(Q22,4),MID(Q22,4,2),LEFT(Q22,2)),ISNUMBER(SEARCH("/",Q22)),DATE(RIGHT(Q22,4),MID(Q22,4,2),LEFT(Q22,2)),TRUE,"Check Manually")</f>
        <v>Still Employed</v>
      </c>
      <c r="S22" s="31" t="str">
        <f t="shared" ca="1" si="5"/>
        <v>4 Years, 11 Months, 18 Days</v>
      </c>
      <c r="T22" s="31">
        <f t="shared" ca="1" si="6"/>
        <v>1813.8400000000001</v>
      </c>
      <c r="U22" s="31" t="str" cm="1">
        <f t="array" ref="U22">_xlfn.IFS(OR(R22="Missing",R22="N/A",R22="Still Employed"),"Unknown",ISNUMBER(R22),"Exited",TRUE,"Unknown")</f>
        <v>Unknown</v>
      </c>
      <c r="V22" s="31" t="str">
        <f t="shared" si="7"/>
        <v/>
      </c>
      <c r="W22" s="14" t="str">
        <f t="shared" si="8"/>
        <v>Active</v>
      </c>
      <c r="X22" s="19">
        <v>177349</v>
      </c>
      <c r="Y22" s="18" t="str">
        <f t="shared" si="9"/>
        <v>177349</v>
      </c>
      <c r="Z22" s="22" t="str" cm="1">
        <f t="array" ref="Z22">_xlfn.IFS(Y22="","0",LEFT(Y22,5)="",Y22,LEFT(Y22,1)="₹",REPLACE(Y22,1,1,""),LEFT(Y22,4)="Rs. ",REPLACE(Y22,1,4,""),TRUE,Y22)</f>
        <v>177349</v>
      </c>
      <c r="AA22" s="22" t="str">
        <f t="shared" si="10"/>
        <v>177349</v>
      </c>
      <c r="AB22" s="7" t="s">
        <v>127</v>
      </c>
      <c r="AC22" s="7" t="str">
        <f t="shared" si="11"/>
        <v>Good</v>
      </c>
      <c r="AD22" s="7">
        <v>7</v>
      </c>
      <c r="AE22" cm="1">
        <f t="array" ref="AE22">_xlfn.IFS(AD22="",0,AD22&lt;0,"Negate Leave",AD22&gt;=0,AD22)</f>
        <v>7</v>
      </c>
      <c r="AL22">
        <f>DATEDIF(0,AL21,"y")</f>
        <v>4</v>
      </c>
    </row>
    <row r="23" spans="1:40" x14ac:dyDescent="0.3">
      <c r="A23" s="7">
        <v>5234</v>
      </c>
      <c r="B23" s="7" t="s">
        <v>169</v>
      </c>
      <c r="C23" s="7" t="str">
        <f t="shared" si="2"/>
        <v>Manish  Trivedi</v>
      </c>
      <c r="D23" s="7" t="str">
        <f t="shared" si="3"/>
        <v>Manish Trivedi</v>
      </c>
      <c r="E23" s="7" t="s">
        <v>61</v>
      </c>
      <c r="F23" s="7" t="s">
        <v>219</v>
      </c>
      <c r="G23" s="7" t="s">
        <v>46</v>
      </c>
      <c r="H23" s="7" t="str">
        <f>_xlfn.XLOOKUP(G23,Lookup_Tables!$A$4:$A$9,Lookup_Tables!$C$4:$C$9,"Not Found",0)</f>
        <v>Faisal Ahmed</v>
      </c>
      <c r="I23" s="7" t="s">
        <v>47</v>
      </c>
      <c r="J23" s="7" t="s">
        <v>170</v>
      </c>
      <c r="K23" s="7" t="str">
        <f t="shared" si="4"/>
        <v>manish.trivedi@company.com</v>
      </c>
      <c r="L23" s="7" t="s">
        <v>171</v>
      </c>
      <c r="M23" s="7" t="str">
        <f t="shared" si="0"/>
        <v>+91-1825477549</v>
      </c>
      <c r="N23" s="7" t="str" cm="1">
        <f t="array" ref="N23">_xlfn.IFS(M23="","Incomplete",LEN(M23)&lt;10,"Invalid",AND(LEN(M23) =10,LEFT(M23,4) &lt;&gt;"+91-"),"+91-"&amp;M23,TRUE,M23)</f>
        <v>+91-1825477549</v>
      </c>
      <c r="O23" s="8" t="s">
        <v>172</v>
      </c>
      <c r="P23" s="14" t="s">
        <v>108</v>
      </c>
      <c r="Q23" s="14" t="str">
        <f t="shared" si="1"/>
        <v>30/06/2025</v>
      </c>
      <c r="R23" s="14" cm="1">
        <f t="array" ref="R23">_xlfn.IFS(OR(Q23="Missing",Q23="N/A",Q23="Still Employed"),Q23,ISNUMBER(SEARCH(",",Q23)),DATEVALUE(Q23),AND(ISNUMBER(SEARCH("-",Q23)),ISNUMBER(VALUE(LEFT(Q23,4)))),DATE(LEFT(Q23,4),MID(Q23,6,2),RIGHT(Q23,2)),ISNUMBER(SEARCH("-",Q23)),DATE(RIGHT(Q23,4),MID(Q23,4,2),LEFT(Q23,2)),ISNUMBER(SEARCH("/",Q23)),DATE(RIGHT(Q23,4),MID(Q23,4,2),LEFT(Q23,2)),TRUE,"Check Manually")</f>
        <v>45838</v>
      </c>
      <c r="S23" s="31" t="str">
        <f t="shared" ca="1" si="5"/>
        <v>3 Years, 1 Months, 11 Days</v>
      </c>
      <c r="T23" s="31">
        <f t="shared" ca="1" si="6"/>
        <v>1137.19</v>
      </c>
      <c r="U23" s="31" t="str" cm="1">
        <f t="array" ref="U23">_xlfn.IFS(OR(R23="Missing",R23="N/A",R23="Still Employed"),"Unknown",ISNUMBER(R23),"Exited",TRUE,"Unknown")</f>
        <v>Exited</v>
      </c>
      <c r="V23" s="31">
        <f t="shared" si="7"/>
        <v>2025</v>
      </c>
      <c r="W23" s="14" t="str">
        <f t="shared" si="8"/>
        <v>Exited</v>
      </c>
      <c r="X23" s="19" t="s">
        <v>173</v>
      </c>
      <c r="Y23" s="18" t="str">
        <f t="shared" si="9"/>
        <v>Rs. 157,049</v>
      </c>
      <c r="Z23" s="22" t="str" cm="1">
        <f t="array" ref="Z23">_xlfn.IFS(Y23="","0",LEFT(Y23,5)="",Y23,LEFT(Y23,1)="₹",REPLACE(Y23,1,1,""),LEFT(Y23,4)="Rs. ",REPLACE(Y23,1,4,""),TRUE,Y23)</f>
        <v>157,049</v>
      </c>
      <c r="AA23" s="22" t="str">
        <f t="shared" si="10"/>
        <v>157049</v>
      </c>
      <c r="AB23" s="7" t="s">
        <v>89</v>
      </c>
      <c r="AC23" s="7" t="str">
        <f t="shared" si="11"/>
        <v>Below Average</v>
      </c>
      <c r="AD23" s="7">
        <v>18</v>
      </c>
      <c r="AE23" cm="1">
        <f t="array" ref="AE23">_xlfn.IFS(AD23="",0,AD23&lt;0,"Negate Leave",AD23&gt;=0,AD23)</f>
        <v>18</v>
      </c>
      <c r="AI23" t="s">
        <v>2156</v>
      </c>
      <c r="AL23">
        <f>DATEDIF(0,AL21,"ym")</f>
        <v>10</v>
      </c>
    </row>
    <row r="24" spans="1:40" x14ac:dyDescent="0.3">
      <c r="A24" s="7">
        <v>5257</v>
      </c>
      <c r="B24" s="7" t="s">
        <v>174</v>
      </c>
      <c r="C24" s="7" t="str">
        <f t="shared" si="2"/>
        <v>Kavya Naidu</v>
      </c>
      <c r="D24" s="7" t="str">
        <f t="shared" si="3"/>
        <v>Kavya Naidu</v>
      </c>
      <c r="E24" s="7" t="s">
        <v>68</v>
      </c>
      <c r="F24" s="7" t="s">
        <v>389</v>
      </c>
      <c r="G24" s="7" t="s">
        <v>140</v>
      </c>
      <c r="H24" s="7" t="str">
        <f>_xlfn.XLOOKUP(G24,Lookup_Tables!$A$4:$A$9,Lookup_Tables!$C$4:$C$9,"Not Found",0)</f>
        <v>Sunita Rao</v>
      </c>
      <c r="I24" s="7" t="s">
        <v>175</v>
      </c>
      <c r="J24" s="7" t="s">
        <v>152</v>
      </c>
      <c r="K24" s="7" t="str">
        <f t="shared" si="4"/>
        <v>kavya.naidu@company.com</v>
      </c>
      <c r="L24" s="7" t="s">
        <v>176</v>
      </c>
      <c r="M24" s="7" t="str">
        <f t="shared" si="0"/>
        <v>7175635077</v>
      </c>
      <c r="N24" s="7" t="str" cm="1">
        <f t="array" ref="N24">_xlfn.IFS(M24="","Incomplete",LEN(M24)&lt;10,"Invalid",AND(LEN(M24) =10,LEFT(M24,4) &lt;&gt;"+91-"),"+91-"&amp;M24,TRUE,M24)</f>
        <v>+91-7175635077</v>
      </c>
      <c r="O24" s="8" t="s">
        <v>177</v>
      </c>
      <c r="P24" s="14" t="s">
        <v>126</v>
      </c>
      <c r="Q24" s="14" t="str">
        <f t="shared" si="1"/>
        <v>N/A</v>
      </c>
      <c r="R24" s="14" t="str" cm="1">
        <f t="array" ref="R24">_xlfn.IFS(OR(Q24="Missing",Q24="N/A",Q24="Still Employed"),Q24,ISNUMBER(SEARCH(",",Q24)),DATEVALUE(Q24),AND(ISNUMBER(SEARCH("-",Q24)),ISNUMBER(VALUE(LEFT(Q24,4)))),DATE(LEFT(Q24,4),MID(Q24,6,2),RIGHT(Q24,2)),ISNUMBER(SEARCH("-",Q24)),DATE(RIGHT(Q24,4),MID(Q24,4,2),LEFT(Q24,2)),ISNUMBER(SEARCH("/",Q24)),DATE(RIGHT(Q24,4),MID(Q24,4,2),LEFT(Q24,2)),TRUE,"Check Manually")</f>
        <v>N/A</v>
      </c>
      <c r="S24" s="31" t="str">
        <f t="shared" ca="1" si="5"/>
        <v>2 Years, 9 Months, 2 Days</v>
      </c>
      <c r="T24" s="31">
        <f t="shared" ca="1" si="6"/>
        <v>1006.46</v>
      </c>
      <c r="U24" s="31" t="str" cm="1">
        <f t="array" ref="U24">_xlfn.IFS(OR(R24="Missing",R24="N/A",R24="Still Employed"),"Unknown",ISNUMBER(R24),"Exited",TRUE,"Unknown")</f>
        <v>Unknown</v>
      </c>
      <c r="V24" s="31" t="str">
        <f t="shared" si="7"/>
        <v/>
      </c>
      <c r="W24" s="14" t="str">
        <f t="shared" si="8"/>
        <v>Active</v>
      </c>
      <c r="X24" s="19" t="s">
        <v>178</v>
      </c>
      <c r="Y24" s="18" t="str">
        <f t="shared" si="9"/>
        <v>₹68,179</v>
      </c>
      <c r="Z24" s="22" t="str" cm="1">
        <f t="array" ref="Z24">_xlfn.IFS(Y24="","0",LEFT(Y24,5)="",Y24,LEFT(Y24,1)="₹",REPLACE(Y24,1,1,""),LEFT(Y24,4)="Rs. ",REPLACE(Y24,1,4,""),TRUE,Y24)</f>
        <v>68,179</v>
      </c>
      <c r="AA24" s="22" t="str">
        <f t="shared" si="10"/>
        <v>68179</v>
      </c>
      <c r="AB24" s="7" t="s">
        <v>144</v>
      </c>
      <c r="AC24" s="7" t="str">
        <f t="shared" si="11"/>
        <v>Poor</v>
      </c>
      <c r="AD24" s="7">
        <v>11</v>
      </c>
      <c r="AE24" cm="1">
        <f t="array" ref="AE24">_xlfn.IFS(AD24="",0,AD24&lt;0,"Negate Leave",AD24&gt;=0,AD24)</f>
        <v>11</v>
      </c>
      <c r="AL24">
        <f>DATEDIF(0,AL21,"md")</f>
        <v>28</v>
      </c>
    </row>
    <row r="25" spans="1:40" x14ac:dyDescent="0.3">
      <c r="A25" s="7">
        <v>5222</v>
      </c>
      <c r="B25" s="7" t="s">
        <v>179</v>
      </c>
      <c r="C25" s="7" t="str">
        <f t="shared" si="2"/>
        <v>Anita Trivedi</v>
      </c>
      <c r="D25" s="7" t="str">
        <f t="shared" si="3"/>
        <v>Anita Trivedi</v>
      </c>
      <c r="E25" s="7" t="s">
        <v>68</v>
      </c>
      <c r="F25" s="7" t="s">
        <v>219</v>
      </c>
      <c r="G25" s="7" t="s">
        <v>46</v>
      </c>
      <c r="H25" s="7" t="str">
        <f>_xlfn.XLOOKUP(G25,Lookup_Tables!$A$4:$A$9,Lookup_Tables!$C$4:$C$9,"Not Found",0)</f>
        <v>Faisal Ahmed</v>
      </c>
      <c r="I25" s="7" t="s">
        <v>70</v>
      </c>
      <c r="J25" s="7" t="s">
        <v>180</v>
      </c>
      <c r="K25" s="7" t="str">
        <f t="shared" si="4"/>
        <v>anita.trivedi@company.com</v>
      </c>
      <c r="L25" s="7" t="s">
        <v>181</v>
      </c>
      <c r="M25" s="7" t="str">
        <f t="shared" si="0"/>
        <v>5604428899</v>
      </c>
      <c r="N25" s="7" t="str" cm="1">
        <f t="array" ref="N25">_xlfn.IFS(M25="","Incomplete",LEN(M25)&lt;10,"Invalid",AND(LEN(M25) =10,LEFT(M25,4) &lt;&gt;"+91-"),"+91-"&amp;M25,TRUE,M25)</f>
        <v>+91-5604428899</v>
      </c>
      <c r="O25" s="8" t="s">
        <v>182</v>
      </c>
      <c r="P25" s="14"/>
      <c r="Q25" s="14" t="str">
        <f t="shared" si="1"/>
        <v>Missing</v>
      </c>
      <c r="R25" s="14" t="str" cm="1">
        <f t="array" ref="R25">_xlfn.IFS(OR(Q25="Missing",Q25="N/A",Q25="Still Employed"),Q25,ISNUMBER(SEARCH(",",Q25)),DATEVALUE(Q25),AND(ISNUMBER(SEARCH("-",Q25)),ISNUMBER(VALUE(LEFT(Q25,4)))),DATE(LEFT(Q25,4),MID(Q25,6,2),RIGHT(Q25,2)),ISNUMBER(SEARCH("-",Q25)),DATE(RIGHT(Q25,4),MID(Q25,4,2),LEFT(Q25,2)),ISNUMBER(SEARCH("/",Q25)),DATE(RIGHT(Q25,4),MID(Q25,4,2),LEFT(Q25,2)),TRUE,"Check Manually")</f>
        <v>Missing</v>
      </c>
      <c r="S25" s="31" t="str">
        <f t="shared" ca="1" si="5"/>
        <v>5 Years, 5 Months, 17 Days</v>
      </c>
      <c r="T25" s="31">
        <f t="shared" ca="1" si="6"/>
        <v>1995.45</v>
      </c>
      <c r="U25" s="31" t="str" cm="1">
        <f t="array" ref="U25">_xlfn.IFS(OR(R25="Missing",R25="N/A",R25="Still Employed"),"Unknown",ISNUMBER(R25),"Exited",TRUE,"Unknown")</f>
        <v>Unknown</v>
      </c>
      <c r="V25" s="31" t="str">
        <f t="shared" si="7"/>
        <v/>
      </c>
      <c r="W25" s="14" t="str">
        <f t="shared" si="8"/>
        <v>Active</v>
      </c>
      <c r="X25" s="19">
        <v>108898</v>
      </c>
      <c r="Y25" s="18" t="str">
        <f t="shared" si="9"/>
        <v>108898</v>
      </c>
      <c r="Z25" s="22" t="str" cm="1">
        <f t="array" ref="Z25">_xlfn.IFS(Y25="","0",LEFT(Y25,5)="",Y25,LEFT(Y25,1)="₹",REPLACE(Y25,1,1,""),LEFT(Y25,4)="Rs. ",REPLACE(Y25,1,4,""),TRUE,Y25)</f>
        <v>108898</v>
      </c>
      <c r="AA25" s="22" t="str">
        <f t="shared" si="10"/>
        <v>108898</v>
      </c>
      <c r="AB25" s="7" t="s">
        <v>127</v>
      </c>
      <c r="AC25" s="7" t="str">
        <f t="shared" si="11"/>
        <v>Good</v>
      </c>
      <c r="AD25" s="7">
        <v>24</v>
      </c>
      <c r="AE25" cm="1">
        <f t="array" ref="AE25">_xlfn.IFS(AD25="",0,AD25&lt;0,"Negate Leave",AD25&gt;=0,AD25)</f>
        <v>24</v>
      </c>
    </row>
    <row r="26" spans="1:40" x14ac:dyDescent="0.3">
      <c r="A26" s="7">
        <v>5081</v>
      </c>
      <c r="B26" s="7" t="s">
        <v>183</v>
      </c>
      <c r="C26" s="7" t="str">
        <f t="shared" si="2"/>
        <v>Isha Mehta</v>
      </c>
      <c r="D26" s="7" t="str">
        <f t="shared" si="3"/>
        <v>Isha Mehta</v>
      </c>
      <c r="E26" s="7" t="s">
        <v>84</v>
      </c>
      <c r="F26" s="7" t="s">
        <v>133</v>
      </c>
      <c r="G26" s="7" t="s">
        <v>69</v>
      </c>
      <c r="H26" s="7" t="str">
        <f>_xlfn.XLOOKUP(G26,Lookup_Tables!$A$4:$A$9,Lookup_Tables!$C$4:$C$9,"Not Found",0)</f>
        <v>Vivek Malhotra</v>
      </c>
      <c r="I26" s="7" t="s">
        <v>175</v>
      </c>
      <c r="J26" s="7" t="s">
        <v>184</v>
      </c>
      <c r="K26" s="7" t="str">
        <f t="shared" si="4"/>
        <v xml:space="preserve">isha.mehta@company.com </v>
      </c>
      <c r="L26" s="7"/>
      <c r="M26" s="7" t="str">
        <f t="shared" si="0"/>
        <v/>
      </c>
      <c r="N26" s="7" t="str" cm="1">
        <f t="array" ref="N26">_xlfn.IFS(M26="","Incomplete",LEN(M26)&lt;10,"Invalid",AND(LEN(M26) =10,LEFT(M26,4) &lt;&gt;"+91-"),"+91-"&amp;M26,TRUE,M26)</f>
        <v>Incomplete</v>
      </c>
      <c r="O26" s="8" t="s">
        <v>185</v>
      </c>
      <c r="P26" s="14" t="s">
        <v>186</v>
      </c>
      <c r="Q26" s="14" t="str">
        <f t="shared" si="1"/>
        <v>Oct 10, 2024</v>
      </c>
      <c r="R26" s="14" cm="1">
        <f t="array" ref="R26">_xlfn.IFS(OR(Q26="Missing",Q26="N/A",Q26="Still Employed"),Q26,ISNUMBER(SEARCH(",",Q26)),DATEVALUE(Q26),AND(ISNUMBER(SEARCH("-",Q26)),ISNUMBER(VALUE(LEFT(Q26,4)))),DATE(LEFT(Q26,4),MID(Q26,6,2),RIGHT(Q26,2)),ISNUMBER(SEARCH("-",Q26)),DATE(RIGHT(Q26,4),MID(Q26,4,2),LEFT(Q26,2)),ISNUMBER(SEARCH("/",Q26)),DATE(RIGHT(Q26,4),MID(Q26,4,2),LEFT(Q26,2)),TRUE,"Check Manually")</f>
        <v>45575</v>
      </c>
      <c r="S26" s="31" t="str">
        <f t="shared" ca="1" si="5"/>
        <v>0 Years, 8 Months, 9 Days</v>
      </c>
      <c r="T26" s="31">
        <f t="shared" ca="1" si="6"/>
        <v>252.52</v>
      </c>
      <c r="U26" s="31" t="str" cm="1">
        <f t="array" ref="U26">_xlfn.IFS(OR(R26="Missing",R26="N/A",R26="Still Employed"),"Unknown",ISNUMBER(R26),"Exited",TRUE,"Unknown")</f>
        <v>Exited</v>
      </c>
      <c r="V26" s="31">
        <f t="shared" si="7"/>
        <v>2024</v>
      </c>
      <c r="W26" s="14" t="str">
        <f t="shared" si="8"/>
        <v>Exited</v>
      </c>
      <c r="X26" s="19">
        <v>61346</v>
      </c>
      <c r="Y26" s="18" t="str">
        <f t="shared" si="9"/>
        <v>61346</v>
      </c>
      <c r="Z26" s="22" t="str" cm="1">
        <f t="array" ref="Z26">_xlfn.IFS(Y26="","0",LEFT(Y26,5)="",Y26,LEFT(Y26,1)="₹",REPLACE(Y26,1,1,""),LEFT(Y26,4)="Rs. ",REPLACE(Y26,1,4,""),TRUE,Y26)</f>
        <v>61346</v>
      </c>
      <c r="AA26" s="22" t="str">
        <f t="shared" si="10"/>
        <v>61346</v>
      </c>
      <c r="AB26" s="7" t="s">
        <v>95</v>
      </c>
      <c r="AC26" s="7" t="str">
        <f t="shared" si="11"/>
        <v>Average</v>
      </c>
      <c r="AD26" s="7">
        <v>15</v>
      </c>
      <c r="AE26" cm="1">
        <f t="array" ref="AE26">_xlfn.IFS(AD26="",0,AD26&lt;0,"Negate Leave",AD26&gt;=0,AD26)</f>
        <v>15</v>
      </c>
    </row>
    <row r="27" spans="1:40" x14ac:dyDescent="0.3">
      <c r="A27" s="7">
        <v>5305</v>
      </c>
      <c r="B27" s="7" t="s">
        <v>187</v>
      </c>
      <c r="C27" s="7" t="str">
        <f t="shared" si="2"/>
        <v>Anita Desai</v>
      </c>
      <c r="D27" s="7" t="str">
        <f t="shared" si="3"/>
        <v>Anita Desai</v>
      </c>
      <c r="E27" s="7" t="s">
        <v>84</v>
      </c>
      <c r="F27" s="7" t="s">
        <v>133</v>
      </c>
      <c r="G27" s="7" t="s">
        <v>69</v>
      </c>
      <c r="H27" s="7" t="str">
        <f>_xlfn.XLOOKUP(G27,Lookup_Tables!$A$4:$A$9,Lookup_Tables!$C$4:$C$9,"Not Found",0)</f>
        <v>Vivek Malhotra</v>
      </c>
      <c r="I27" s="7" t="s">
        <v>47</v>
      </c>
      <c r="J27" s="7" t="s">
        <v>188</v>
      </c>
      <c r="K27" s="7" t="str">
        <f t="shared" si="4"/>
        <v>anita.desai@company.com</v>
      </c>
      <c r="L27" s="7" t="s">
        <v>189</v>
      </c>
      <c r="M27" s="7" t="str">
        <f t="shared" si="0"/>
        <v>5974426531</v>
      </c>
      <c r="N27" s="7" t="str" cm="1">
        <f t="array" ref="N27">_xlfn.IFS(M27="","Incomplete",LEN(M27)&lt;10,"Invalid",AND(LEN(M27) =10,LEFT(M27,4) &lt;&gt;"+91-"),"+91-"&amp;M27,TRUE,M27)</f>
        <v>+91-5974426531</v>
      </c>
      <c r="O27" s="8" t="s">
        <v>190</v>
      </c>
      <c r="P27" s="14" t="s">
        <v>114</v>
      </c>
      <c r="Q27" s="14" t="str">
        <f t="shared" si="1"/>
        <v>Still Employed</v>
      </c>
      <c r="R27" s="14" t="str" cm="1">
        <f t="array" ref="R27">_xlfn.IFS(OR(Q27="Missing",Q27="N/A",Q27="Still Employed"),Q27,ISNUMBER(SEARCH(",",Q27)),DATEVALUE(Q27),AND(ISNUMBER(SEARCH("-",Q27)),ISNUMBER(VALUE(LEFT(Q27,4)))),DATE(LEFT(Q27,4),MID(Q27,6,2),RIGHT(Q27,2)),ISNUMBER(SEARCH("-",Q27)),DATE(RIGHT(Q27,4),MID(Q27,4,2),LEFT(Q27,2)),ISNUMBER(SEARCH("/",Q27)),DATE(RIGHT(Q27,4),MID(Q27,4,2),LEFT(Q27,2)),TRUE,"Check Manually")</f>
        <v>Still Employed</v>
      </c>
      <c r="S27" s="31" t="str">
        <f t="shared" ca="1" si="5"/>
        <v>5 Years, 9 Months, 9 Days</v>
      </c>
      <c r="T27" s="31">
        <f t="shared" ca="1" si="6"/>
        <v>2109.21</v>
      </c>
      <c r="U27" s="31" t="str" cm="1">
        <f t="array" ref="U27">_xlfn.IFS(OR(R27="Missing",R27="N/A",R27="Still Employed"),"Unknown",ISNUMBER(R27),"Exited",TRUE,"Unknown")</f>
        <v>Unknown</v>
      </c>
      <c r="V27" s="31" t="str">
        <f t="shared" si="7"/>
        <v/>
      </c>
      <c r="W27" s="14" t="str">
        <f t="shared" si="8"/>
        <v>Active</v>
      </c>
      <c r="X27" s="19">
        <v>41487</v>
      </c>
      <c r="Y27" s="18" t="str">
        <f t="shared" si="9"/>
        <v>41487</v>
      </c>
      <c r="Z27" s="22" t="str" cm="1">
        <f t="array" ref="Z27">_xlfn.IFS(Y27="","0",LEFT(Y27,5)="",Y27,LEFT(Y27,1)="₹",REPLACE(Y27,1,1,""),LEFT(Y27,4)="Rs. ",REPLACE(Y27,1,4,""),TRUE,Y27)</f>
        <v>41487</v>
      </c>
      <c r="AA27" s="22" t="str">
        <f t="shared" si="10"/>
        <v>41487</v>
      </c>
      <c r="AB27" s="7" t="s">
        <v>144</v>
      </c>
      <c r="AC27" s="7" t="str">
        <f t="shared" si="11"/>
        <v>Poor</v>
      </c>
      <c r="AD27" s="7">
        <v>13</v>
      </c>
      <c r="AE27" cm="1">
        <f t="array" ref="AE27">_xlfn.IFS(AD27="",0,AD27&lt;0,"Negate Leave",AD27&gt;=0,AD27)</f>
        <v>13</v>
      </c>
    </row>
    <row r="28" spans="1:40" x14ac:dyDescent="0.3">
      <c r="A28" s="7">
        <v>5199</v>
      </c>
      <c r="B28" s="7" t="s">
        <v>191</v>
      </c>
      <c r="C28" s="7" t="str">
        <f t="shared" si="2"/>
        <v>KARTHIK BHATT</v>
      </c>
      <c r="D28" s="7" t="str">
        <f t="shared" si="3"/>
        <v>Karthik Bhatt</v>
      </c>
      <c r="E28" s="7" t="s">
        <v>68</v>
      </c>
      <c r="F28" s="7" t="s">
        <v>133</v>
      </c>
      <c r="G28" s="7" t="s">
        <v>69</v>
      </c>
      <c r="H28" s="7" t="str">
        <f>_xlfn.XLOOKUP(G28,Lookup_Tables!$A$4:$A$9,Lookup_Tables!$C$4:$C$9,"Not Found",0)</f>
        <v>Vivek Malhotra</v>
      </c>
      <c r="I28" s="7" t="s">
        <v>70</v>
      </c>
      <c r="J28" s="7" t="s">
        <v>192</v>
      </c>
      <c r="K28" s="7" t="str">
        <f t="shared" si="4"/>
        <v>karthik.bhatt@company.com</v>
      </c>
      <c r="L28" s="7" t="s">
        <v>193</v>
      </c>
      <c r="M28" s="7" t="str">
        <f t="shared" si="0"/>
        <v>7774951879</v>
      </c>
      <c r="N28" s="7" t="str" cm="1">
        <f t="array" ref="N28">_xlfn.IFS(M28="","Incomplete",LEN(M28)&lt;10,"Invalid",AND(LEN(M28) =10,LEFT(M28,4) &lt;&gt;"+91-"),"+91-"&amp;M28,TRUE,M28)</f>
        <v>+91-7774951879</v>
      </c>
      <c r="O28" s="8" t="s">
        <v>194</v>
      </c>
      <c r="P28" s="14"/>
      <c r="Q28" s="14" t="str">
        <f t="shared" si="1"/>
        <v>Missing</v>
      </c>
      <c r="R28" s="14" t="str" cm="1">
        <f t="array" ref="R28">_xlfn.IFS(OR(Q28="Missing",Q28="N/A",Q28="Still Employed"),Q28,ISNUMBER(SEARCH(",",Q28)),DATEVALUE(Q28),AND(ISNUMBER(SEARCH("-",Q28)),ISNUMBER(VALUE(LEFT(Q28,4)))),DATE(LEFT(Q28,4),MID(Q28,6,2),RIGHT(Q28,2)),ISNUMBER(SEARCH("-",Q28)),DATE(RIGHT(Q28,4),MID(Q28,4,2),LEFT(Q28,2)),ISNUMBER(SEARCH("/",Q28)),DATE(RIGHT(Q28,4),MID(Q28,4,2),LEFT(Q28,2)),TRUE,"Check Manually")</f>
        <v>Missing</v>
      </c>
      <c r="S28" s="31" t="str">
        <f t="shared" ca="1" si="5"/>
        <v>6 Years, 9 Months, 1 Days</v>
      </c>
      <c r="T28" s="31">
        <f t="shared" ca="1" si="6"/>
        <v>2466.46</v>
      </c>
      <c r="U28" s="31" t="str" cm="1">
        <f t="array" ref="U28">_xlfn.IFS(OR(R28="Missing",R28="N/A",R28="Still Employed"),"Unknown",ISNUMBER(R28),"Exited",TRUE,"Unknown")</f>
        <v>Unknown</v>
      </c>
      <c r="V28" s="31" t="str">
        <f t="shared" si="7"/>
        <v/>
      </c>
      <c r="W28" s="14" t="str">
        <f t="shared" si="8"/>
        <v>Active</v>
      </c>
      <c r="X28" s="19" t="s">
        <v>195</v>
      </c>
      <c r="Y28" s="18" t="str">
        <f t="shared" si="9"/>
        <v>₹118,429</v>
      </c>
      <c r="Z28" s="22" t="str" cm="1">
        <f t="array" ref="Z28">_xlfn.IFS(Y28="","0",LEFT(Y28,5)="",Y28,LEFT(Y28,1)="₹",REPLACE(Y28,1,1,""),LEFT(Y28,4)="Rs. ",REPLACE(Y28,1,4,""),TRUE,Y28)</f>
        <v>118,429</v>
      </c>
      <c r="AA28" s="22" t="str">
        <f t="shared" si="10"/>
        <v>118429</v>
      </c>
      <c r="AB28" s="7" t="s">
        <v>51</v>
      </c>
      <c r="AC28" s="7" t="str">
        <f t="shared" si="11"/>
        <v>Excellent</v>
      </c>
      <c r="AD28" s="7">
        <v>0</v>
      </c>
      <c r="AE28" cm="1">
        <f t="array" ref="AE28">_xlfn.IFS(AD28="",0,AD28&lt;0,"Negate Leave",AD28&gt;=0,AD28)</f>
        <v>0</v>
      </c>
    </row>
    <row r="29" spans="1:40" x14ac:dyDescent="0.3">
      <c r="A29" s="7">
        <v>5313</v>
      </c>
      <c r="B29" s="7" t="s">
        <v>196</v>
      </c>
      <c r="C29" s="7" t="str">
        <f t="shared" si="2"/>
        <v>Anjali Saxena</v>
      </c>
      <c r="D29" s="7" t="str">
        <f t="shared" si="3"/>
        <v>Anjali Saxena</v>
      </c>
      <c r="E29" s="7" t="s">
        <v>68</v>
      </c>
      <c r="F29" s="7" t="s">
        <v>122</v>
      </c>
      <c r="G29" s="7" t="s">
        <v>91</v>
      </c>
      <c r="H29" s="7" t="str">
        <f>_xlfn.XLOOKUP(G29,Lookup_Tables!$A$4:$A$9,Lookup_Tables!$C$4:$C$9,"Not Found",0)</f>
        <v>Rajiv Kapoor</v>
      </c>
      <c r="I29" s="7" t="s">
        <v>55</v>
      </c>
      <c r="J29" s="7" t="s">
        <v>197</v>
      </c>
      <c r="K29" s="7" t="str">
        <f t="shared" si="4"/>
        <v>anjali.saxena@company.com</v>
      </c>
      <c r="L29" s="7"/>
      <c r="M29" s="7" t="str">
        <f t="shared" si="0"/>
        <v/>
      </c>
      <c r="N29" s="7" t="str" cm="1">
        <f t="array" ref="N29">_xlfn.IFS(M29="","Incomplete",LEN(M29)&lt;10,"Invalid",AND(LEN(M29) =10,LEFT(M29,4) &lt;&gt;"+91-"),"+91-"&amp;M29,TRUE,M29)</f>
        <v>Incomplete</v>
      </c>
      <c r="O29" s="8" t="s">
        <v>198</v>
      </c>
      <c r="P29" s="14" t="s">
        <v>114</v>
      </c>
      <c r="Q29" s="14" t="str">
        <f t="shared" si="1"/>
        <v>Still Employed</v>
      </c>
      <c r="R29" s="14" t="str" cm="1">
        <f t="array" ref="R29">_xlfn.IFS(OR(Q29="Missing",Q29="N/A",Q29="Still Employed"),Q29,ISNUMBER(SEARCH(",",Q29)),DATEVALUE(Q29),AND(ISNUMBER(SEARCH("-",Q29)),ISNUMBER(VALUE(LEFT(Q29,4)))),DATE(LEFT(Q29,4),MID(Q29,6,2),RIGHT(Q29,2)),ISNUMBER(SEARCH("-",Q29)),DATE(RIGHT(Q29,4),MID(Q29,4,2),LEFT(Q29,2)),ISNUMBER(SEARCH("/",Q29)),DATE(RIGHT(Q29,4),MID(Q29,4,2),LEFT(Q29,2)),TRUE,"Check Manually")</f>
        <v>Still Employed</v>
      </c>
      <c r="S29" s="31" t="str">
        <f t="shared" ca="1" si="5"/>
        <v>7 Years, 8 Months, 14 Days</v>
      </c>
      <c r="T29" s="31">
        <f t="shared" ca="1" si="6"/>
        <v>2814.27</v>
      </c>
      <c r="U29" s="31" t="str" cm="1">
        <f t="array" ref="U29">_xlfn.IFS(OR(R29="Missing",R29="N/A",R29="Still Employed"),"Unknown",ISNUMBER(R29),"Exited",TRUE,"Unknown")</f>
        <v>Unknown</v>
      </c>
      <c r="V29" s="31" t="str">
        <f t="shared" si="7"/>
        <v/>
      </c>
      <c r="W29" s="14" t="str">
        <f t="shared" si="8"/>
        <v>Active</v>
      </c>
      <c r="X29" s="19">
        <v>166172</v>
      </c>
      <c r="Y29" s="18" t="str">
        <f t="shared" si="9"/>
        <v>166172</v>
      </c>
      <c r="Z29" s="22" t="str" cm="1">
        <f t="array" ref="Z29">_xlfn.IFS(Y29="","0",LEFT(Y29,5)="",Y29,LEFT(Y29,1)="₹",REPLACE(Y29,1,1,""),LEFT(Y29,4)="Rs. ",REPLACE(Y29,1,4,""),TRUE,Y29)</f>
        <v>166172</v>
      </c>
      <c r="AA29" s="22" t="str">
        <f t="shared" si="10"/>
        <v>166172</v>
      </c>
      <c r="AB29" s="7" t="s">
        <v>95</v>
      </c>
      <c r="AC29" s="7" t="str">
        <f t="shared" si="11"/>
        <v>Average</v>
      </c>
      <c r="AD29" s="7">
        <v>14</v>
      </c>
      <c r="AE29" cm="1">
        <f t="array" ref="AE29">_xlfn.IFS(AD29="",0,AD29&lt;0,"Negate Leave",AD29&gt;=0,AD29)</f>
        <v>14</v>
      </c>
    </row>
    <row r="30" spans="1:40" x14ac:dyDescent="0.3">
      <c r="A30" s="7">
        <v>5120</v>
      </c>
      <c r="B30" s="7" t="s">
        <v>199</v>
      </c>
      <c r="C30" s="7" t="str">
        <f t="shared" si="2"/>
        <v>Rahul Shah</v>
      </c>
      <c r="D30" s="7" t="str">
        <f t="shared" si="3"/>
        <v>Rahul Shah</v>
      </c>
      <c r="E30" s="7" t="s">
        <v>68</v>
      </c>
      <c r="F30" s="7" t="s">
        <v>53</v>
      </c>
      <c r="G30" s="7" t="s">
        <v>54</v>
      </c>
      <c r="H30" s="7" t="str">
        <f>_xlfn.XLOOKUP(G30,Lookup_Tables!$A$4:$A$9,Lookup_Tables!$C$4:$C$9,"Not Found",0)</f>
        <v>Leela Iyer</v>
      </c>
      <c r="I30" s="7" t="s">
        <v>175</v>
      </c>
      <c r="J30" s="7" t="s">
        <v>200</v>
      </c>
      <c r="K30" s="7" t="str">
        <f t="shared" si="4"/>
        <v>rahul.shah@company.com</v>
      </c>
      <c r="L30" s="7" t="s">
        <v>201</v>
      </c>
      <c r="M30" s="7" t="str">
        <f t="shared" si="0"/>
        <v>6626662039</v>
      </c>
      <c r="N30" s="7" t="str" cm="1">
        <f t="array" ref="N30">_xlfn.IFS(M30="","Incomplete",LEN(M30)&lt;10,"Invalid",AND(LEN(M30) =10,LEFT(M30,4) &lt;&gt;"+91-"),"+91-"&amp;M30,TRUE,M30)</f>
        <v>+91-6626662039</v>
      </c>
      <c r="O30" s="8" t="s">
        <v>202</v>
      </c>
      <c r="P30" s="14"/>
      <c r="Q30" s="14" t="str">
        <f t="shared" si="1"/>
        <v>Missing</v>
      </c>
      <c r="R30" s="14" t="str" cm="1">
        <f t="array" ref="R30">_xlfn.IFS(OR(Q30="Missing",Q30="N/A",Q30="Still Employed"),Q30,ISNUMBER(SEARCH(",",Q30)),DATEVALUE(Q30),AND(ISNUMBER(SEARCH("-",Q30)),ISNUMBER(VALUE(LEFT(Q30,4)))),DATE(LEFT(Q30,4),MID(Q30,6,2),RIGHT(Q30,2)),ISNUMBER(SEARCH("-",Q30)),DATE(RIGHT(Q30,4),MID(Q30,4,2),LEFT(Q30,2)),ISNUMBER(SEARCH("/",Q30)),DATE(RIGHT(Q30,4),MID(Q30,4,2),LEFT(Q30,2)),TRUE,"Check Manually")</f>
        <v>Missing</v>
      </c>
      <c r="S30" s="31" t="str">
        <f t="shared" ca="1" si="5"/>
        <v>2 Years, 5 Months, 14 Days</v>
      </c>
      <c r="T30" s="31">
        <f t="shared" ca="1" si="6"/>
        <v>896.7</v>
      </c>
      <c r="U30" s="31" t="str" cm="1">
        <f t="array" ref="U30">_xlfn.IFS(OR(R30="Missing",R30="N/A",R30="Still Employed"),"Unknown",ISNUMBER(R30),"Exited",TRUE,"Unknown")</f>
        <v>Unknown</v>
      </c>
      <c r="V30" s="31" t="str">
        <f t="shared" si="7"/>
        <v/>
      </c>
      <c r="W30" s="14" t="str">
        <f t="shared" si="8"/>
        <v>Active</v>
      </c>
      <c r="X30" s="19" t="s">
        <v>203</v>
      </c>
      <c r="Y30" s="18" t="str">
        <f t="shared" si="9"/>
        <v>142,576</v>
      </c>
      <c r="Z30" s="22" t="str" cm="1">
        <f t="array" ref="Z30">_xlfn.IFS(Y30="","0",LEFT(Y30,5)="",Y30,LEFT(Y30,1)="₹",REPLACE(Y30,1,1,""),LEFT(Y30,4)="Rs. ",REPLACE(Y30,1,4,""),TRUE,Y30)</f>
        <v>142,576</v>
      </c>
      <c r="AA30" s="22" t="str">
        <f t="shared" si="10"/>
        <v>142576</v>
      </c>
      <c r="AB30" s="7" t="s">
        <v>51</v>
      </c>
      <c r="AC30" s="7" t="str">
        <f t="shared" si="11"/>
        <v>Excellent</v>
      </c>
      <c r="AD30" s="7">
        <v>4</v>
      </c>
      <c r="AE30" cm="1">
        <f t="array" ref="AE30">_xlfn.IFS(AD30="",0,AD30&lt;0,"Negate Leave",AD30&gt;=0,AD30)</f>
        <v>4</v>
      </c>
    </row>
    <row r="31" spans="1:40" x14ac:dyDescent="0.3">
      <c r="A31" s="7">
        <v>5080</v>
      </c>
      <c r="B31" s="7" t="s">
        <v>204</v>
      </c>
      <c r="C31" s="7" t="str">
        <f t="shared" si="2"/>
        <v>Deepak Desai</v>
      </c>
      <c r="D31" s="7" t="str">
        <f t="shared" si="3"/>
        <v>Deepak Desai</v>
      </c>
      <c r="E31" s="7" t="s">
        <v>61</v>
      </c>
      <c r="F31" s="7" t="s">
        <v>133</v>
      </c>
      <c r="G31" s="7" t="s">
        <v>69</v>
      </c>
      <c r="H31" s="7" t="str">
        <f>_xlfn.XLOOKUP(G31,Lookup_Tables!$A$4:$A$9,Lookup_Tables!$C$4:$C$9,"Not Found",0)</f>
        <v>Vivek Malhotra</v>
      </c>
      <c r="I31" s="7" t="s">
        <v>77</v>
      </c>
      <c r="J31" s="7" t="s">
        <v>205</v>
      </c>
      <c r="K31" s="7" t="str">
        <f t="shared" si="4"/>
        <v>deepak.desai@company.com</v>
      </c>
      <c r="L31" s="7" t="s">
        <v>206</v>
      </c>
      <c r="M31" s="7" t="str">
        <f t="shared" si="0"/>
        <v>0518215638</v>
      </c>
      <c r="N31" s="7" t="str" cm="1">
        <f t="array" ref="N31">_xlfn.IFS(M31="","Incomplete",LEN(M31)&lt;10,"Invalid",AND(LEN(M31) =10,LEFT(M31,4) &lt;&gt;"+91-"),"+91-"&amp;M31,TRUE,M31)</f>
        <v>+91-0518215638</v>
      </c>
      <c r="O31" s="8" t="s">
        <v>207</v>
      </c>
      <c r="P31" s="14" t="s">
        <v>114</v>
      </c>
      <c r="Q31" s="14" t="str">
        <f t="shared" si="1"/>
        <v>Still Employed</v>
      </c>
      <c r="R31" s="14" t="str" cm="1">
        <f t="array" ref="R31">_xlfn.IFS(OR(Q31="Missing",Q31="N/A",Q31="Still Employed"),Q31,ISNUMBER(SEARCH(",",Q31)),DATEVALUE(Q31),AND(ISNUMBER(SEARCH("-",Q31)),ISNUMBER(VALUE(LEFT(Q31,4)))),DATE(LEFT(Q31,4),MID(Q31,6,2),RIGHT(Q31,2)),ISNUMBER(SEARCH("-",Q31)),DATE(RIGHT(Q31,4),MID(Q31,4,2),LEFT(Q31,2)),ISNUMBER(SEARCH("/",Q31)),DATE(RIGHT(Q31,4),MID(Q31,4,2),LEFT(Q31,2)),TRUE,"Check Manually")</f>
        <v>Still Employed</v>
      </c>
      <c r="S31" s="31" t="str">
        <f t="shared" ca="1" si="5"/>
        <v>2 Years, 3 Months, 4 Days</v>
      </c>
      <c r="T31" s="31">
        <f t="shared" ca="1" si="6"/>
        <v>825.82</v>
      </c>
      <c r="U31" s="31" t="str" cm="1">
        <f t="array" ref="U31">_xlfn.IFS(OR(R31="Missing",R31="N/A",R31="Still Employed"),"Unknown",ISNUMBER(R31),"Exited",TRUE,"Unknown")</f>
        <v>Unknown</v>
      </c>
      <c r="V31" s="31" t="str">
        <f t="shared" si="7"/>
        <v/>
      </c>
      <c r="W31" s="14" t="str">
        <f t="shared" si="8"/>
        <v>Active</v>
      </c>
      <c r="X31" s="19">
        <v>127646</v>
      </c>
      <c r="Y31" s="18" t="str">
        <f t="shared" si="9"/>
        <v>127646</v>
      </c>
      <c r="Z31" s="22" t="str" cm="1">
        <f t="array" ref="Z31">_xlfn.IFS(Y31="","0",LEFT(Y31,5)="",Y31,LEFT(Y31,1)="₹",REPLACE(Y31,1,1,""),LEFT(Y31,4)="Rs. ",REPLACE(Y31,1,4,""),TRUE,Y31)</f>
        <v>127646</v>
      </c>
      <c r="AA31" s="22" t="str">
        <f t="shared" si="10"/>
        <v>127646</v>
      </c>
      <c r="AB31" s="7" t="s">
        <v>89</v>
      </c>
      <c r="AC31" s="7" t="str">
        <f t="shared" si="11"/>
        <v>Below Average</v>
      </c>
      <c r="AD31" s="7">
        <v>21</v>
      </c>
      <c r="AE31" cm="1">
        <f t="array" ref="AE31">_xlfn.IFS(AD31="",0,AD31&lt;0,"Negate Leave",AD31&gt;=0,AD31)</f>
        <v>21</v>
      </c>
    </row>
    <row r="32" spans="1:40" x14ac:dyDescent="0.3">
      <c r="A32" s="7">
        <v>5058</v>
      </c>
      <c r="B32" s="7" t="s">
        <v>208</v>
      </c>
      <c r="C32" s="7" t="str">
        <f t="shared" si="2"/>
        <v>ANITA AGARWAL</v>
      </c>
      <c r="D32" s="7" t="str">
        <f t="shared" si="3"/>
        <v>Anita Agarwal</v>
      </c>
      <c r="E32" s="7" t="s">
        <v>61</v>
      </c>
      <c r="F32" s="7" t="s">
        <v>122</v>
      </c>
      <c r="G32" s="7" t="s">
        <v>91</v>
      </c>
      <c r="H32" s="7" t="str">
        <f>_xlfn.XLOOKUP(G32,Lookup_Tables!$A$4:$A$9,Lookup_Tables!$C$4:$C$9,"Not Found",0)</f>
        <v>Rajiv Kapoor</v>
      </c>
      <c r="I32" s="7" t="s">
        <v>70</v>
      </c>
      <c r="J32" s="7" t="s">
        <v>209</v>
      </c>
      <c r="K32" s="7" t="str">
        <f t="shared" si="4"/>
        <v>anita.agarwal@company.com</v>
      </c>
      <c r="L32" s="7" t="s">
        <v>210</v>
      </c>
      <c r="M32" s="7" t="str">
        <f t="shared" si="0"/>
        <v>2704534577</v>
      </c>
      <c r="N32" s="7" t="str" cm="1">
        <f t="array" ref="N32">_xlfn.IFS(M32="","Incomplete",LEN(M32)&lt;10,"Invalid",AND(LEN(M32) =10,LEFT(M32,4) &lt;&gt;"+91-"),"+91-"&amp;M32,TRUE,M32)</f>
        <v>+91-2704534577</v>
      </c>
      <c r="O32" s="8" t="s">
        <v>211</v>
      </c>
      <c r="P32" s="14" t="s">
        <v>126</v>
      </c>
      <c r="Q32" s="14" t="str">
        <f t="shared" si="1"/>
        <v>N/A</v>
      </c>
      <c r="R32" s="14" t="str" cm="1">
        <f t="array" ref="R32">_xlfn.IFS(OR(Q32="Missing",Q32="N/A",Q32="Still Employed"),Q32,ISNUMBER(SEARCH(",",Q32)),DATEVALUE(Q32),AND(ISNUMBER(SEARCH("-",Q32)),ISNUMBER(VALUE(LEFT(Q32,4)))),DATE(LEFT(Q32,4),MID(Q32,6,2),RIGHT(Q32,2)),ISNUMBER(SEARCH("-",Q32)),DATE(RIGHT(Q32,4),MID(Q32,4,2),LEFT(Q32,2)),ISNUMBER(SEARCH("/",Q32)),DATE(RIGHT(Q32,4),MID(Q32,4,2),LEFT(Q32,2)),TRUE,"Check Manually")</f>
        <v>N/A</v>
      </c>
      <c r="S32" s="31" t="str">
        <f t="shared" ca="1" si="5"/>
        <v>3 Years, 3 Months, 14 Days</v>
      </c>
      <c r="T32" s="31">
        <f t="shared" ca="1" si="6"/>
        <v>1201.07</v>
      </c>
      <c r="U32" s="31" t="str" cm="1">
        <f t="array" ref="U32">_xlfn.IFS(OR(R32="Missing",R32="N/A",R32="Still Employed"),"Unknown",ISNUMBER(R32),"Exited",TRUE,"Unknown")</f>
        <v>Unknown</v>
      </c>
      <c r="V32" s="31" t="str">
        <f t="shared" si="7"/>
        <v/>
      </c>
      <c r="W32" s="14" t="str">
        <f t="shared" si="8"/>
        <v>Active</v>
      </c>
      <c r="X32" s="19" t="s">
        <v>212</v>
      </c>
      <c r="Y32" s="18" t="str">
        <f t="shared" si="9"/>
        <v>Rs. 105,103</v>
      </c>
      <c r="Z32" s="22" t="str" cm="1">
        <f t="array" ref="Z32">_xlfn.IFS(Y32="","0",LEFT(Y32,5)="",Y32,LEFT(Y32,1)="₹",REPLACE(Y32,1,1,""),LEFT(Y32,4)="Rs. ",REPLACE(Y32,1,4,""),TRUE,Y32)</f>
        <v>105,103</v>
      </c>
      <c r="AA32" s="22" t="str">
        <f t="shared" si="10"/>
        <v>105103</v>
      </c>
      <c r="AB32" s="7" t="s">
        <v>95</v>
      </c>
      <c r="AC32" s="7" t="str">
        <f t="shared" si="11"/>
        <v>Average</v>
      </c>
      <c r="AD32" s="7">
        <v>6</v>
      </c>
      <c r="AE32" cm="1">
        <f t="array" ref="AE32">_xlfn.IFS(AD32="",0,AD32&lt;0,"Negate Leave",AD32&gt;=0,AD32)</f>
        <v>6</v>
      </c>
    </row>
    <row r="33" spans="1:31" x14ac:dyDescent="0.3">
      <c r="A33" s="7">
        <v>5146</v>
      </c>
      <c r="B33" s="7" t="s">
        <v>213</v>
      </c>
      <c r="C33" s="7" t="str">
        <f t="shared" si="2"/>
        <v>Suresh Bose</v>
      </c>
      <c r="D33" s="7" t="str">
        <f t="shared" si="3"/>
        <v>Suresh Bose</v>
      </c>
      <c r="E33" s="7" t="s">
        <v>61</v>
      </c>
      <c r="F33" s="7" t="s">
        <v>151</v>
      </c>
      <c r="G33" s="7" t="s">
        <v>76</v>
      </c>
      <c r="H33" s="7" t="str">
        <f>_xlfn.XLOOKUP(G33,Lookup_Tables!$A$4:$A$9,Lookup_Tables!$C$4:$C$9,"Not Found",0)</f>
        <v>Ananya Sen</v>
      </c>
      <c r="I33" s="7" t="s">
        <v>70</v>
      </c>
      <c r="J33" s="7" t="s">
        <v>214</v>
      </c>
      <c r="K33" s="7" t="str">
        <f t="shared" si="4"/>
        <v>suresh.bose@company.com</v>
      </c>
      <c r="L33" s="7" t="s">
        <v>215</v>
      </c>
      <c r="M33" s="7" t="str">
        <f t="shared" si="0"/>
        <v>5667552288</v>
      </c>
      <c r="N33" s="7" t="str" cm="1">
        <f t="array" ref="N33">_xlfn.IFS(M33="","Incomplete",LEN(M33)&lt;10,"Invalid",AND(LEN(M33) =10,LEFT(M33,4) &lt;&gt;"+91-"),"+91-"&amp;M33,TRUE,M33)</f>
        <v>+91-5667552288</v>
      </c>
      <c r="O33" s="8" t="s">
        <v>216</v>
      </c>
      <c r="P33" s="14"/>
      <c r="Q33" s="14" t="str">
        <f t="shared" si="1"/>
        <v>Missing</v>
      </c>
      <c r="R33" s="14" t="str" cm="1">
        <f t="array" ref="R33">_xlfn.IFS(OR(Q33="Missing",Q33="N/A",Q33="Still Employed"),Q33,ISNUMBER(SEARCH(",",Q33)),DATEVALUE(Q33),AND(ISNUMBER(SEARCH("-",Q33)),ISNUMBER(VALUE(LEFT(Q33,4)))),DATE(LEFT(Q33,4),MID(Q33,6,2),RIGHT(Q33,2)),ISNUMBER(SEARCH("-",Q33)),DATE(RIGHT(Q33,4),MID(Q33,4,2),LEFT(Q33,2)),ISNUMBER(SEARCH("/",Q33)),DATE(RIGHT(Q33,4),MID(Q33,4,2),LEFT(Q33,2)),TRUE,"Check Manually")</f>
        <v>Missing</v>
      </c>
      <c r="S33" s="31" t="str">
        <f t="shared" ca="1" si="5"/>
        <v>5 Years, 1 Months, 10 Days</v>
      </c>
      <c r="T33" s="31">
        <f t="shared" ca="1" si="6"/>
        <v>1866.69</v>
      </c>
      <c r="U33" s="31" t="str" cm="1">
        <f t="array" ref="U33">_xlfn.IFS(OR(R33="Missing",R33="N/A",R33="Still Employed"),"Unknown",ISNUMBER(R33),"Exited",TRUE,"Unknown")</f>
        <v>Unknown</v>
      </c>
      <c r="V33" s="31" t="str">
        <f t="shared" si="7"/>
        <v/>
      </c>
      <c r="W33" s="14" t="str">
        <f t="shared" si="8"/>
        <v>Active</v>
      </c>
      <c r="X33" s="19" t="s">
        <v>217</v>
      </c>
      <c r="Y33" s="18" t="str">
        <f t="shared" si="9"/>
        <v>Rs. 65,888</v>
      </c>
      <c r="Z33" s="22" t="str" cm="1">
        <f t="array" ref="Z33">_xlfn.IFS(Y33="","0",LEFT(Y33,5)="",Y33,LEFT(Y33,1)="₹",REPLACE(Y33,1,1,""),LEFT(Y33,4)="Rs. ",REPLACE(Y33,1,4,""),TRUE,Y33)</f>
        <v>65,888</v>
      </c>
      <c r="AA33" s="22" t="str">
        <f t="shared" si="10"/>
        <v>65888</v>
      </c>
      <c r="AB33" s="7" t="s">
        <v>95</v>
      </c>
      <c r="AC33" s="7" t="str">
        <f t="shared" si="11"/>
        <v>Average</v>
      </c>
      <c r="AD33" s="7">
        <v>7</v>
      </c>
      <c r="AE33" cm="1">
        <f t="array" ref="AE33">_xlfn.IFS(AD33="",0,AD33&lt;0,"Negate Leave",AD33&gt;=0,AD33)</f>
        <v>7</v>
      </c>
    </row>
    <row r="34" spans="1:31" x14ac:dyDescent="0.3">
      <c r="A34" s="7">
        <v>5160</v>
      </c>
      <c r="B34" s="7" t="s">
        <v>218</v>
      </c>
      <c r="C34" s="7" t="str">
        <f t="shared" si="2"/>
        <v>Sneha  Bose</v>
      </c>
      <c r="D34" s="7" t="str">
        <f t="shared" si="3"/>
        <v>Sneha Bose</v>
      </c>
      <c r="E34" s="7" t="s">
        <v>68</v>
      </c>
      <c r="F34" s="7" t="s">
        <v>219</v>
      </c>
      <c r="G34" s="7" t="s">
        <v>46</v>
      </c>
      <c r="H34" s="7" t="str">
        <f>_xlfn.XLOOKUP(G34,Lookup_Tables!$A$4:$A$9,Lookup_Tables!$C$4:$C$9,"Not Found",0)</f>
        <v>Faisal Ahmed</v>
      </c>
      <c r="I34" s="7" t="s">
        <v>62</v>
      </c>
      <c r="J34" s="7" t="s">
        <v>220</v>
      </c>
      <c r="K34" s="7" t="str">
        <f t="shared" si="4"/>
        <v>sneha.bose@company.com</v>
      </c>
      <c r="L34" s="7" t="s">
        <v>221</v>
      </c>
      <c r="M34" s="7" t="str">
        <f t="shared" si="0"/>
        <v>+91-4992191641</v>
      </c>
      <c r="N34" s="7" t="str" cm="1">
        <f t="array" ref="N34">_xlfn.IFS(M34="","Incomplete",LEN(M34)&lt;10,"Invalid",AND(LEN(M34) =10,LEFT(M34,4) &lt;&gt;"+91-"),"+91-"&amp;M34,TRUE,M34)</f>
        <v>+91-4992191641</v>
      </c>
      <c r="O34" s="8" t="s">
        <v>222</v>
      </c>
      <c r="P34" s="14"/>
      <c r="Q34" s="14" t="str">
        <f t="shared" si="1"/>
        <v>Missing</v>
      </c>
      <c r="R34" s="14" t="str" cm="1">
        <f t="array" ref="R34">_xlfn.IFS(OR(Q34="Missing",Q34="N/A",Q34="Still Employed"),Q34,ISNUMBER(SEARCH(",",Q34)),DATEVALUE(Q34),AND(ISNUMBER(SEARCH("-",Q34)),ISNUMBER(VALUE(LEFT(Q34,4)))),DATE(LEFT(Q34,4),MID(Q34,6,2),RIGHT(Q34,2)),ISNUMBER(SEARCH("-",Q34)),DATE(RIGHT(Q34,4),MID(Q34,4,2),LEFT(Q34,2)),ISNUMBER(SEARCH("/",Q34)),DATE(RIGHT(Q34,4),MID(Q34,4,2),LEFT(Q34,2)),TRUE,"Check Manually")</f>
        <v>Missing</v>
      </c>
      <c r="S34" s="31" t="str">
        <f t="shared" ca="1" si="5"/>
        <v>4 Years, 2 Months, 0 Days</v>
      </c>
      <c r="T34" s="31">
        <f t="shared" ca="1" si="6"/>
        <v>1521.88</v>
      </c>
      <c r="U34" s="31" t="str" cm="1">
        <f t="array" ref="U34">_xlfn.IFS(OR(R34="Missing",R34="N/A",R34="Still Employed"),"Unknown",ISNUMBER(R34),"Exited",TRUE,"Unknown")</f>
        <v>Unknown</v>
      </c>
      <c r="V34" s="31" t="str">
        <f t="shared" si="7"/>
        <v/>
      </c>
      <c r="W34" s="14" t="str">
        <f t="shared" si="8"/>
        <v>Active</v>
      </c>
      <c r="X34" s="19"/>
      <c r="Y34" s="18" t="str">
        <f t="shared" si="9"/>
        <v/>
      </c>
      <c r="Z34" s="22" t="str" cm="1">
        <f t="array" ref="Z34">_xlfn.IFS(Y34="","0",LEFT(Y34,5)="",Y34,LEFT(Y34,1)="₹",REPLACE(Y34,1,1,""),LEFT(Y34,4)="Rs. ",REPLACE(Y34,1,4,""),TRUE,Y34)</f>
        <v>0</v>
      </c>
      <c r="AA34" s="22" t="str">
        <f t="shared" si="10"/>
        <v>0</v>
      </c>
      <c r="AB34" s="7" t="s">
        <v>51</v>
      </c>
      <c r="AC34" s="7" t="str">
        <f t="shared" si="11"/>
        <v>Excellent</v>
      </c>
      <c r="AD34" s="7">
        <v>-1</v>
      </c>
      <c r="AE34" t="str" cm="1">
        <f t="array" ref="AE34">_xlfn.IFS(AD34="",0,AD34&lt;0,"Negate Leave",AD34&gt;=0,AD34)</f>
        <v>Negate Leave</v>
      </c>
    </row>
    <row r="35" spans="1:31" x14ac:dyDescent="0.3">
      <c r="A35" s="7">
        <v>5302</v>
      </c>
      <c r="B35" s="7" t="s">
        <v>223</v>
      </c>
      <c r="C35" s="7" t="str">
        <f t="shared" si="2"/>
        <v>Rahul Bose</v>
      </c>
      <c r="D35" s="7" t="str">
        <f t="shared" si="3"/>
        <v>Rahul Bose</v>
      </c>
      <c r="E35" s="7" t="s">
        <v>68</v>
      </c>
      <c r="F35" s="7" t="s">
        <v>151</v>
      </c>
      <c r="G35" s="7" t="s">
        <v>76</v>
      </c>
      <c r="H35" s="7" t="str">
        <f>_xlfn.XLOOKUP(G35,Lookup_Tables!$A$4:$A$9,Lookup_Tables!$C$4:$C$9,"Not Found",0)</f>
        <v>Ananya Sen</v>
      </c>
      <c r="I35" s="7" t="s">
        <v>77</v>
      </c>
      <c r="J35" s="7" t="s">
        <v>224</v>
      </c>
      <c r="K35" s="7" t="str">
        <f t="shared" si="4"/>
        <v>rahul.bose@company.com</v>
      </c>
      <c r="L35" s="7" t="s">
        <v>225</v>
      </c>
      <c r="M35" s="7" t="str">
        <f t="shared" si="0"/>
        <v>+91-3209290012</v>
      </c>
      <c r="N35" s="7" t="str" cm="1">
        <f t="array" ref="N35">_xlfn.IFS(M35="","Incomplete",LEN(M35)&lt;10,"Invalid",AND(LEN(M35) =10,LEFT(M35,4) &lt;&gt;"+91-"),"+91-"&amp;M35,TRUE,M35)</f>
        <v>+91-3209290012</v>
      </c>
      <c r="O35" s="8" t="s">
        <v>226</v>
      </c>
      <c r="P35" s="14" t="s">
        <v>126</v>
      </c>
      <c r="Q35" s="14" t="str">
        <f t="shared" si="1"/>
        <v>N/A</v>
      </c>
      <c r="R35" s="14" t="str" cm="1">
        <f t="array" ref="R35">_xlfn.IFS(OR(Q35="Missing",Q35="N/A",Q35="Still Employed"),Q35,ISNUMBER(SEARCH(",",Q35)),DATEVALUE(Q35),AND(ISNUMBER(SEARCH("-",Q35)),ISNUMBER(VALUE(LEFT(Q35,4)))),DATE(LEFT(Q35,4),MID(Q35,6,2),RIGHT(Q35,2)),ISNUMBER(SEARCH("-",Q35)),DATE(RIGHT(Q35,4),MID(Q35,4,2),LEFT(Q35,2)),ISNUMBER(SEARCH("/",Q35)),DATE(RIGHT(Q35,4),MID(Q35,4,2),LEFT(Q35,2)),TRUE,"Check Manually")</f>
        <v>N/A</v>
      </c>
      <c r="S35" s="31" t="str">
        <f t="shared" ca="1" si="5"/>
        <v>4 Years, 7 Months, 3 Days</v>
      </c>
      <c r="T35" s="31">
        <f t="shared" ca="1" si="6"/>
        <v>1677.08</v>
      </c>
      <c r="U35" s="31" t="str" cm="1">
        <f t="array" ref="U35">_xlfn.IFS(OR(R35="Missing",R35="N/A",R35="Still Employed"),"Unknown",ISNUMBER(R35),"Exited",TRUE,"Unknown")</f>
        <v>Unknown</v>
      </c>
      <c r="V35" s="31" t="str">
        <f t="shared" si="7"/>
        <v/>
      </c>
      <c r="W35" s="14" t="str">
        <f t="shared" si="8"/>
        <v>Active</v>
      </c>
      <c r="X35" s="19" t="s">
        <v>227</v>
      </c>
      <c r="Y35" s="18" t="str">
        <f t="shared" si="9"/>
        <v>₹158,915</v>
      </c>
      <c r="Z35" s="22" t="str" cm="1">
        <f t="array" ref="Z35">_xlfn.IFS(Y35="","0",LEFT(Y35,5)="",Y35,LEFT(Y35,1)="₹",REPLACE(Y35,1,1,""),LEFT(Y35,4)="Rs. ",REPLACE(Y35,1,4,""),TRUE,Y35)</f>
        <v>158,915</v>
      </c>
      <c r="AA35" s="22" t="str">
        <f t="shared" si="10"/>
        <v>158915</v>
      </c>
      <c r="AB35" s="7" t="s">
        <v>51</v>
      </c>
      <c r="AC35" s="7" t="str">
        <f t="shared" si="11"/>
        <v>Excellent</v>
      </c>
      <c r="AD35" s="7">
        <v>7</v>
      </c>
      <c r="AE35" cm="1">
        <f t="array" ref="AE35">_xlfn.IFS(AD35="",0,AD35&lt;0,"Negate Leave",AD35&gt;=0,AD35)</f>
        <v>7</v>
      </c>
    </row>
    <row r="36" spans="1:31" x14ac:dyDescent="0.3">
      <c r="A36" s="7">
        <v>5278</v>
      </c>
      <c r="B36" s="7" t="s">
        <v>228</v>
      </c>
      <c r="C36" s="7" t="str">
        <f t="shared" si="2"/>
        <v>Kirti Naidu</v>
      </c>
      <c r="D36" s="7" t="str">
        <f t="shared" si="3"/>
        <v>Kirti Naidu</v>
      </c>
      <c r="E36" s="7" t="s">
        <v>68</v>
      </c>
      <c r="F36" s="7" t="s">
        <v>53</v>
      </c>
      <c r="G36" s="7" t="s">
        <v>54</v>
      </c>
      <c r="H36" s="7" t="str">
        <f>_xlfn.XLOOKUP(G36,Lookup_Tables!$A$4:$A$9,Lookup_Tables!$C$4:$C$9,"Not Found",0)</f>
        <v>Leela Iyer</v>
      </c>
      <c r="I36" s="7" t="s">
        <v>85</v>
      </c>
      <c r="J36" s="7"/>
      <c r="K36" s="7" t="str">
        <f t="shared" si="4"/>
        <v>No Email ID</v>
      </c>
      <c r="L36" s="7" t="s">
        <v>229</v>
      </c>
      <c r="M36" s="7" t="str">
        <f t="shared" si="0"/>
        <v>5691555422</v>
      </c>
      <c r="N36" s="7" t="str" cm="1">
        <f t="array" ref="N36">_xlfn.IFS(M36="","Incomplete",LEN(M36)&lt;10,"Invalid",AND(LEN(M36) =10,LEFT(M36,4) &lt;&gt;"+91-"),"+91-"&amp;M36,TRUE,M36)</f>
        <v>+91-5691555422</v>
      </c>
      <c r="O36" s="8" t="s">
        <v>230</v>
      </c>
      <c r="P36" s="14" t="s">
        <v>126</v>
      </c>
      <c r="Q36" s="14" t="str">
        <f t="shared" si="1"/>
        <v>N/A</v>
      </c>
      <c r="R36" s="14" t="str" cm="1">
        <f t="array" ref="R36">_xlfn.IFS(OR(Q36="Missing",Q36="N/A",Q36="Still Employed"),Q36,ISNUMBER(SEARCH(",",Q36)),DATEVALUE(Q36),AND(ISNUMBER(SEARCH("-",Q36)),ISNUMBER(VALUE(LEFT(Q36,4)))),DATE(LEFT(Q36,4),MID(Q36,6,2),RIGHT(Q36,2)),ISNUMBER(SEARCH("-",Q36)),DATE(RIGHT(Q36,4),MID(Q36,4,2),LEFT(Q36,2)),ISNUMBER(SEARCH("/",Q36)),DATE(RIGHT(Q36,4),MID(Q36,4,2),LEFT(Q36,2)),TRUE,"Check Manually")</f>
        <v>N/A</v>
      </c>
      <c r="S36" s="31" t="str">
        <f t="shared" ca="1" si="5"/>
        <v>4 Years, 5 Months, 0 Days</v>
      </c>
      <c r="T36" s="31">
        <f t="shared" ca="1" si="6"/>
        <v>1613.2</v>
      </c>
      <c r="U36" s="31" t="str" cm="1">
        <f t="array" ref="U36">_xlfn.IFS(OR(R36="Missing",R36="N/A",R36="Still Employed"),"Unknown",ISNUMBER(R36),"Exited",TRUE,"Unknown")</f>
        <v>Unknown</v>
      </c>
      <c r="V36" s="31" t="str">
        <f t="shared" si="7"/>
        <v/>
      </c>
      <c r="W36" s="14" t="str">
        <f t="shared" si="8"/>
        <v>Active</v>
      </c>
      <c r="X36" s="19">
        <v>64163</v>
      </c>
      <c r="Y36" s="18" t="str">
        <f t="shared" si="9"/>
        <v>64163</v>
      </c>
      <c r="Z36" s="22" t="str" cm="1">
        <f t="array" ref="Z36">_xlfn.IFS(Y36="","0",LEFT(Y36,5)="",Y36,LEFT(Y36,1)="₹",REPLACE(Y36,1,1,""),LEFT(Y36,4)="Rs. ",REPLACE(Y36,1,4,""),TRUE,Y36)</f>
        <v>64163</v>
      </c>
      <c r="AA36" s="22" t="str">
        <f t="shared" si="10"/>
        <v>64163</v>
      </c>
      <c r="AB36" s="7"/>
      <c r="AC36" s="7" t="str">
        <f t="shared" si="11"/>
        <v>Not Rated</v>
      </c>
      <c r="AD36" s="7">
        <v>24</v>
      </c>
      <c r="AE36" cm="1">
        <f t="array" ref="AE36">_xlfn.IFS(AD36="",0,AD36&lt;0,"Negate Leave",AD36&gt;=0,AD36)</f>
        <v>24</v>
      </c>
    </row>
    <row r="37" spans="1:31" x14ac:dyDescent="0.3">
      <c r="A37" s="7">
        <v>5152</v>
      </c>
      <c r="B37" s="7" t="s">
        <v>231</v>
      </c>
      <c r="C37" s="7" t="str">
        <f t="shared" si="2"/>
        <v>Varun Verma</v>
      </c>
      <c r="D37" s="7" t="str">
        <f t="shared" si="3"/>
        <v>Varun Verma</v>
      </c>
      <c r="E37" s="7" t="s">
        <v>61</v>
      </c>
      <c r="F37" s="7" t="s">
        <v>389</v>
      </c>
      <c r="G37" s="7" t="s">
        <v>140</v>
      </c>
      <c r="H37" s="7" t="str">
        <f>_xlfn.XLOOKUP(G37,Lookup_Tables!$A$4:$A$9,Lookup_Tables!$C$4:$C$9,"Not Found",0)</f>
        <v>Sunita Rao</v>
      </c>
      <c r="I37" s="7" t="s">
        <v>175</v>
      </c>
      <c r="J37" s="7" t="s">
        <v>232</v>
      </c>
      <c r="K37" s="7" t="str">
        <f t="shared" si="4"/>
        <v>varun.verma@company.com</v>
      </c>
      <c r="L37" s="7" t="s">
        <v>233</v>
      </c>
      <c r="M37" s="7" t="str">
        <f t="shared" si="0"/>
        <v>6626220139</v>
      </c>
      <c r="N37" s="7" t="str" cm="1">
        <f t="array" ref="N37">_xlfn.IFS(M37="","Incomplete",LEN(M37)&lt;10,"Invalid",AND(LEN(M37) =10,LEFT(M37,4) &lt;&gt;"+91-"),"+91-"&amp;M37,TRUE,M37)</f>
        <v>+91-6626220139</v>
      </c>
      <c r="O37" s="8" t="s">
        <v>234</v>
      </c>
      <c r="P37" s="14" t="s">
        <v>114</v>
      </c>
      <c r="Q37" s="14" t="str">
        <f t="shared" si="1"/>
        <v>Still Employed</v>
      </c>
      <c r="R37" s="14" t="str" cm="1">
        <f t="array" ref="R37">_xlfn.IFS(OR(Q37="Missing",Q37="N/A",Q37="Still Employed"),Q37,ISNUMBER(SEARCH(",",Q37)),DATEVALUE(Q37),AND(ISNUMBER(SEARCH("-",Q37)),ISNUMBER(VALUE(LEFT(Q37,4)))),DATE(LEFT(Q37,4),MID(Q37,6,2),RIGHT(Q37,2)),ISNUMBER(SEARCH("-",Q37)),DATE(RIGHT(Q37,4),MID(Q37,4,2),LEFT(Q37,2)),ISNUMBER(SEARCH("/",Q37)),DATE(RIGHT(Q37,4),MID(Q37,4,2),LEFT(Q37,2)),TRUE,"Check Manually")</f>
        <v>Still Employed</v>
      </c>
      <c r="S37" s="31" t="str">
        <f t="shared" ca="1" si="5"/>
        <v>6 Years, 2 Months, 14 Days</v>
      </c>
      <c r="T37" s="31">
        <f t="shared" ca="1" si="6"/>
        <v>2266.38</v>
      </c>
      <c r="U37" s="31" t="str" cm="1">
        <f t="array" ref="U37">_xlfn.IFS(OR(R37="Missing",R37="N/A",R37="Still Employed"),"Unknown",ISNUMBER(R37),"Exited",TRUE,"Unknown")</f>
        <v>Unknown</v>
      </c>
      <c r="V37" s="31" t="str">
        <f t="shared" si="7"/>
        <v/>
      </c>
      <c r="W37" s="14" t="str">
        <f t="shared" si="8"/>
        <v>Active</v>
      </c>
      <c r="X37" s="19" t="s">
        <v>235</v>
      </c>
      <c r="Y37" s="18" t="str">
        <f t="shared" si="9"/>
        <v>85,616</v>
      </c>
      <c r="Z37" s="22" t="str" cm="1">
        <f t="array" ref="Z37">_xlfn.IFS(Y37="","0",LEFT(Y37,5)="",Y37,LEFT(Y37,1)="₹",REPLACE(Y37,1,1,""),LEFT(Y37,4)="Rs. ",REPLACE(Y37,1,4,""),TRUE,Y37)</f>
        <v>85,616</v>
      </c>
      <c r="AA37" s="22" t="str">
        <f t="shared" si="10"/>
        <v>85616</v>
      </c>
      <c r="AB37" s="7"/>
      <c r="AC37" s="7" t="str">
        <f t="shared" si="11"/>
        <v>Not Rated</v>
      </c>
      <c r="AD37" s="7">
        <v>22</v>
      </c>
      <c r="AE37" cm="1">
        <f t="array" ref="AE37">_xlfn.IFS(AD37="",0,AD37&lt;0,"Negate Leave",AD37&gt;=0,AD37)</f>
        <v>22</v>
      </c>
    </row>
    <row r="38" spans="1:31" x14ac:dyDescent="0.3">
      <c r="A38" s="7">
        <v>5011</v>
      </c>
      <c r="B38" s="7" t="s">
        <v>236</v>
      </c>
      <c r="C38" s="7" t="str">
        <f t="shared" si="2"/>
        <v>Simran Pillai</v>
      </c>
      <c r="D38" s="7" t="str">
        <f t="shared" si="3"/>
        <v>Simran Pillai</v>
      </c>
      <c r="E38" s="7" t="s">
        <v>61</v>
      </c>
      <c r="F38" s="7" t="s">
        <v>122</v>
      </c>
      <c r="G38" s="7" t="s">
        <v>91</v>
      </c>
      <c r="H38" s="7" t="str">
        <f>_xlfn.XLOOKUP(G38,Lookup_Tables!$A$4:$A$9,Lookup_Tables!$C$4:$C$9,"Not Found",0)</f>
        <v>Rajiv Kapoor</v>
      </c>
      <c r="I38" s="7" t="s">
        <v>110</v>
      </c>
      <c r="J38" s="7" t="s">
        <v>237</v>
      </c>
      <c r="K38" s="7" t="str">
        <f t="shared" si="4"/>
        <v>simran.pillai@company.com</v>
      </c>
      <c r="L38" s="7" t="s">
        <v>238</v>
      </c>
      <c r="M38" s="7" t="str">
        <f t="shared" si="0"/>
        <v>2227918058</v>
      </c>
      <c r="N38" s="7" t="str" cm="1">
        <f t="array" ref="N38">_xlfn.IFS(M38="","Incomplete",LEN(M38)&lt;10,"Invalid",AND(LEN(M38) =10,LEFT(M38,4) &lt;&gt;"+91-"),"+91-"&amp;M38,TRUE,M38)</f>
        <v>+91-2227918058</v>
      </c>
      <c r="O38" s="8" t="s">
        <v>239</v>
      </c>
      <c r="P38" s="14" t="s">
        <v>114</v>
      </c>
      <c r="Q38" s="14" t="str">
        <f t="shared" si="1"/>
        <v>Still Employed</v>
      </c>
      <c r="R38" s="14" t="str" cm="1">
        <f t="array" ref="R38">_xlfn.IFS(OR(Q38="Missing",Q38="N/A",Q38="Still Employed"),Q38,ISNUMBER(SEARCH(",",Q38)),DATEVALUE(Q38),AND(ISNUMBER(SEARCH("-",Q38)),ISNUMBER(VALUE(LEFT(Q38,4)))),DATE(LEFT(Q38,4),MID(Q38,6,2),RIGHT(Q38,2)),ISNUMBER(SEARCH("-",Q38)),DATE(RIGHT(Q38,4),MID(Q38,4,2),LEFT(Q38,2)),ISNUMBER(SEARCH("/",Q38)),DATE(RIGHT(Q38,4),MID(Q38,4,2),LEFT(Q38,2)),TRUE,"Check Manually")</f>
        <v>Still Employed</v>
      </c>
      <c r="S38" s="31" t="str">
        <f t="shared" ca="1" si="5"/>
        <v>2 Years, 7 Months, 2 Days</v>
      </c>
      <c r="T38" s="31">
        <f t="shared" ca="1" si="6"/>
        <v>945.58</v>
      </c>
      <c r="U38" s="31" t="str" cm="1">
        <f t="array" ref="U38">_xlfn.IFS(OR(R38="Missing",R38="N/A",R38="Still Employed"),"Unknown",ISNUMBER(R38),"Exited",TRUE,"Unknown")</f>
        <v>Unknown</v>
      </c>
      <c r="V38" s="31" t="str">
        <f t="shared" si="7"/>
        <v/>
      </c>
      <c r="W38" s="14" t="str">
        <f t="shared" si="8"/>
        <v>Active</v>
      </c>
      <c r="X38" s="19" t="s">
        <v>240</v>
      </c>
      <c r="Y38" s="18" t="str">
        <f t="shared" si="9"/>
        <v>150,376</v>
      </c>
      <c r="Z38" s="22" t="str" cm="1">
        <f t="array" ref="Z38">_xlfn.IFS(Y38="","0",LEFT(Y38,5)="",Y38,LEFT(Y38,1)="₹",REPLACE(Y38,1,1,""),LEFT(Y38,4)="Rs. ",REPLACE(Y38,1,4,""),TRUE,Y38)</f>
        <v>150,376</v>
      </c>
      <c r="AA38" s="22" t="str">
        <f t="shared" si="10"/>
        <v>150376</v>
      </c>
      <c r="AB38" s="7" t="s">
        <v>51</v>
      </c>
      <c r="AC38" s="7" t="str">
        <f t="shared" si="11"/>
        <v>Excellent</v>
      </c>
      <c r="AD38" s="7">
        <v>-2</v>
      </c>
      <c r="AE38" t="str" cm="1">
        <f t="array" ref="AE38">_xlfn.IFS(AD38="",0,AD38&lt;0,"Negate Leave",AD38&gt;=0,AD38)</f>
        <v>Negate Leave</v>
      </c>
    </row>
    <row r="39" spans="1:31" x14ac:dyDescent="0.3">
      <c r="A39" s="7">
        <v>5047</v>
      </c>
      <c r="B39" s="7" t="s">
        <v>104</v>
      </c>
      <c r="C39" s="7" t="str">
        <f t="shared" si="2"/>
        <v>Rohan Kapoor</v>
      </c>
      <c r="D39" s="7" t="str">
        <f t="shared" si="3"/>
        <v>Rohan Kapoor</v>
      </c>
      <c r="E39" s="7" t="s">
        <v>68</v>
      </c>
      <c r="F39" s="7" t="s">
        <v>219</v>
      </c>
      <c r="G39" s="7" t="s">
        <v>46</v>
      </c>
      <c r="H39" s="7" t="str">
        <f>_xlfn.XLOOKUP(G39,Lookup_Tables!$A$4:$A$9,Lookup_Tables!$C$4:$C$9,"Not Found",0)</f>
        <v>Faisal Ahmed</v>
      </c>
      <c r="I39" s="7" t="s">
        <v>77</v>
      </c>
      <c r="J39" s="7" t="s">
        <v>242</v>
      </c>
      <c r="K39" s="7" t="str">
        <f t="shared" si="4"/>
        <v>rahul.iyer@company.com</v>
      </c>
      <c r="L39" s="7" t="s">
        <v>243</v>
      </c>
      <c r="M39" s="7" t="str">
        <f t="shared" si="0"/>
        <v>+91-5902551109</v>
      </c>
      <c r="N39" s="7" t="str" cm="1">
        <f t="array" ref="N39">_xlfn.IFS(M39="","Incomplete",LEN(M39)&lt;10,"Invalid",AND(LEN(M39) =10,LEFT(M39,4) &lt;&gt;"+91-"),"+91-"&amp;M39,TRUE,M39)</f>
        <v>+91-5902551109</v>
      </c>
      <c r="O39" s="8" t="s">
        <v>244</v>
      </c>
      <c r="P39" s="14" t="s">
        <v>126</v>
      </c>
      <c r="Q39" s="14" t="str">
        <f t="shared" si="1"/>
        <v>N/A</v>
      </c>
      <c r="R39" s="14" t="str" cm="1">
        <f t="array" ref="R39">_xlfn.IFS(OR(Q39="Missing",Q39="N/A",Q39="Still Employed"),Q39,ISNUMBER(SEARCH(",",Q39)),DATEVALUE(Q39),AND(ISNUMBER(SEARCH("-",Q39)),ISNUMBER(VALUE(LEFT(Q39,4)))),DATE(LEFT(Q39,4),MID(Q39,6,2),RIGHT(Q39,2)),ISNUMBER(SEARCH("-",Q39)),DATE(RIGHT(Q39,4),MID(Q39,4,2),LEFT(Q39,2)),ISNUMBER(SEARCH("/",Q39)),DATE(RIGHT(Q39,4),MID(Q39,4,2),LEFT(Q39,2)),TRUE,"Check Manually")</f>
        <v>N/A</v>
      </c>
      <c r="S39" s="31" t="str">
        <f t="shared" ca="1" si="5"/>
        <v>5 Years, 11 Months, 21 Days</v>
      </c>
      <c r="T39" s="31">
        <f t="shared" ca="1" si="6"/>
        <v>2182.09</v>
      </c>
      <c r="U39" s="31" t="str" cm="1">
        <f t="array" ref="U39">_xlfn.IFS(OR(R39="Missing",R39="N/A",R39="Still Employed"),"Unknown",ISNUMBER(R39),"Exited",TRUE,"Unknown")</f>
        <v>Unknown</v>
      </c>
      <c r="V39" s="31" t="str">
        <f t="shared" si="7"/>
        <v/>
      </c>
      <c r="W39" s="14" t="str">
        <f t="shared" si="8"/>
        <v>Active</v>
      </c>
      <c r="X39" s="19">
        <v>153992</v>
      </c>
      <c r="Y39" s="18" t="str">
        <f t="shared" si="9"/>
        <v>153992</v>
      </c>
      <c r="Z39" s="22" t="str" cm="1">
        <f t="array" ref="Z39">_xlfn.IFS(Y39="","0",LEFT(Y39,5)="",Y39,LEFT(Y39,1)="₹",REPLACE(Y39,1,1,""),LEFT(Y39,4)="Rs. ",REPLACE(Y39,1,4,""),TRUE,Y39)</f>
        <v>153992</v>
      </c>
      <c r="AA39" s="22" t="str">
        <f t="shared" si="10"/>
        <v>153992</v>
      </c>
      <c r="AB39" s="7"/>
      <c r="AC39" s="7" t="str">
        <f t="shared" si="11"/>
        <v>Not Rated</v>
      </c>
      <c r="AD39" s="7">
        <v>18</v>
      </c>
      <c r="AE39" cm="1">
        <f t="array" ref="AE39">_xlfn.IFS(AD39="",0,AD39&lt;0,"Negate Leave",AD39&gt;=0,AD39)</f>
        <v>18</v>
      </c>
    </row>
    <row r="40" spans="1:31" x14ac:dyDescent="0.3">
      <c r="A40" s="7">
        <v>5219</v>
      </c>
      <c r="B40" s="7" t="s">
        <v>241</v>
      </c>
      <c r="C40" s="7" t="str">
        <f t="shared" si="2"/>
        <v>Rahul Iyer</v>
      </c>
      <c r="D40" s="7" t="str">
        <f t="shared" si="3"/>
        <v>Rahul Iyer</v>
      </c>
      <c r="E40" s="7" t="s">
        <v>68</v>
      </c>
      <c r="F40" s="7" t="s">
        <v>122</v>
      </c>
      <c r="G40" s="7" t="s">
        <v>91</v>
      </c>
      <c r="H40" s="7" t="str">
        <f>_xlfn.XLOOKUP(G40,Lookup_Tables!$A$4:$A$9,Lookup_Tables!$C$4:$C$9,"Not Found",0)</f>
        <v>Rajiv Kapoor</v>
      </c>
      <c r="I40" s="7" t="s">
        <v>55</v>
      </c>
      <c r="J40" s="7" t="s">
        <v>246</v>
      </c>
      <c r="K40" s="7" t="str">
        <f t="shared" si="4"/>
        <v>aarav.menon@company.com</v>
      </c>
      <c r="L40" s="7" t="s">
        <v>247</v>
      </c>
      <c r="M40" s="7" t="str">
        <f t="shared" si="0"/>
        <v>7080061465</v>
      </c>
      <c r="N40" s="7" t="str" cm="1">
        <f t="array" ref="N40">_xlfn.IFS(M40="","Incomplete",LEN(M40)&lt;10,"Invalid",AND(LEN(M40) =10,LEFT(M40,4) &lt;&gt;"+91-"),"+91-"&amp;M40,TRUE,M40)</f>
        <v>+91-7080061465</v>
      </c>
      <c r="O40" s="8" t="s">
        <v>248</v>
      </c>
      <c r="P40" s="14" t="s">
        <v>114</v>
      </c>
      <c r="Q40" s="14" t="str">
        <f t="shared" si="1"/>
        <v>Still Employed</v>
      </c>
      <c r="R40" s="14" t="str" cm="1">
        <f t="array" ref="R40">_xlfn.IFS(OR(Q40="Missing",Q40="N/A",Q40="Still Employed"),Q40,ISNUMBER(SEARCH(",",Q40)),DATEVALUE(Q40),AND(ISNUMBER(SEARCH("-",Q40)),ISNUMBER(VALUE(LEFT(Q40,4)))),DATE(LEFT(Q40,4),MID(Q40,6,2),RIGHT(Q40,2)),ISNUMBER(SEARCH("-",Q40)),DATE(RIGHT(Q40,4),MID(Q40,4,2),LEFT(Q40,2)),ISNUMBER(SEARCH("/",Q40)),DATE(RIGHT(Q40,4),MID(Q40,4,2),LEFT(Q40,2)),TRUE,"Check Manually")</f>
        <v>Still Employed</v>
      </c>
      <c r="S40" s="31" t="str">
        <f t="shared" ca="1" si="5"/>
        <v>2 Years, 7 Months, 16 Days</v>
      </c>
      <c r="T40" s="31">
        <f t="shared" ca="1" si="6"/>
        <v>959.58</v>
      </c>
      <c r="U40" s="31" t="str" cm="1">
        <f t="array" ref="U40">_xlfn.IFS(OR(R40="Missing",R40="N/A",R40="Still Employed"),"Unknown",ISNUMBER(R40),"Exited",TRUE,"Unknown")</f>
        <v>Unknown</v>
      </c>
      <c r="V40" s="31" t="str">
        <f t="shared" si="7"/>
        <v/>
      </c>
      <c r="W40" s="14" t="str">
        <f t="shared" si="8"/>
        <v>Active</v>
      </c>
      <c r="X40" s="19" t="s">
        <v>249</v>
      </c>
      <c r="Y40" s="18" t="str">
        <f t="shared" si="9"/>
        <v>₹51,124</v>
      </c>
      <c r="Z40" s="22" t="str" cm="1">
        <f t="array" ref="Z40">_xlfn.IFS(Y40="","0",LEFT(Y40,5)="",Y40,LEFT(Y40,1)="₹",REPLACE(Y40,1,1,""),LEFT(Y40,4)="Rs. ",REPLACE(Y40,1,4,""),TRUE,Y40)</f>
        <v>51,124</v>
      </c>
      <c r="AA40" s="22" t="str">
        <f t="shared" si="10"/>
        <v>51124</v>
      </c>
      <c r="AB40" s="7" t="s">
        <v>95</v>
      </c>
      <c r="AC40" s="7" t="str">
        <f t="shared" si="11"/>
        <v>Average</v>
      </c>
      <c r="AD40" s="7">
        <v>4</v>
      </c>
      <c r="AE40" cm="1">
        <f t="array" ref="AE40">_xlfn.IFS(AD40="",0,AD40&lt;0,"Negate Leave",AD40&gt;=0,AD40)</f>
        <v>4</v>
      </c>
    </row>
    <row r="41" spans="1:31" x14ac:dyDescent="0.3">
      <c r="A41" s="7">
        <v>5338</v>
      </c>
      <c r="B41" s="7" t="s">
        <v>245</v>
      </c>
      <c r="C41" s="7" t="str">
        <f t="shared" si="2"/>
        <v>AARAV MENON</v>
      </c>
      <c r="D41" s="7" t="str">
        <f t="shared" si="3"/>
        <v>Aarav Menon</v>
      </c>
      <c r="E41" s="7" t="s">
        <v>68</v>
      </c>
      <c r="F41" s="7" t="s">
        <v>122</v>
      </c>
      <c r="G41" s="7" t="s">
        <v>91</v>
      </c>
      <c r="H41" s="7" t="str">
        <f>_xlfn.XLOOKUP(G41,Lookup_Tables!$A$4:$A$9,Lookup_Tables!$C$4:$C$9,"Not Found",0)</f>
        <v>Rajiv Kapoor</v>
      </c>
      <c r="I41" s="7" t="s">
        <v>175</v>
      </c>
      <c r="J41" s="7" t="s">
        <v>251</v>
      </c>
      <c r="K41" s="7" t="str">
        <f t="shared" si="4"/>
        <v>varun.iyer@company.com</v>
      </c>
      <c r="L41" s="7" t="s">
        <v>252</v>
      </c>
      <c r="M41" s="7" t="str">
        <f t="shared" si="0"/>
        <v>58649208</v>
      </c>
      <c r="N41" s="7" t="str" cm="1">
        <f t="array" ref="N41">_xlfn.IFS(M41="","Incomplete",LEN(M41)&lt;10,"Invalid",AND(LEN(M41) =10,LEFT(M41,4) &lt;&gt;"+91-"),"+91-"&amp;M41,TRUE,M41)</f>
        <v>Invalid</v>
      </c>
      <c r="O41" s="8" t="s">
        <v>253</v>
      </c>
      <c r="P41" s="14" t="s">
        <v>126</v>
      </c>
      <c r="Q41" s="14" t="str">
        <f t="shared" si="1"/>
        <v>N/A</v>
      </c>
      <c r="R41" s="14" t="str" cm="1">
        <f t="array" ref="R41">_xlfn.IFS(OR(Q41="Missing",Q41="N/A",Q41="Still Employed"),Q41,ISNUMBER(SEARCH(",",Q41)),DATEVALUE(Q41),AND(ISNUMBER(SEARCH("-",Q41)),ISNUMBER(VALUE(LEFT(Q41,4)))),DATE(LEFT(Q41,4),MID(Q41,6,2),RIGHT(Q41,2)),ISNUMBER(SEARCH("-",Q41)),DATE(RIGHT(Q41,4),MID(Q41,4,2),LEFT(Q41,2)),ISNUMBER(SEARCH("/",Q41)),DATE(RIGHT(Q41,4),MID(Q41,4,2),LEFT(Q41,2)),TRUE,"Check Manually")</f>
        <v>N/A</v>
      </c>
      <c r="S41" s="31" t="str">
        <f t="shared" ca="1" si="5"/>
        <v>5 Years, 7 Months, 18 Days</v>
      </c>
      <c r="T41" s="31">
        <f t="shared" ca="1" si="6"/>
        <v>2057.33</v>
      </c>
      <c r="U41" s="31" t="str" cm="1">
        <f t="array" ref="U41">_xlfn.IFS(OR(R41="Missing",R41="N/A",R41="Still Employed"),"Unknown",ISNUMBER(R41),"Exited",TRUE,"Unknown")</f>
        <v>Unknown</v>
      </c>
      <c r="V41" s="31" t="str">
        <f t="shared" si="7"/>
        <v/>
      </c>
      <c r="W41" s="14" t="str">
        <f t="shared" si="8"/>
        <v>Active</v>
      </c>
      <c r="X41" s="19">
        <v>52464</v>
      </c>
      <c r="Y41" s="18" t="str">
        <f t="shared" si="9"/>
        <v>52464</v>
      </c>
      <c r="Z41" s="22" t="str" cm="1">
        <f t="array" ref="Z41">_xlfn.IFS(Y41="","0",LEFT(Y41,5)="",Y41,LEFT(Y41,1)="₹",REPLACE(Y41,1,1,""),LEFT(Y41,4)="Rs. ",REPLACE(Y41,1,4,""),TRUE,Y41)</f>
        <v>52464</v>
      </c>
      <c r="AA41" s="22" t="str">
        <f t="shared" si="10"/>
        <v>52464</v>
      </c>
      <c r="AB41" s="7" t="s">
        <v>127</v>
      </c>
      <c r="AC41" s="7" t="str">
        <f t="shared" si="11"/>
        <v>Good</v>
      </c>
      <c r="AD41" s="7">
        <v>6</v>
      </c>
      <c r="AE41" cm="1">
        <f t="array" ref="AE41">_xlfn.IFS(AD41="",0,AD41&lt;0,"Negate Leave",AD41&gt;=0,AD41)</f>
        <v>6</v>
      </c>
    </row>
    <row r="42" spans="1:31" x14ac:dyDescent="0.3">
      <c r="A42" s="7">
        <v>5015</v>
      </c>
      <c r="B42" s="7" t="s">
        <v>250</v>
      </c>
      <c r="C42" s="7" t="str">
        <f t="shared" si="2"/>
        <v>Varun Iyer</v>
      </c>
      <c r="D42" s="7" t="str">
        <f t="shared" si="3"/>
        <v>Varun Iyer</v>
      </c>
      <c r="E42" s="7" t="s">
        <v>68</v>
      </c>
      <c r="F42" s="7" t="s">
        <v>389</v>
      </c>
      <c r="G42" s="7" t="s">
        <v>140</v>
      </c>
      <c r="H42" s="7" t="str">
        <f>_xlfn.XLOOKUP(G42,Lookup_Tables!$A$4:$A$9,Lookup_Tables!$C$4:$C$9,"Not Found",0)</f>
        <v>Sunita Rao</v>
      </c>
      <c r="I42" s="7" t="s">
        <v>77</v>
      </c>
      <c r="J42" s="7" t="s">
        <v>255</v>
      </c>
      <c r="K42" s="7" t="str">
        <f t="shared" si="4"/>
        <v>priya.gupta@company.com</v>
      </c>
      <c r="L42" s="7" t="s">
        <v>256</v>
      </c>
      <c r="M42" s="7" t="str">
        <f t="shared" si="0"/>
        <v>+91-7387389189</v>
      </c>
      <c r="N42" s="7" t="str" cm="1">
        <f t="array" ref="N42">_xlfn.IFS(M42="","Incomplete",LEN(M42)&lt;10,"Invalid",AND(LEN(M42) =10,LEFT(M42,4) &lt;&gt;"+91-"),"+91-"&amp;M42,TRUE,M42)</f>
        <v>+91-7387389189</v>
      </c>
      <c r="O42" s="8" t="s">
        <v>257</v>
      </c>
      <c r="P42" s="14" t="s">
        <v>258</v>
      </c>
      <c r="Q42" s="14" t="str">
        <f t="shared" si="1"/>
        <v>May 25, 2022</v>
      </c>
      <c r="R42" s="14" cm="1">
        <f t="array" ref="R42">_xlfn.IFS(OR(Q42="Missing",Q42="N/A",Q42="Still Employed"),Q42,ISNUMBER(SEARCH(",",Q42)),DATEVALUE(Q42),AND(ISNUMBER(SEARCH("-",Q42)),ISNUMBER(VALUE(LEFT(Q42,4)))),DATE(LEFT(Q42,4),MID(Q42,6,2),RIGHT(Q42,2)),ISNUMBER(SEARCH("-",Q42)),DATE(RIGHT(Q42,4),MID(Q42,4,2),LEFT(Q42,2)),ISNUMBER(SEARCH("/",Q42)),DATE(RIGHT(Q42,4),MID(Q42,4,2),LEFT(Q42,2)),TRUE,"Check Manually")</f>
        <v>44706</v>
      </c>
      <c r="S42" s="31" t="str">
        <f t="shared" ca="1" si="5"/>
        <v>1 Years, 11 Months, 0 Days</v>
      </c>
      <c r="T42" s="31">
        <f t="shared" ca="1" si="6"/>
        <v>700.09</v>
      </c>
      <c r="U42" s="31" t="str" cm="1">
        <f t="array" ref="U42">_xlfn.IFS(OR(R42="Missing",R42="N/A",R42="Still Employed"),"Unknown",ISNUMBER(R42),"Exited",TRUE,"Unknown")</f>
        <v>Exited</v>
      </c>
      <c r="V42" s="31">
        <f t="shared" si="7"/>
        <v>2022</v>
      </c>
      <c r="W42" s="14" t="str">
        <f t="shared" si="8"/>
        <v>Exited</v>
      </c>
      <c r="X42" s="19" t="s">
        <v>259</v>
      </c>
      <c r="Y42" s="18" t="str">
        <f t="shared" si="9"/>
        <v>59,894</v>
      </c>
      <c r="Z42" s="22" t="str" cm="1">
        <f t="array" ref="Z42">_xlfn.IFS(Y42="","0",LEFT(Y42,5)="",Y42,LEFT(Y42,1)="₹",REPLACE(Y42,1,1,""),LEFT(Y42,4)="Rs. ",REPLACE(Y42,1,4,""),TRUE,Y42)</f>
        <v>59,894</v>
      </c>
      <c r="AA42" s="22" t="str">
        <f t="shared" si="10"/>
        <v>59894</v>
      </c>
      <c r="AB42" s="7" t="s">
        <v>144</v>
      </c>
      <c r="AC42" s="7" t="str">
        <f t="shared" si="11"/>
        <v>Poor</v>
      </c>
      <c r="AD42" s="7">
        <v>1</v>
      </c>
      <c r="AE42" cm="1">
        <f t="array" ref="AE42">_xlfn.IFS(AD42="",0,AD42&lt;0,"Negate Leave",AD42&gt;=0,AD42)</f>
        <v>1</v>
      </c>
    </row>
    <row r="43" spans="1:31" x14ac:dyDescent="0.3">
      <c r="A43" s="7">
        <v>5104</v>
      </c>
      <c r="B43" s="7" t="s">
        <v>254</v>
      </c>
      <c r="C43" s="7" t="str">
        <f t="shared" si="2"/>
        <v>Priya Gupta</v>
      </c>
      <c r="D43" s="7" t="str">
        <f t="shared" si="3"/>
        <v>Priya Gupta</v>
      </c>
      <c r="E43" s="7" t="s">
        <v>68</v>
      </c>
      <c r="F43" s="7" t="s">
        <v>219</v>
      </c>
      <c r="G43" s="7" t="s">
        <v>46</v>
      </c>
      <c r="H43" s="7" t="str">
        <f>_xlfn.XLOOKUP(G43,Lookup_Tables!$A$4:$A$9,Lookup_Tables!$C$4:$C$9,"Not Found",0)</f>
        <v>Faisal Ahmed</v>
      </c>
      <c r="I43" s="7" t="s">
        <v>110</v>
      </c>
      <c r="J43" s="7" t="s">
        <v>261</v>
      </c>
      <c r="K43" s="7" t="str">
        <f t="shared" si="4"/>
        <v>divya.mehta@company.com</v>
      </c>
      <c r="L43" s="7" t="s">
        <v>262</v>
      </c>
      <c r="M43" s="7" t="str">
        <f t="shared" si="0"/>
        <v>9348792346</v>
      </c>
      <c r="N43" s="7" t="str" cm="1">
        <f t="array" ref="N43">_xlfn.IFS(M43="","Incomplete",LEN(M43)&lt;10,"Invalid",AND(LEN(M43) =10,LEFT(M43,4) &lt;&gt;"+91-"),"+91-"&amp;M43,TRUE,M43)</f>
        <v>+91-9348792346</v>
      </c>
      <c r="O43" s="8" t="s">
        <v>263</v>
      </c>
      <c r="P43" s="14" t="s">
        <v>114</v>
      </c>
      <c r="Q43" s="14" t="str">
        <f t="shared" si="1"/>
        <v>Still Employed</v>
      </c>
      <c r="R43" s="14" t="str" cm="1">
        <f t="array" ref="R43">_xlfn.IFS(OR(Q43="Missing",Q43="N/A",Q43="Still Employed"),Q43,ISNUMBER(SEARCH(",",Q43)),DATEVALUE(Q43),AND(ISNUMBER(SEARCH("-",Q43)),ISNUMBER(VALUE(LEFT(Q43,4)))),DATE(LEFT(Q43,4),MID(Q43,6,2),RIGHT(Q43,2)),ISNUMBER(SEARCH("-",Q43)),DATE(RIGHT(Q43,4),MID(Q43,4,2),LEFT(Q43,2)),ISNUMBER(SEARCH("/",Q43)),DATE(RIGHT(Q43,4),MID(Q43,4,2),LEFT(Q43,2)),TRUE,"Check Manually")</f>
        <v>Still Employed</v>
      </c>
      <c r="S43" s="31" t="str">
        <f t="shared" ca="1" si="5"/>
        <v>3 Years, 3 Months, 4 Days</v>
      </c>
      <c r="T43" s="31">
        <f t="shared" ca="1" si="6"/>
        <v>1191.07</v>
      </c>
      <c r="U43" s="31" t="str" cm="1">
        <f t="array" ref="U43">_xlfn.IFS(OR(R43="Missing",R43="N/A",R43="Still Employed"),"Unknown",ISNUMBER(R43),"Exited",TRUE,"Unknown")</f>
        <v>Unknown</v>
      </c>
      <c r="V43" s="31" t="str">
        <f t="shared" si="7"/>
        <v/>
      </c>
      <c r="W43" s="14" t="str">
        <f t="shared" si="8"/>
        <v>Active</v>
      </c>
      <c r="X43" s="19" t="s">
        <v>264</v>
      </c>
      <c r="Y43" s="18" t="str">
        <f t="shared" si="9"/>
        <v>₹111,579</v>
      </c>
      <c r="Z43" s="22" t="str" cm="1">
        <f t="array" ref="Z43">_xlfn.IFS(Y43="","0",LEFT(Y43,5)="",Y43,LEFT(Y43,1)="₹",REPLACE(Y43,1,1,""),LEFT(Y43,4)="Rs. ",REPLACE(Y43,1,4,""),TRUE,Y43)</f>
        <v>111,579</v>
      </c>
      <c r="AA43" s="22" t="str">
        <f t="shared" si="10"/>
        <v>111579</v>
      </c>
      <c r="AB43" s="7" t="s">
        <v>95</v>
      </c>
      <c r="AC43" s="7" t="str">
        <f t="shared" si="11"/>
        <v>Average</v>
      </c>
      <c r="AD43" s="7">
        <v>3</v>
      </c>
      <c r="AE43" cm="1">
        <f t="array" ref="AE43">_xlfn.IFS(AD43="",0,AD43&lt;0,"Negate Leave",AD43&gt;=0,AD43)</f>
        <v>3</v>
      </c>
    </row>
    <row r="44" spans="1:31" x14ac:dyDescent="0.3">
      <c r="A44" s="7">
        <v>5253</v>
      </c>
      <c r="B44" s="7" t="s">
        <v>260</v>
      </c>
      <c r="C44" s="7" t="str">
        <f t="shared" si="2"/>
        <v>DIVYA MEHTA</v>
      </c>
      <c r="D44" s="7" t="str">
        <f t="shared" si="3"/>
        <v>Divya Mehta</v>
      </c>
      <c r="E44" s="7" t="s">
        <v>68</v>
      </c>
      <c r="F44" s="7" t="s">
        <v>389</v>
      </c>
      <c r="G44" s="7" t="s">
        <v>140</v>
      </c>
      <c r="H44" s="7" t="str">
        <f>_xlfn.XLOOKUP(G44,Lookup_Tables!$A$4:$A$9,Lookup_Tables!$C$4:$C$9,"Not Found",0)</f>
        <v>Sunita Rao</v>
      </c>
      <c r="I44" s="7" t="s">
        <v>175</v>
      </c>
      <c r="J44" s="7" t="s">
        <v>266</v>
      </c>
      <c r="K44" s="7" t="str">
        <f t="shared" si="4"/>
        <v>anjali.menon@company.com</v>
      </c>
      <c r="L44" s="7" t="s">
        <v>267</v>
      </c>
      <c r="M44" s="7" t="str">
        <f t="shared" si="0"/>
        <v>+91-4718713264</v>
      </c>
      <c r="N44" s="7" t="str" cm="1">
        <f t="array" ref="N44">_xlfn.IFS(M44="","Incomplete",LEN(M44)&lt;10,"Invalid",AND(LEN(M44) =10,LEFT(M44,4) &lt;&gt;"+91-"),"+91-"&amp;M44,TRUE,M44)</f>
        <v>+91-4718713264</v>
      </c>
      <c r="O44" s="8" t="s">
        <v>268</v>
      </c>
      <c r="P44" s="14" t="s">
        <v>114</v>
      </c>
      <c r="Q44" s="14" t="str">
        <f t="shared" si="1"/>
        <v>Still Employed</v>
      </c>
      <c r="R44" s="14" t="str" cm="1">
        <f t="array" ref="R44">_xlfn.IFS(OR(Q44="Missing",Q44="N/A",Q44="Still Employed"),Q44,ISNUMBER(SEARCH(",",Q44)),DATEVALUE(Q44),AND(ISNUMBER(SEARCH("-",Q44)),ISNUMBER(VALUE(LEFT(Q44,4)))),DATE(LEFT(Q44,4),MID(Q44,6,2),RIGHT(Q44,2)),ISNUMBER(SEARCH("-",Q44)),DATE(RIGHT(Q44,4),MID(Q44,4,2),LEFT(Q44,2)),ISNUMBER(SEARCH("/",Q44)),DATE(RIGHT(Q44,4),MID(Q44,4,2),LEFT(Q44,2)),TRUE,"Check Manually")</f>
        <v>Still Employed</v>
      </c>
      <c r="S44" s="31" t="str">
        <f t="shared" ca="1" si="5"/>
        <v>2 Years, 1 Months, 26 Days</v>
      </c>
      <c r="T44" s="31">
        <f t="shared" ca="1" si="6"/>
        <v>786.94</v>
      </c>
      <c r="U44" s="31" t="str" cm="1">
        <f t="array" ref="U44">_xlfn.IFS(OR(R44="Missing",R44="N/A",R44="Still Employed"),"Unknown",ISNUMBER(R44),"Exited",TRUE,"Unknown")</f>
        <v>Unknown</v>
      </c>
      <c r="V44" s="31" t="str">
        <f t="shared" si="7"/>
        <v/>
      </c>
      <c r="W44" s="14" t="str">
        <f t="shared" si="8"/>
        <v>Active</v>
      </c>
      <c r="X44" s="19">
        <v>115357</v>
      </c>
      <c r="Y44" s="18" t="str">
        <f t="shared" si="9"/>
        <v>115357</v>
      </c>
      <c r="Z44" s="22" t="str" cm="1">
        <f t="array" ref="Z44">_xlfn.IFS(Y44="","0",LEFT(Y44,5)="",Y44,LEFT(Y44,1)="₹",REPLACE(Y44,1,1,""),LEFT(Y44,4)="Rs. ",REPLACE(Y44,1,4,""),TRUE,Y44)</f>
        <v>115357</v>
      </c>
      <c r="AA44" s="22" t="str">
        <f t="shared" si="10"/>
        <v>115357</v>
      </c>
      <c r="AB44" s="7" t="s">
        <v>51</v>
      </c>
      <c r="AC44" s="7" t="str">
        <f t="shared" si="11"/>
        <v>Excellent</v>
      </c>
      <c r="AD44" s="7">
        <v>9</v>
      </c>
      <c r="AE44" cm="1">
        <f t="array" ref="AE44">_xlfn.IFS(AD44="",0,AD44&lt;0,"Negate Leave",AD44&gt;=0,AD44)</f>
        <v>9</v>
      </c>
    </row>
    <row r="45" spans="1:31" x14ac:dyDescent="0.3">
      <c r="A45" s="7">
        <v>5124</v>
      </c>
      <c r="B45" s="7" t="s">
        <v>265</v>
      </c>
      <c r="C45" s="7" t="str">
        <f t="shared" si="2"/>
        <v>Anjali Menon</v>
      </c>
      <c r="D45" s="7" t="str">
        <f t="shared" si="3"/>
        <v>Anjali Menon</v>
      </c>
      <c r="E45" s="7" t="s">
        <v>84</v>
      </c>
      <c r="F45" s="7" t="s">
        <v>122</v>
      </c>
      <c r="G45" s="7" t="s">
        <v>91</v>
      </c>
      <c r="H45" s="7" t="str">
        <f>_xlfn.XLOOKUP(G45,Lookup_Tables!$A$4:$A$9,Lookup_Tables!$C$4:$C$9,"Not Found",0)</f>
        <v>Rajiv Kapoor</v>
      </c>
      <c r="I45" s="7" t="s">
        <v>70</v>
      </c>
      <c r="J45" s="7" t="s">
        <v>270</v>
      </c>
      <c r="K45" s="7" t="str">
        <f t="shared" si="4"/>
        <v xml:space="preserve">divya.agarwal@company.com </v>
      </c>
      <c r="L45" s="7" t="s">
        <v>271</v>
      </c>
      <c r="M45" s="7" t="str">
        <f t="shared" si="0"/>
        <v>1387837576</v>
      </c>
      <c r="N45" s="7" t="str" cm="1">
        <f t="array" ref="N45">_xlfn.IFS(M45="","Incomplete",LEN(M45)&lt;10,"Invalid",AND(LEN(M45) =10,LEFT(M45,4) &lt;&gt;"+91-"),"+91-"&amp;M45,TRUE,M45)</f>
        <v>+91-1387837576</v>
      </c>
      <c r="O45" s="8" t="s">
        <v>272</v>
      </c>
      <c r="P45" s="14"/>
      <c r="Q45" s="14" t="str">
        <f t="shared" si="1"/>
        <v>Missing</v>
      </c>
      <c r="R45" s="14" t="str" cm="1">
        <f t="array" ref="R45">_xlfn.IFS(OR(Q45="Missing",Q45="N/A",Q45="Still Employed"),Q45,ISNUMBER(SEARCH(",",Q45)),DATEVALUE(Q45),AND(ISNUMBER(SEARCH("-",Q45)),ISNUMBER(VALUE(LEFT(Q45,4)))),DATE(LEFT(Q45,4),MID(Q45,6,2),RIGHT(Q45,2)),ISNUMBER(SEARCH("-",Q45)),DATE(RIGHT(Q45,4),MID(Q45,4,2),LEFT(Q45,2)),ISNUMBER(SEARCH("/",Q45)),DATE(RIGHT(Q45,4),MID(Q45,4,2),LEFT(Q45,2)),TRUE,"Check Manually")</f>
        <v>Missing</v>
      </c>
      <c r="S45" s="31" t="str">
        <f t="shared" ca="1" si="5"/>
        <v>5 Years, 7 Months, 20 Days</v>
      </c>
      <c r="T45" s="31">
        <f t="shared" ca="1" si="6"/>
        <v>2059.33</v>
      </c>
      <c r="U45" s="31" t="str" cm="1">
        <f t="array" ref="U45">_xlfn.IFS(OR(R45="Missing",R45="N/A",R45="Still Employed"),"Unknown",ISNUMBER(R45),"Exited",TRUE,"Unknown")</f>
        <v>Unknown</v>
      </c>
      <c r="V45" s="31" t="str">
        <f t="shared" si="7"/>
        <v/>
      </c>
      <c r="W45" s="14" t="str">
        <f t="shared" si="8"/>
        <v>Active</v>
      </c>
      <c r="X45" s="19"/>
      <c r="Y45" s="18" t="str">
        <f t="shared" si="9"/>
        <v/>
      </c>
      <c r="Z45" s="22" t="str" cm="1">
        <f t="array" ref="Z45">_xlfn.IFS(Y45="","0",LEFT(Y45,5)="",Y45,LEFT(Y45,1)="₹",REPLACE(Y45,1,1,""),LEFT(Y45,4)="Rs. ",REPLACE(Y45,1,4,""),TRUE,Y45)</f>
        <v>0</v>
      </c>
      <c r="AA45" s="22" t="str">
        <f t="shared" si="10"/>
        <v>0</v>
      </c>
      <c r="AB45" s="7" t="s">
        <v>51</v>
      </c>
      <c r="AC45" s="7" t="str">
        <f t="shared" si="11"/>
        <v>Excellent</v>
      </c>
      <c r="AD45" s="7">
        <v>14</v>
      </c>
      <c r="AE45" cm="1">
        <f t="array" ref="AE45">_xlfn.IFS(AD45="",0,AD45&lt;0,"Negate Leave",AD45&gt;=0,AD45)</f>
        <v>14</v>
      </c>
    </row>
    <row r="46" spans="1:31" x14ac:dyDescent="0.3">
      <c r="A46" s="7">
        <v>5025</v>
      </c>
      <c r="B46" s="7" t="s">
        <v>269</v>
      </c>
      <c r="C46" s="7" t="str">
        <f t="shared" si="2"/>
        <v>Divya Agarwal</v>
      </c>
      <c r="D46" s="7" t="str">
        <f t="shared" si="3"/>
        <v>Divya Agarwal</v>
      </c>
      <c r="E46" s="7" t="s">
        <v>68</v>
      </c>
      <c r="F46" s="7" t="s">
        <v>219</v>
      </c>
      <c r="G46" s="7" t="s">
        <v>46</v>
      </c>
      <c r="H46" s="7" t="str">
        <f>_xlfn.XLOOKUP(G46,Lookup_Tables!$A$4:$A$9,Lookup_Tables!$C$4:$C$9,"Not Found",0)</f>
        <v>Faisal Ahmed</v>
      </c>
      <c r="I46" s="7" t="s">
        <v>77</v>
      </c>
      <c r="J46" s="7" t="s">
        <v>274</v>
      </c>
      <c r="K46" s="7" t="str">
        <f t="shared" si="4"/>
        <v>kirti.bose@company.com</v>
      </c>
      <c r="L46" s="7"/>
      <c r="M46" s="7" t="str">
        <f t="shared" si="0"/>
        <v/>
      </c>
      <c r="N46" s="7" t="str" cm="1">
        <f t="array" ref="N46">_xlfn.IFS(M46="","Incomplete",LEN(M46)&lt;10,"Invalid",AND(LEN(M46) =10,LEFT(M46,4) &lt;&gt;"+91-"),"+91-"&amp;M46,TRUE,M46)</f>
        <v>Incomplete</v>
      </c>
      <c r="O46" s="8" t="s">
        <v>275</v>
      </c>
      <c r="P46" s="14"/>
      <c r="Q46" s="14" t="str">
        <f t="shared" si="1"/>
        <v>Missing</v>
      </c>
      <c r="R46" s="14" t="str" cm="1">
        <f t="array" ref="R46">_xlfn.IFS(OR(Q46="Missing",Q46="N/A",Q46="Still Employed"),Q46,ISNUMBER(SEARCH(",",Q46)),DATEVALUE(Q46),AND(ISNUMBER(SEARCH("-",Q46)),ISNUMBER(VALUE(LEFT(Q46,4)))),DATE(LEFT(Q46,4),MID(Q46,6,2),RIGHT(Q46,2)),ISNUMBER(SEARCH("-",Q46)),DATE(RIGHT(Q46,4),MID(Q46,4,2),LEFT(Q46,2)),ISNUMBER(SEARCH("/",Q46)),DATE(RIGHT(Q46,4),MID(Q46,4,2),LEFT(Q46,2)),TRUE,"Check Manually")</f>
        <v>Missing</v>
      </c>
      <c r="S46" s="31" t="str">
        <f t="shared" ca="1" si="5"/>
        <v>6 Years, 5 Months, 13 Days</v>
      </c>
      <c r="T46" s="31">
        <f t="shared" ca="1" si="6"/>
        <v>2356.6999999999998</v>
      </c>
      <c r="U46" s="31" t="str" cm="1">
        <f t="array" ref="U46">_xlfn.IFS(OR(R46="Missing",R46="N/A",R46="Still Employed"),"Unknown",ISNUMBER(R46),"Exited",TRUE,"Unknown")</f>
        <v>Unknown</v>
      </c>
      <c r="V46" s="31" t="str">
        <f t="shared" si="7"/>
        <v/>
      </c>
      <c r="W46" s="14" t="str">
        <f t="shared" si="8"/>
        <v>Active</v>
      </c>
      <c r="X46" s="19" t="s">
        <v>276</v>
      </c>
      <c r="Y46" s="18" t="str">
        <f t="shared" si="9"/>
        <v>Rs. 35,031</v>
      </c>
      <c r="Z46" s="22" t="str" cm="1">
        <f t="array" ref="Z46">_xlfn.IFS(Y46="","0",LEFT(Y46,5)="",Y46,LEFT(Y46,1)="₹",REPLACE(Y46,1,1,""),LEFT(Y46,4)="Rs. ",REPLACE(Y46,1,4,""),TRUE,Y46)</f>
        <v>35,031</v>
      </c>
      <c r="AA46" s="22" t="str">
        <f t="shared" si="10"/>
        <v>35031</v>
      </c>
      <c r="AB46" s="7" t="s">
        <v>89</v>
      </c>
      <c r="AC46" s="7" t="str">
        <f t="shared" si="11"/>
        <v>Below Average</v>
      </c>
      <c r="AD46" s="7">
        <v>4</v>
      </c>
      <c r="AE46" cm="1">
        <f t="array" ref="AE46">_xlfn.IFS(AD46="",0,AD46&lt;0,"Negate Leave",AD46&gt;=0,AD46)</f>
        <v>4</v>
      </c>
    </row>
    <row r="47" spans="1:31" x14ac:dyDescent="0.3">
      <c r="A47" s="7">
        <v>5180</v>
      </c>
      <c r="B47" s="7" t="s">
        <v>273</v>
      </c>
      <c r="C47" s="7" t="str">
        <f t="shared" si="2"/>
        <v>Kirti Bose</v>
      </c>
      <c r="D47" s="7" t="str">
        <f t="shared" si="3"/>
        <v>Kirti Bose</v>
      </c>
      <c r="E47" s="7" t="s">
        <v>61</v>
      </c>
      <c r="F47" s="7" t="s">
        <v>389</v>
      </c>
      <c r="G47" s="7" t="s">
        <v>140</v>
      </c>
      <c r="H47" s="7" t="str">
        <f>_xlfn.XLOOKUP(G47,Lookup_Tables!$A$4:$A$9,Lookup_Tables!$C$4:$C$9,"Not Found",0)</f>
        <v>Sunita Rao</v>
      </c>
      <c r="I47" s="7" t="s">
        <v>55</v>
      </c>
      <c r="J47" s="7"/>
      <c r="K47" s="7" t="str">
        <f t="shared" si="4"/>
        <v>No Email ID</v>
      </c>
      <c r="L47" s="7" t="s">
        <v>278</v>
      </c>
      <c r="M47" s="7" t="str">
        <f t="shared" si="0"/>
        <v>6055319088</v>
      </c>
      <c r="N47" s="7" t="str" cm="1">
        <f t="array" ref="N47">_xlfn.IFS(M47="","Incomplete",LEN(M47)&lt;10,"Invalid",AND(LEN(M47) =10,LEFT(M47,4) &lt;&gt;"+91-"),"+91-"&amp;M47,TRUE,M47)</f>
        <v>+91-6055319088</v>
      </c>
      <c r="O47" s="8" t="s">
        <v>279</v>
      </c>
      <c r="P47" s="14"/>
      <c r="Q47" s="14" t="str">
        <f t="shared" si="1"/>
        <v>Missing</v>
      </c>
      <c r="R47" s="14" t="str" cm="1">
        <f t="array" ref="R47">_xlfn.IFS(OR(Q47="Missing",Q47="N/A",Q47="Still Employed"),Q47,ISNUMBER(SEARCH(",",Q47)),DATEVALUE(Q47),AND(ISNUMBER(SEARCH("-",Q47)),ISNUMBER(VALUE(LEFT(Q47,4)))),DATE(LEFT(Q47,4),MID(Q47,6,2),RIGHT(Q47,2)),ISNUMBER(SEARCH("-",Q47)),DATE(RIGHT(Q47,4),MID(Q47,4,2),LEFT(Q47,2)),ISNUMBER(SEARCH("/",Q47)),DATE(RIGHT(Q47,4),MID(Q47,4,2),LEFT(Q47,2)),TRUE,"Check Manually")</f>
        <v>Missing</v>
      </c>
      <c r="S47" s="31" t="str">
        <f t="shared" ca="1" si="5"/>
        <v>3 Years, 3 Months, 16 Days</v>
      </c>
      <c r="T47" s="31">
        <f t="shared" ca="1" si="6"/>
        <v>1203.07</v>
      </c>
      <c r="U47" s="31" t="str" cm="1">
        <f t="array" ref="U47">_xlfn.IFS(OR(R47="Missing",R47="N/A",R47="Still Employed"),"Unknown",ISNUMBER(R47),"Exited",TRUE,"Unknown")</f>
        <v>Unknown</v>
      </c>
      <c r="V47" s="31" t="str">
        <f t="shared" si="7"/>
        <v/>
      </c>
      <c r="W47" s="14" t="str">
        <f t="shared" si="8"/>
        <v>Active</v>
      </c>
      <c r="X47" s="19" t="s">
        <v>280</v>
      </c>
      <c r="Y47" s="18" t="str">
        <f t="shared" si="9"/>
        <v>Rs. 43,300</v>
      </c>
      <c r="Z47" s="22" t="str" cm="1">
        <f t="array" ref="Z47">_xlfn.IFS(Y47="","0",LEFT(Y47,5)="",Y47,LEFT(Y47,1)="₹",REPLACE(Y47,1,1,""),LEFT(Y47,4)="Rs. ",REPLACE(Y47,1,4,""),TRUE,Y47)</f>
        <v>43,300</v>
      </c>
      <c r="AA47" s="22" t="str">
        <f t="shared" si="10"/>
        <v>43300</v>
      </c>
      <c r="AB47" s="7" t="s">
        <v>89</v>
      </c>
      <c r="AC47" s="7" t="str">
        <f t="shared" si="11"/>
        <v>Below Average</v>
      </c>
      <c r="AD47" s="7">
        <v>-3</v>
      </c>
      <c r="AE47" t="str" cm="1">
        <f t="array" ref="AE47">_xlfn.IFS(AD47="",0,AD47&lt;0,"Negate Leave",AD47&gt;=0,AD47)</f>
        <v>Negate Leave</v>
      </c>
    </row>
    <row r="48" spans="1:31" x14ac:dyDescent="0.3">
      <c r="A48" s="7">
        <v>5306</v>
      </c>
      <c r="B48" s="7" t="s">
        <v>277</v>
      </c>
      <c r="C48" s="7" t="str">
        <f t="shared" si="2"/>
        <v>NEHA TRIVEDI</v>
      </c>
      <c r="D48" s="7" t="str">
        <f t="shared" si="3"/>
        <v>Neha Trivedi</v>
      </c>
      <c r="E48" s="7" t="s">
        <v>61</v>
      </c>
      <c r="F48" s="7" t="s">
        <v>133</v>
      </c>
      <c r="G48" s="7" t="s">
        <v>69</v>
      </c>
      <c r="H48" s="7" t="str">
        <f>_xlfn.XLOOKUP(G48,Lookup_Tables!$A$4:$A$9,Lookup_Tables!$C$4:$C$9,"Not Found",0)</f>
        <v>Vivek Malhotra</v>
      </c>
      <c r="I48" s="7" t="s">
        <v>47</v>
      </c>
      <c r="J48" s="7" t="s">
        <v>282</v>
      </c>
      <c r="K48" s="7" t="str">
        <f t="shared" si="4"/>
        <v>sanjay.naidu@company.com</v>
      </c>
      <c r="L48" s="7" t="s">
        <v>283</v>
      </c>
      <c r="M48" s="7" t="str">
        <f t="shared" si="0"/>
        <v>+91-3276945298</v>
      </c>
      <c r="N48" s="7" t="str" cm="1">
        <f t="array" ref="N48">_xlfn.IFS(M48="","Incomplete",LEN(M48)&lt;10,"Invalid",AND(LEN(M48) =10,LEFT(M48,4) &lt;&gt;"+91-"),"+91-"&amp;M48,TRUE,M48)</f>
        <v>+91-3276945298</v>
      </c>
      <c r="O48" s="8" t="s">
        <v>284</v>
      </c>
      <c r="P48" s="14"/>
      <c r="Q48" s="14" t="str">
        <f t="shared" si="1"/>
        <v>Missing</v>
      </c>
      <c r="R48" s="14" t="str" cm="1">
        <f t="array" ref="R48">_xlfn.IFS(OR(Q48="Missing",Q48="N/A",Q48="Still Employed"),Q48,ISNUMBER(SEARCH(",",Q48)),DATEVALUE(Q48),AND(ISNUMBER(SEARCH("-",Q48)),ISNUMBER(VALUE(LEFT(Q48,4)))),DATE(LEFT(Q48,4),MID(Q48,6,2),RIGHT(Q48,2)),ISNUMBER(SEARCH("-",Q48)),DATE(RIGHT(Q48,4),MID(Q48,4,2),LEFT(Q48,2)),ISNUMBER(SEARCH("/",Q48)),DATE(RIGHT(Q48,4),MID(Q48,4,2),LEFT(Q48,2)),TRUE,"Check Manually")</f>
        <v>Missing</v>
      </c>
      <c r="S48" s="31" t="str">
        <f t="shared" ca="1" si="5"/>
        <v>2 Years, 8 Months, 23 Days</v>
      </c>
      <c r="T48" s="31">
        <f t="shared" ca="1" si="6"/>
        <v>997.02</v>
      </c>
      <c r="U48" s="31" t="str" cm="1">
        <f t="array" ref="U48">_xlfn.IFS(OR(R48="Missing",R48="N/A",R48="Still Employed"),"Unknown",ISNUMBER(R48),"Exited",TRUE,"Unknown")</f>
        <v>Unknown</v>
      </c>
      <c r="V48" s="31" t="str">
        <f t="shared" si="7"/>
        <v/>
      </c>
      <c r="W48" s="14" t="str">
        <f t="shared" si="8"/>
        <v>Active</v>
      </c>
      <c r="X48" s="19" t="s">
        <v>285</v>
      </c>
      <c r="Y48" s="18" t="str">
        <f t="shared" si="9"/>
        <v>₹63,712</v>
      </c>
      <c r="Z48" s="22" t="str" cm="1">
        <f t="array" ref="Z48">_xlfn.IFS(Y48="","0",LEFT(Y48,5)="",Y48,LEFT(Y48,1)="₹",REPLACE(Y48,1,1,""),LEFT(Y48,4)="Rs. ",REPLACE(Y48,1,4,""),TRUE,Y48)</f>
        <v>63,712</v>
      </c>
      <c r="AA48" s="22" t="str">
        <f t="shared" si="10"/>
        <v>63712</v>
      </c>
      <c r="AB48" s="7" t="s">
        <v>95</v>
      </c>
      <c r="AC48" s="7" t="str">
        <f t="shared" si="11"/>
        <v>Average</v>
      </c>
      <c r="AD48" s="7">
        <v>4</v>
      </c>
      <c r="AE48" cm="1">
        <f t="array" ref="AE48">_xlfn.IFS(AD48="",0,AD48&lt;0,"Negate Leave",AD48&gt;=0,AD48)</f>
        <v>4</v>
      </c>
    </row>
    <row r="49" spans="1:31" x14ac:dyDescent="0.3">
      <c r="A49" s="7">
        <v>5229</v>
      </c>
      <c r="B49" s="7" t="s">
        <v>281</v>
      </c>
      <c r="C49" s="7" t="str">
        <f t="shared" si="2"/>
        <v>Sanjay Naidu</v>
      </c>
      <c r="D49" s="7" t="str">
        <f t="shared" si="3"/>
        <v>Sanjay Naidu</v>
      </c>
      <c r="E49" s="7" t="s">
        <v>68</v>
      </c>
      <c r="F49" s="7" t="s">
        <v>219</v>
      </c>
      <c r="G49" s="7" t="s">
        <v>46</v>
      </c>
      <c r="H49" s="7" t="str">
        <f>_xlfn.XLOOKUP(G49,Lookup_Tables!$A$4:$A$9,Lookup_Tables!$C$4:$C$9,"Not Found",0)</f>
        <v>Faisal Ahmed</v>
      </c>
      <c r="I49" s="7" t="s">
        <v>85</v>
      </c>
      <c r="J49" s="7" t="s">
        <v>287</v>
      </c>
      <c r="K49" s="7" t="str">
        <f t="shared" si="4"/>
        <v>amit.chopra@company.com</v>
      </c>
      <c r="L49" s="7" t="s">
        <v>288</v>
      </c>
      <c r="M49" s="7" t="str">
        <f t="shared" si="0"/>
        <v>1319800199</v>
      </c>
      <c r="N49" s="7" t="str" cm="1">
        <f t="array" ref="N49">_xlfn.IFS(M49="","Incomplete",LEN(M49)&lt;10,"Invalid",AND(LEN(M49) =10,LEFT(M49,4) &lt;&gt;"+91-"),"+91-"&amp;M49,TRUE,M49)</f>
        <v>+91-1319800199</v>
      </c>
      <c r="O49" s="8" t="s">
        <v>289</v>
      </c>
      <c r="P49" s="14"/>
      <c r="Q49" s="14" t="str">
        <f t="shared" si="1"/>
        <v>Missing</v>
      </c>
      <c r="R49" s="14" t="str" cm="1">
        <f t="array" ref="R49">_xlfn.IFS(OR(Q49="Missing",Q49="N/A",Q49="Still Employed"),Q49,ISNUMBER(SEARCH(",",Q49)),DATEVALUE(Q49),AND(ISNUMBER(SEARCH("-",Q49)),ISNUMBER(VALUE(LEFT(Q49,4)))),DATE(LEFT(Q49,4),MID(Q49,6,2),RIGHT(Q49,2)),ISNUMBER(SEARCH("-",Q49)),DATE(RIGHT(Q49,4),MID(Q49,4,2),LEFT(Q49,2)),ISNUMBER(SEARCH("/",Q49)),DATE(RIGHT(Q49,4),MID(Q49,4,2),LEFT(Q49,2)),TRUE,"Check Manually")</f>
        <v>Missing</v>
      </c>
      <c r="S49" s="31" t="str">
        <f t="shared" ca="1" si="5"/>
        <v>5 Years, 10 Months, 4 Days</v>
      </c>
      <c r="T49" s="31">
        <f t="shared" ca="1" si="6"/>
        <v>2134.65</v>
      </c>
      <c r="U49" s="31" t="str" cm="1">
        <f t="array" ref="U49">_xlfn.IFS(OR(R49="Missing",R49="N/A",R49="Still Employed"),"Unknown",ISNUMBER(R49),"Exited",TRUE,"Unknown")</f>
        <v>Unknown</v>
      </c>
      <c r="V49" s="31" t="str">
        <f t="shared" si="7"/>
        <v/>
      </c>
      <c r="W49" s="14" t="str">
        <f t="shared" si="8"/>
        <v>Active</v>
      </c>
      <c r="X49" s="19">
        <v>157939</v>
      </c>
      <c r="Y49" s="18" t="str">
        <f t="shared" si="9"/>
        <v>157939</v>
      </c>
      <c r="Z49" s="22" t="str" cm="1">
        <f t="array" ref="Z49">_xlfn.IFS(Y49="","0",LEFT(Y49,5)="",Y49,LEFT(Y49,1)="₹",REPLACE(Y49,1,1,""),LEFT(Y49,4)="Rs. ",REPLACE(Y49,1,4,""),TRUE,Y49)</f>
        <v>157939</v>
      </c>
      <c r="AA49" s="22" t="str">
        <f t="shared" si="10"/>
        <v>157939</v>
      </c>
      <c r="AB49" s="7" t="s">
        <v>144</v>
      </c>
      <c r="AC49" s="7" t="str">
        <f t="shared" si="11"/>
        <v>Poor</v>
      </c>
      <c r="AD49" s="7">
        <v>4</v>
      </c>
      <c r="AE49" cm="1">
        <f t="array" ref="AE49">_xlfn.IFS(AD49="",0,AD49&lt;0,"Negate Leave",AD49&gt;=0,AD49)</f>
        <v>4</v>
      </c>
    </row>
    <row r="50" spans="1:31" x14ac:dyDescent="0.3">
      <c r="A50" s="7">
        <v>5293</v>
      </c>
      <c r="B50" s="7" t="s">
        <v>286</v>
      </c>
      <c r="C50" s="7" t="str">
        <f t="shared" si="2"/>
        <v>AMIT CHOPRA</v>
      </c>
      <c r="D50" s="7" t="str">
        <f t="shared" si="3"/>
        <v>Amit Chopra</v>
      </c>
      <c r="E50" s="7" t="s">
        <v>84</v>
      </c>
      <c r="F50" s="7" t="s">
        <v>53</v>
      </c>
      <c r="G50" s="7" t="s">
        <v>54</v>
      </c>
      <c r="H50" s="7" t="str">
        <f>_xlfn.XLOOKUP(G50,Lookup_Tables!$A$4:$A$9,Lookup_Tables!$C$4:$C$9,"Not Found",0)</f>
        <v>Leela Iyer</v>
      </c>
      <c r="I50" s="7" t="s">
        <v>77</v>
      </c>
      <c r="J50" s="7" t="s">
        <v>291</v>
      </c>
      <c r="K50" s="7" t="str">
        <f t="shared" si="4"/>
        <v>vikram.rao@company.com</v>
      </c>
      <c r="L50" s="7" t="s">
        <v>292</v>
      </c>
      <c r="M50" s="7" t="str">
        <f t="shared" si="0"/>
        <v>3294168973</v>
      </c>
      <c r="N50" s="7" t="str" cm="1">
        <f t="array" ref="N50">_xlfn.IFS(M50="","Incomplete",LEN(M50)&lt;10,"Invalid",AND(LEN(M50) =10,LEFT(M50,4) &lt;&gt;"+91-"),"+91-"&amp;M50,TRUE,M50)</f>
        <v>+91-3294168973</v>
      </c>
      <c r="O50" s="8" t="s">
        <v>293</v>
      </c>
      <c r="P50" s="14" t="s">
        <v>126</v>
      </c>
      <c r="Q50" s="14" t="str">
        <f t="shared" si="1"/>
        <v>N/A</v>
      </c>
      <c r="R50" s="14" t="str" cm="1">
        <f t="array" ref="R50">_xlfn.IFS(OR(Q50="Missing",Q50="N/A",Q50="Still Employed"),Q50,ISNUMBER(SEARCH(",",Q50)),DATEVALUE(Q50),AND(ISNUMBER(SEARCH("-",Q50)),ISNUMBER(VALUE(LEFT(Q50,4)))),DATE(LEFT(Q50,4),MID(Q50,6,2),RIGHT(Q50,2)),ISNUMBER(SEARCH("-",Q50)),DATE(RIGHT(Q50,4),MID(Q50,4,2),LEFT(Q50,2)),ISNUMBER(SEARCH("/",Q50)),DATE(RIGHT(Q50,4),MID(Q50,4,2),LEFT(Q50,2)),TRUE,"Check Manually")</f>
        <v>N/A</v>
      </c>
      <c r="S50" s="31" t="str">
        <f t="shared" ca="1" si="5"/>
        <v>6 Years, 8 Months, 17 Days</v>
      </c>
      <c r="T50" s="31">
        <f t="shared" ca="1" si="6"/>
        <v>2452.02</v>
      </c>
      <c r="U50" s="31" t="str" cm="1">
        <f t="array" ref="U50">_xlfn.IFS(OR(R50="Missing",R50="N/A",R50="Still Employed"),"Unknown",ISNUMBER(R50),"Exited",TRUE,"Unknown")</f>
        <v>Unknown</v>
      </c>
      <c r="V50" s="31" t="str">
        <f t="shared" si="7"/>
        <v/>
      </c>
      <c r="W50" s="14" t="str">
        <f t="shared" si="8"/>
        <v>Active</v>
      </c>
      <c r="X50" s="19"/>
      <c r="Y50" s="18" t="str">
        <f t="shared" si="9"/>
        <v/>
      </c>
      <c r="Z50" s="22" t="str" cm="1">
        <f t="array" ref="Z50">_xlfn.IFS(Y50="","0",LEFT(Y50,5)="",Y50,LEFT(Y50,1)="₹",REPLACE(Y50,1,1,""),LEFT(Y50,4)="Rs. ",REPLACE(Y50,1,4,""),TRUE,Y50)</f>
        <v>0</v>
      </c>
      <c r="AA50" s="22" t="str">
        <f t="shared" si="10"/>
        <v>0</v>
      </c>
      <c r="AB50" s="7" t="s">
        <v>95</v>
      </c>
      <c r="AC50" s="7" t="str">
        <f t="shared" si="11"/>
        <v>Average</v>
      </c>
      <c r="AD50" s="7">
        <v>20</v>
      </c>
      <c r="AE50" cm="1">
        <f t="array" ref="AE50">_xlfn.IFS(AD50="",0,AD50&lt;0,"Negate Leave",AD50&gt;=0,AD50)</f>
        <v>20</v>
      </c>
    </row>
    <row r="51" spans="1:31" x14ac:dyDescent="0.3">
      <c r="A51" s="7">
        <v>5198</v>
      </c>
      <c r="B51" s="7" t="s">
        <v>290</v>
      </c>
      <c r="C51" s="7" t="str">
        <f t="shared" si="2"/>
        <v>Vikram Rao</v>
      </c>
      <c r="D51" s="7" t="str">
        <f t="shared" si="3"/>
        <v>Vikram Rao</v>
      </c>
      <c r="E51" s="7" t="s">
        <v>84</v>
      </c>
      <c r="F51" s="7" t="s">
        <v>151</v>
      </c>
      <c r="G51" s="7" t="s">
        <v>76</v>
      </c>
      <c r="H51" s="7" t="str">
        <f>_xlfn.XLOOKUP(G51,Lookup_Tables!$A$4:$A$9,Lookup_Tables!$C$4:$C$9,"Not Found",0)</f>
        <v>Ananya Sen</v>
      </c>
      <c r="I51" s="7" t="s">
        <v>85</v>
      </c>
      <c r="J51" s="7" t="s">
        <v>295</v>
      </c>
      <c r="K51" s="7" t="str">
        <f t="shared" si="4"/>
        <v>anjali.naidu@company.com</v>
      </c>
      <c r="L51" s="7" t="s">
        <v>296</v>
      </c>
      <c r="M51" s="7" t="str">
        <f t="shared" si="0"/>
        <v>54699940</v>
      </c>
      <c r="N51" s="7" t="str" cm="1">
        <f t="array" ref="N51">_xlfn.IFS(M51="","Incomplete",LEN(M51)&lt;10,"Invalid",AND(LEN(M51) =10,LEFT(M51,4) &lt;&gt;"+91-"),"+91-"&amp;M51,TRUE,M51)</f>
        <v>Invalid</v>
      </c>
      <c r="O51" s="8" t="s">
        <v>297</v>
      </c>
      <c r="P51" s="14" t="s">
        <v>74</v>
      </c>
      <c r="Q51" s="14" t="str">
        <f t="shared" si="1"/>
        <v>Jun 30, 2025</v>
      </c>
      <c r="R51" s="14" cm="1">
        <f t="array" ref="R51">_xlfn.IFS(OR(Q51="Missing",Q51="N/A",Q51="Still Employed"),Q51,ISNUMBER(SEARCH(",",Q51)),DATEVALUE(Q51),AND(ISNUMBER(SEARCH("-",Q51)),ISNUMBER(VALUE(LEFT(Q51,4)))),DATE(LEFT(Q51,4),MID(Q51,6,2),RIGHT(Q51,2)),ISNUMBER(SEARCH("-",Q51)),DATE(RIGHT(Q51,4),MID(Q51,4,2),LEFT(Q51,2)),ISNUMBER(SEARCH("/",Q51)),DATE(RIGHT(Q51,4),MID(Q51,4,2),LEFT(Q51,2)),TRUE,"Check Manually")</f>
        <v>45838</v>
      </c>
      <c r="S51" s="31" t="str">
        <f t="shared" ca="1" si="5"/>
        <v>1 Years, 7 Months, 24 Days</v>
      </c>
      <c r="T51" s="31">
        <f t="shared" ca="1" si="6"/>
        <v>602.33000000000004</v>
      </c>
      <c r="U51" s="31" t="str" cm="1">
        <f t="array" ref="U51">_xlfn.IFS(OR(R51="Missing",R51="N/A",R51="Still Employed"),"Unknown",ISNUMBER(R51),"Exited",TRUE,"Unknown")</f>
        <v>Exited</v>
      </c>
      <c r="V51" s="31">
        <f t="shared" si="7"/>
        <v>2025</v>
      </c>
      <c r="W51" s="14" t="str">
        <f t="shared" si="8"/>
        <v>Exited</v>
      </c>
      <c r="X51" s="19"/>
      <c r="Y51" s="18" t="str">
        <f t="shared" si="9"/>
        <v/>
      </c>
      <c r="Z51" s="22" t="str" cm="1">
        <f t="array" ref="Z51">_xlfn.IFS(Y51="","0",LEFT(Y51,5)="",Y51,LEFT(Y51,1)="₹",REPLACE(Y51,1,1,""),LEFT(Y51,4)="Rs. ",REPLACE(Y51,1,4,""),TRUE,Y51)</f>
        <v>0</v>
      </c>
      <c r="AA51" s="22" t="str">
        <f t="shared" si="10"/>
        <v>0</v>
      </c>
      <c r="AB51" s="7" t="s">
        <v>51</v>
      </c>
      <c r="AC51" s="7" t="str">
        <f t="shared" si="11"/>
        <v>Excellent</v>
      </c>
      <c r="AD51" s="7"/>
      <c r="AE51" cm="1">
        <f t="array" ref="AE51">_xlfn.IFS(AD51="",0,AD51&lt;0,"Negate Leave",AD51&gt;=0,AD51)</f>
        <v>0</v>
      </c>
    </row>
    <row r="52" spans="1:31" x14ac:dyDescent="0.3">
      <c r="A52" s="7">
        <v>5190</v>
      </c>
      <c r="B52" s="7" t="s">
        <v>294</v>
      </c>
      <c r="C52" s="7" t="str">
        <f t="shared" si="2"/>
        <v>Anjali  Naidu</v>
      </c>
      <c r="D52" s="7" t="str">
        <f t="shared" si="3"/>
        <v>Anjali Naidu</v>
      </c>
      <c r="E52" s="7" t="s">
        <v>68</v>
      </c>
      <c r="F52" s="7" t="s">
        <v>219</v>
      </c>
      <c r="G52" s="7" t="s">
        <v>46</v>
      </c>
      <c r="H52" s="7" t="str">
        <f>_xlfn.XLOOKUP(G52,Lookup_Tables!$A$4:$A$9,Lookup_Tables!$C$4:$C$9,"Not Found",0)</f>
        <v>Faisal Ahmed</v>
      </c>
      <c r="I52" s="7" t="s">
        <v>70</v>
      </c>
      <c r="J52" s="7" t="s">
        <v>299</v>
      </c>
      <c r="K52" s="7" t="str">
        <f t="shared" si="4"/>
        <v>nikhil.rao@company.com</v>
      </c>
      <c r="L52" s="7" t="s">
        <v>300</v>
      </c>
      <c r="M52" s="7" t="str">
        <f t="shared" si="0"/>
        <v>9205983997</v>
      </c>
      <c r="N52" s="7" t="str" cm="1">
        <f t="array" ref="N52">_xlfn.IFS(M52="","Incomplete",LEN(M52)&lt;10,"Invalid",AND(LEN(M52) =10,LEFT(M52,4) &lt;&gt;"+91-"),"+91-"&amp;M52,TRUE,M52)</f>
        <v>+91-9205983997</v>
      </c>
      <c r="O52" s="8" t="s">
        <v>301</v>
      </c>
      <c r="P52" s="14"/>
      <c r="Q52" s="14" t="str">
        <f t="shared" si="1"/>
        <v>Missing</v>
      </c>
      <c r="R52" s="14" t="str" cm="1">
        <f t="array" ref="R52">_xlfn.IFS(OR(Q52="Missing",Q52="N/A",Q52="Still Employed"),Q52,ISNUMBER(SEARCH(",",Q52)),DATEVALUE(Q52),AND(ISNUMBER(SEARCH("-",Q52)),ISNUMBER(VALUE(LEFT(Q52,4)))),DATE(LEFT(Q52,4),MID(Q52,6,2),RIGHT(Q52,2)),ISNUMBER(SEARCH("-",Q52)),DATE(RIGHT(Q52,4),MID(Q52,4,2),LEFT(Q52,2)),ISNUMBER(SEARCH("/",Q52)),DATE(RIGHT(Q52,4),MID(Q52,4,2),LEFT(Q52,2)),TRUE,"Check Manually")</f>
        <v>Missing</v>
      </c>
      <c r="S52" s="31" t="str">
        <f t="shared" ca="1" si="5"/>
        <v>3 Years, 1 Months, 13 Days</v>
      </c>
      <c r="T52" s="31">
        <f t="shared" ca="1" si="6"/>
        <v>1139.19</v>
      </c>
      <c r="U52" s="31" t="str" cm="1">
        <f t="array" ref="U52">_xlfn.IFS(OR(R52="Missing",R52="N/A",R52="Still Employed"),"Unknown",ISNUMBER(R52),"Exited",TRUE,"Unknown")</f>
        <v>Unknown</v>
      </c>
      <c r="V52" s="31" t="str">
        <f t="shared" si="7"/>
        <v/>
      </c>
      <c r="W52" s="14" t="str">
        <f t="shared" si="8"/>
        <v>Active</v>
      </c>
      <c r="X52" s="19">
        <v>90565</v>
      </c>
      <c r="Y52" s="18" t="str">
        <f t="shared" si="9"/>
        <v>90565</v>
      </c>
      <c r="Z52" s="22" t="str" cm="1">
        <f t="array" ref="Z52">_xlfn.IFS(Y52="","0",LEFT(Y52,5)="",Y52,LEFT(Y52,1)="₹",REPLACE(Y52,1,1,""),LEFT(Y52,4)="Rs. ",REPLACE(Y52,1,4,""),TRUE,Y52)</f>
        <v>90565</v>
      </c>
      <c r="AA52" s="22" t="str">
        <f t="shared" si="10"/>
        <v>90565</v>
      </c>
      <c r="AB52" s="7" t="s">
        <v>95</v>
      </c>
      <c r="AC52" s="7" t="str">
        <f t="shared" si="11"/>
        <v>Average</v>
      </c>
      <c r="AD52" s="7">
        <v>13</v>
      </c>
      <c r="AE52" cm="1">
        <f t="array" ref="AE52">_xlfn.IFS(AD52="",0,AD52&lt;0,"Negate Leave",AD52&gt;=0,AD52)</f>
        <v>13</v>
      </c>
    </row>
    <row r="53" spans="1:31" x14ac:dyDescent="0.3">
      <c r="A53" s="7">
        <v>5337</v>
      </c>
      <c r="B53" s="7" t="s">
        <v>298</v>
      </c>
      <c r="C53" s="7" t="str">
        <f t="shared" si="2"/>
        <v>Nikhil  Rao</v>
      </c>
      <c r="D53" s="7" t="str">
        <f t="shared" si="3"/>
        <v>Nikhil Rao</v>
      </c>
      <c r="E53" s="7" t="s">
        <v>84</v>
      </c>
      <c r="F53" s="7" t="s">
        <v>151</v>
      </c>
      <c r="G53" s="7" t="s">
        <v>76</v>
      </c>
      <c r="H53" s="7" t="str">
        <f>_xlfn.XLOOKUP(G53,Lookup_Tables!$A$4:$A$9,Lookup_Tables!$C$4:$C$9,"Not Found",0)</f>
        <v>Ananya Sen</v>
      </c>
      <c r="I53" s="7" t="s">
        <v>47</v>
      </c>
      <c r="J53" s="7" t="s">
        <v>303</v>
      </c>
      <c r="K53" s="7" t="str">
        <f t="shared" si="4"/>
        <v>sneha.menon@company.com</v>
      </c>
      <c r="L53" s="7" t="s">
        <v>304</v>
      </c>
      <c r="M53" s="7" t="str">
        <f t="shared" si="0"/>
        <v>7889148654</v>
      </c>
      <c r="N53" s="7" t="str" cm="1">
        <f t="array" ref="N53">_xlfn.IFS(M53="","Incomplete",LEN(M53)&lt;10,"Invalid",AND(LEN(M53) =10,LEFT(M53,4) &lt;&gt;"+91-"),"+91-"&amp;M53,TRUE,M53)</f>
        <v>+91-7889148654</v>
      </c>
      <c r="O53" s="8" t="s">
        <v>143</v>
      </c>
      <c r="P53" s="14" t="s">
        <v>126</v>
      </c>
      <c r="Q53" s="14" t="str">
        <f t="shared" si="1"/>
        <v>N/A</v>
      </c>
      <c r="R53" s="14" t="str" cm="1">
        <f t="array" ref="R53">_xlfn.IFS(OR(Q53="Missing",Q53="N/A",Q53="Still Employed"),Q53,ISNUMBER(SEARCH(",",Q53)),DATEVALUE(Q53),AND(ISNUMBER(SEARCH("-",Q53)),ISNUMBER(VALUE(LEFT(Q53,4)))),DATE(LEFT(Q53,4),MID(Q53,6,2),RIGHT(Q53,2)),ISNUMBER(SEARCH("-",Q53)),DATE(RIGHT(Q53,4),MID(Q53,4,2),LEFT(Q53,2)),ISNUMBER(SEARCH("/",Q53)),DATE(RIGHT(Q53,4),MID(Q53,4,2),LEFT(Q53,2)),TRUE,"Check Manually")</f>
        <v>N/A</v>
      </c>
      <c r="S53" s="31" t="str">
        <f t="shared" ca="1" si="5"/>
        <v>4 Years, 3 Months, 27 Days</v>
      </c>
      <c r="T53" s="31">
        <f t="shared" ca="1" si="6"/>
        <v>1579.32</v>
      </c>
      <c r="U53" s="31" t="str" cm="1">
        <f t="array" ref="U53">_xlfn.IFS(OR(R53="Missing",R53="N/A",R53="Still Employed"),"Unknown",ISNUMBER(R53),"Exited",TRUE,"Unknown")</f>
        <v>Unknown</v>
      </c>
      <c r="V53" s="31" t="str">
        <f t="shared" si="7"/>
        <v/>
      </c>
      <c r="W53" s="14" t="str">
        <f t="shared" si="8"/>
        <v>Active</v>
      </c>
      <c r="X53" s="19" t="s">
        <v>305</v>
      </c>
      <c r="Y53" s="18" t="str">
        <f t="shared" si="9"/>
        <v>Rs. 65,167</v>
      </c>
      <c r="Z53" s="22" t="str" cm="1">
        <f t="array" ref="Z53">_xlfn.IFS(Y53="","0",LEFT(Y53,5)="",Y53,LEFT(Y53,1)="₹",REPLACE(Y53,1,1,""),LEFT(Y53,4)="Rs. ",REPLACE(Y53,1,4,""),TRUE,Y53)</f>
        <v>65,167</v>
      </c>
      <c r="AA53" s="22" t="str">
        <f t="shared" si="10"/>
        <v>65167</v>
      </c>
      <c r="AB53" s="7" t="s">
        <v>127</v>
      </c>
      <c r="AC53" s="7" t="str">
        <f t="shared" si="11"/>
        <v>Good</v>
      </c>
      <c r="AD53" s="7">
        <v>21</v>
      </c>
      <c r="AE53" cm="1">
        <f t="array" ref="AE53">_xlfn.IFS(AD53="",0,AD53&lt;0,"Negate Leave",AD53&gt;=0,AD53)</f>
        <v>21</v>
      </c>
    </row>
    <row r="54" spans="1:31" x14ac:dyDescent="0.3">
      <c r="A54" s="7">
        <v>5043</v>
      </c>
      <c r="B54" s="7" t="s">
        <v>302</v>
      </c>
      <c r="C54" s="7" t="str">
        <f t="shared" si="2"/>
        <v>Sneha Menon</v>
      </c>
      <c r="D54" s="7" t="str">
        <f t="shared" si="3"/>
        <v>Sneha Menon</v>
      </c>
      <c r="E54" s="7" t="s">
        <v>68</v>
      </c>
      <c r="F54" s="7" t="s">
        <v>133</v>
      </c>
      <c r="G54" s="7" t="s">
        <v>69</v>
      </c>
      <c r="H54" s="7" t="str">
        <f>_xlfn.XLOOKUP(G54,Lookup_Tables!$A$4:$A$9,Lookup_Tables!$C$4:$C$9,"Not Found",0)</f>
        <v>Vivek Malhotra</v>
      </c>
      <c r="I54" s="7" t="s">
        <v>62</v>
      </c>
      <c r="J54" s="7" t="s">
        <v>307</v>
      </c>
      <c r="K54" s="7" t="str">
        <f t="shared" si="4"/>
        <v>priya.desai@company.com</v>
      </c>
      <c r="L54" s="7" t="s">
        <v>308</v>
      </c>
      <c r="M54" s="7" t="str">
        <f t="shared" si="0"/>
        <v>+91-2967000891</v>
      </c>
      <c r="N54" s="7" t="str" cm="1">
        <f t="array" ref="N54">_xlfn.IFS(M54="","Incomplete",LEN(M54)&lt;10,"Invalid",AND(LEN(M54) =10,LEFT(M54,4) &lt;&gt;"+91-"),"+91-"&amp;M54,TRUE,M54)</f>
        <v>+91-2967000891</v>
      </c>
      <c r="O54" s="8" t="s">
        <v>309</v>
      </c>
      <c r="P54" s="14" t="s">
        <v>74</v>
      </c>
      <c r="Q54" s="14" t="str">
        <f t="shared" si="1"/>
        <v>Jun 30, 2025</v>
      </c>
      <c r="R54" s="14" cm="1">
        <f t="array" ref="R54">_xlfn.IFS(OR(Q54="Missing",Q54="N/A",Q54="Still Employed"),Q54,ISNUMBER(SEARCH(",",Q54)),DATEVALUE(Q54),AND(ISNUMBER(SEARCH("-",Q54)),ISNUMBER(VALUE(LEFT(Q54,4)))),DATE(LEFT(Q54,4),MID(Q54,6,2),RIGHT(Q54,2)),ISNUMBER(SEARCH("-",Q54)),DATE(RIGHT(Q54,4),MID(Q54,4,2),LEFT(Q54,2)),ISNUMBER(SEARCH("/",Q54)),DATE(RIGHT(Q54,4),MID(Q54,4,2),LEFT(Q54,2)),TRUE,"Check Manually")</f>
        <v>45838</v>
      </c>
      <c r="S54" s="31" t="str">
        <f t="shared" ca="1" si="5"/>
        <v>4 Years, 1 Months, 24 Days</v>
      </c>
      <c r="T54" s="31">
        <f t="shared" ca="1" si="6"/>
        <v>1515.44</v>
      </c>
      <c r="U54" s="31" t="str" cm="1">
        <f t="array" ref="U54">_xlfn.IFS(OR(R54="Missing",R54="N/A",R54="Still Employed"),"Unknown",ISNUMBER(R54),"Exited",TRUE,"Unknown")</f>
        <v>Exited</v>
      </c>
      <c r="V54" s="31">
        <f t="shared" si="7"/>
        <v>2025</v>
      </c>
      <c r="W54" s="14" t="str">
        <f t="shared" si="8"/>
        <v>Exited</v>
      </c>
      <c r="X54" s="19" t="s">
        <v>310</v>
      </c>
      <c r="Y54" s="18" t="str">
        <f t="shared" si="9"/>
        <v>Rs. 154,270</v>
      </c>
      <c r="Z54" s="22" t="str" cm="1">
        <f t="array" ref="Z54">_xlfn.IFS(Y54="","0",LEFT(Y54,5)="",Y54,LEFT(Y54,1)="₹",REPLACE(Y54,1,1,""),LEFT(Y54,4)="Rs. ",REPLACE(Y54,1,4,""),TRUE,Y54)</f>
        <v>154,270</v>
      </c>
      <c r="AA54" s="22" t="str">
        <f t="shared" si="10"/>
        <v>154270</v>
      </c>
      <c r="AB54" s="7" t="s">
        <v>127</v>
      </c>
      <c r="AC54" s="7" t="str">
        <f t="shared" si="11"/>
        <v>Good</v>
      </c>
      <c r="AD54" s="7">
        <v>8</v>
      </c>
      <c r="AE54" cm="1">
        <f t="array" ref="AE54">_xlfn.IFS(AD54="",0,AD54&lt;0,"Negate Leave",AD54&gt;=0,AD54)</f>
        <v>8</v>
      </c>
    </row>
    <row r="55" spans="1:31" x14ac:dyDescent="0.3">
      <c r="A55" s="7">
        <v>5133</v>
      </c>
      <c r="B55" s="7" t="s">
        <v>306</v>
      </c>
      <c r="C55" s="7" t="str">
        <f t="shared" si="2"/>
        <v>Priya Desai</v>
      </c>
      <c r="D55" s="7" t="str">
        <f t="shared" si="3"/>
        <v>Priya Desai</v>
      </c>
      <c r="E55" s="7" t="s">
        <v>68</v>
      </c>
      <c r="F55" s="7" t="s">
        <v>133</v>
      </c>
      <c r="G55" s="7" t="s">
        <v>69</v>
      </c>
      <c r="H55" s="7" t="str">
        <f>_xlfn.XLOOKUP(G55,Lookup_Tables!$A$4:$A$9,Lookup_Tables!$C$4:$C$9,"Not Found",0)</f>
        <v>Vivek Malhotra</v>
      </c>
      <c r="I55" s="7" t="s">
        <v>55</v>
      </c>
      <c r="J55" s="7" t="s">
        <v>312</v>
      </c>
      <c r="K55" s="7" t="str">
        <f t="shared" si="4"/>
        <v>divya.shah@company.com</v>
      </c>
      <c r="L55" s="7" t="s">
        <v>313</v>
      </c>
      <c r="M55" s="7" t="str">
        <f t="shared" si="0"/>
        <v>0789077095</v>
      </c>
      <c r="N55" s="7" t="str" cm="1">
        <f t="array" ref="N55">_xlfn.IFS(M55="","Incomplete",LEN(M55)&lt;10,"Invalid",AND(LEN(M55) =10,LEFT(M55,4) &lt;&gt;"+91-"),"+91-"&amp;M55,TRUE,M55)</f>
        <v>+91-0789077095</v>
      </c>
      <c r="O55" s="8" t="s">
        <v>314</v>
      </c>
      <c r="P55" s="14" t="s">
        <v>315</v>
      </c>
      <c r="Q55" s="14" t="str">
        <f t="shared" si="1"/>
        <v>16/12/2024</v>
      </c>
      <c r="R55" s="14" cm="1">
        <f t="array" ref="R55">_xlfn.IFS(OR(Q55="Missing",Q55="N/A",Q55="Still Employed"),Q55,ISNUMBER(SEARCH(",",Q55)),DATEVALUE(Q55),AND(ISNUMBER(SEARCH("-",Q55)),ISNUMBER(VALUE(LEFT(Q55,4)))),DATE(LEFT(Q55,4),MID(Q55,6,2),RIGHT(Q55,2)),ISNUMBER(SEARCH("-",Q55)),DATE(RIGHT(Q55,4),MID(Q55,4,2),LEFT(Q55,2)),ISNUMBER(SEARCH("/",Q55)),DATE(RIGHT(Q55,4),MID(Q55,4,2),LEFT(Q55,2)),TRUE,"Check Manually")</f>
        <v>45642</v>
      </c>
      <c r="S55" s="31" t="str">
        <f t="shared" ca="1" si="5"/>
        <v>4 Years, 11 Months, 9 Days</v>
      </c>
      <c r="T55" s="31">
        <f t="shared" ca="1" si="6"/>
        <v>1804.8400000000001</v>
      </c>
      <c r="U55" s="31" t="str" cm="1">
        <f t="array" ref="U55">_xlfn.IFS(OR(R55="Missing",R55="N/A",R55="Still Employed"),"Unknown",ISNUMBER(R55),"Exited",TRUE,"Unknown")</f>
        <v>Exited</v>
      </c>
      <c r="V55" s="31">
        <f t="shared" si="7"/>
        <v>2024</v>
      </c>
      <c r="W55" s="14" t="str">
        <f t="shared" si="8"/>
        <v>Exited</v>
      </c>
      <c r="X55" s="19">
        <v>50449</v>
      </c>
      <c r="Y55" s="18" t="str">
        <f t="shared" si="9"/>
        <v>50449</v>
      </c>
      <c r="Z55" s="22" t="str" cm="1">
        <f t="array" ref="Z55">_xlfn.IFS(Y55="","0",LEFT(Y55,5)="",Y55,LEFT(Y55,1)="₹",REPLACE(Y55,1,1,""),LEFT(Y55,4)="Rs. ",REPLACE(Y55,1,4,""),TRUE,Y55)</f>
        <v>50449</v>
      </c>
      <c r="AA55" s="22" t="str">
        <f t="shared" si="10"/>
        <v>50449</v>
      </c>
      <c r="AB55" s="7" t="s">
        <v>89</v>
      </c>
      <c r="AC55" s="7" t="str">
        <f t="shared" si="11"/>
        <v>Below Average</v>
      </c>
      <c r="AD55" s="7">
        <v>22</v>
      </c>
      <c r="AE55" cm="1">
        <f t="array" ref="AE55">_xlfn.IFS(AD55="",0,AD55&lt;0,"Negate Leave",AD55&gt;=0,AD55)</f>
        <v>22</v>
      </c>
    </row>
    <row r="56" spans="1:31" x14ac:dyDescent="0.3">
      <c r="A56" s="7">
        <v>5193</v>
      </c>
      <c r="B56" s="7" t="s">
        <v>311</v>
      </c>
      <c r="C56" s="7" t="str">
        <f t="shared" si="2"/>
        <v>Divya Shah</v>
      </c>
      <c r="D56" s="7" t="str">
        <f t="shared" si="3"/>
        <v>Divya Shah</v>
      </c>
      <c r="E56" s="7" t="s">
        <v>61</v>
      </c>
      <c r="F56" s="7" t="s">
        <v>122</v>
      </c>
      <c r="G56" s="7" t="s">
        <v>91</v>
      </c>
      <c r="H56" s="7" t="str">
        <f>_xlfn.XLOOKUP(G56,Lookup_Tables!$A$4:$A$9,Lookup_Tables!$C$4:$C$9,"Not Found",0)</f>
        <v>Rajiv Kapoor</v>
      </c>
      <c r="I56" s="7" t="s">
        <v>110</v>
      </c>
      <c r="J56" s="7" t="s">
        <v>316</v>
      </c>
      <c r="K56" s="7" t="str">
        <f t="shared" si="4"/>
        <v xml:space="preserve">varun.mehta@company.com </v>
      </c>
      <c r="L56" s="7" t="s">
        <v>317</v>
      </c>
      <c r="M56" s="7" t="str">
        <f t="shared" si="0"/>
        <v>7889322584</v>
      </c>
      <c r="N56" s="7" t="str" cm="1">
        <f t="array" ref="N56">_xlfn.IFS(M56="","Incomplete",LEN(M56)&lt;10,"Invalid",AND(LEN(M56) =10,LEFT(M56,4) &lt;&gt;"+91-"),"+91-"&amp;M56,TRUE,M56)</f>
        <v>+91-7889322584</v>
      </c>
      <c r="O56" s="8" t="s">
        <v>318</v>
      </c>
      <c r="P56" s="14"/>
      <c r="Q56" s="14" t="str">
        <f t="shared" si="1"/>
        <v>Missing</v>
      </c>
      <c r="R56" s="14" t="str" cm="1">
        <f t="array" ref="R56">_xlfn.IFS(OR(Q56="Missing",Q56="N/A",Q56="Still Employed"),Q56,ISNUMBER(SEARCH(",",Q56)),DATEVALUE(Q56),AND(ISNUMBER(SEARCH("-",Q56)),ISNUMBER(VALUE(LEFT(Q56,4)))),DATE(LEFT(Q56,4),MID(Q56,6,2),RIGHT(Q56,2)),ISNUMBER(SEARCH("-",Q56)),DATE(RIGHT(Q56,4),MID(Q56,4,2),LEFT(Q56,2)),ISNUMBER(SEARCH("/",Q56)),DATE(RIGHT(Q56,4),MID(Q56,4,2),LEFT(Q56,2)),TRUE,"Check Manually")</f>
        <v>Missing</v>
      </c>
      <c r="S56" s="31" t="str">
        <f t="shared" ca="1" si="5"/>
        <v>2 Years, 7 Months, 29 Days</v>
      </c>
      <c r="T56" s="31">
        <f t="shared" ca="1" si="6"/>
        <v>972.58</v>
      </c>
      <c r="U56" s="31" t="str" cm="1">
        <f t="array" ref="U56">_xlfn.IFS(OR(R56="Missing",R56="N/A",R56="Still Employed"),"Unknown",ISNUMBER(R56),"Exited",TRUE,"Unknown")</f>
        <v>Unknown</v>
      </c>
      <c r="V56" s="31" t="str">
        <f t="shared" si="7"/>
        <v/>
      </c>
      <c r="W56" s="14" t="str">
        <f t="shared" si="8"/>
        <v>Active</v>
      </c>
      <c r="X56" s="19"/>
      <c r="Y56" s="18" t="str">
        <f t="shared" si="9"/>
        <v/>
      </c>
      <c r="Z56" s="22" t="str" cm="1">
        <f t="array" ref="Z56">_xlfn.IFS(Y56="","0",LEFT(Y56,5)="",Y56,LEFT(Y56,1)="₹",REPLACE(Y56,1,1,""),LEFT(Y56,4)="Rs. ",REPLACE(Y56,1,4,""),TRUE,Y56)</f>
        <v>0</v>
      </c>
      <c r="AA56" s="22" t="str">
        <f t="shared" si="10"/>
        <v>0</v>
      </c>
      <c r="AB56" s="7" t="s">
        <v>127</v>
      </c>
      <c r="AC56" s="7" t="str">
        <f t="shared" si="11"/>
        <v>Good</v>
      </c>
      <c r="AD56" s="7">
        <v>5</v>
      </c>
      <c r="AE56" cm="1">
        <f t="array" ref="AE56">_xlfn.IFS(AD56="",0,AD56&lt;0,"Negate Leave",AD56&gt;=0,AD56)</f>
        <v>5</v>
      </c>
    </row>
    <row r="57" spans="1:31" x14ac:dyDescent="0.3">
      <c r="A57" s="7">
        <v>5161</v>
      </c>
      <c r="B57" s="7" t="s">
        <v>150</v>
      </c>
      <c r="C57" s="7" t="str">
        <f t="shared" si="2"/>
        <v>Kavya Naidu</v>
      </c>
      <c r="D57" s="7" t="str">
        <f t="shared" si="3"/>
        <v>Kavya Naidu</v>
      </c>
      <c r="E57" s="7" t="s">
        <v>84</v>
      </c>
      <c r="F57" s="7" t="s">
        <v>219</v>
      </c>
      <c r="G57" s="7" t="s">
        <v>46</v>
      </c>
      <c r="H57" s="7" t="str">
        <f>_xlfn.XLOOKUP(G57,Lookup_Tables!$A$4:$A$9,Lookup_Tables!$C$4:$C$9,"Not Found",0)</f>
        <v>Faisal Ahmed</v>
      </c>
      <c r="I57" s="7" t="s">
        <v>62</v>
      </c>
      <c r="J57" s="7" t="s">
        <v>321</v>
      </c>
      <c r="K57" s="7" t="str">
        <f t="shared" si="4"/>
        <v>simransaxena@company.com</v>
      </c>
      <c r="L57" s="7" t="s">
        <v>322</v>
      </c>
      <c r="M57" s="7" t="str">
        <f t="shared" si="0"/>
        <v>2985186010</v>
      </c>
      <c r="N57" s="7" t="str" cm="1">
        <f t="array" ref="N57">_xlfn.IFS(M57="","Incomplete",LEN(M57)&lt;10,"Invalid",AND(LEN(M57) =10,LEFT(M57,4) &lt;&gt;"+91-"),"+91-"&amp;M57,TRUE,M57)</f>
        <v>+91-2985186010</v>
      </c>
      <c r="O57" s="8" t="s">
        <v>323</v>
      </c>
      <c r="P57" s="14"/>
      <c r="Q57" s="14" t="str">
        <f t="shared" si="1"/>
        <v>Missing</v>
      </c>
      <c r="R57" s="14" t="str" cm="1">
        <f t="array" ref="R57">_xlfn.IFS(OR(Q57="Missing",Q57="N/A",Q57="Still Employed"),Q57,ISNUMBER(SEARCH(",",Q57)),DATEVALUE(Q57),AND(ISNUMBER(SEARCH("-",Q57)),ISNUMBER(VALUE(LEFT(Q57,4)))),DATE(LEFT(Q57,4),MID(Q57,6,2),RIGHT(Q57,2)),ISNUMBER(SEARCH("-",Q57)),DATE(RIGHT(Q57,4),MID(Q57,4,2),LEFT(Q57,2)),ISNUMBER(SEARCH("/",Q57)),DATE(RIGHT(Q57,4),MID(Q57,4,2),LEFT(Q57,2)),TRUE,"Check Manually")</f>
        <v>Missing</v>
      </c>
      <c r="S57" s="31" t="str">
        <f t="shared" ca="1" si="5"/>
        <v>8 Years, 1 Months, 2 Days</v>
      </c>
      <c r="T57" s="31">
        <f t="shared" ca="1" si="6"/>
        <v>2954.44</v>
      </c>
      <c r="U57" s="31" t="str" cm="1">
        <f t="array" ref="U57">_xlfn.IFS(OR(R57="Missing",R57="N/A",R57="Still Employed"),"Unknown",ISNUMBER(R57),"Exited",TRUE,"Unknown")</f>
        <v>Unknown</v>
      </c>
      <c r="V57" s="31" t="str">
        <f t="shared" si="7"/>
        <v/>
      </c>
      <c r="W57" s="14" t="str">
        <f t="shared" si="8"/>
        <v>Active</v>
      </c>
      <c r="X57" s="19" t="s">
        <v>324</v>
      </c>
      <c r="Y57" s="18" t="str">
        <f t="shared" si="9"/>
        <v>62,214</v>
      </c>
      <c r="Z57" s="22" t="str" cm="1">
        <f t="array" ref="Z57">_xlfn.IFS(Y57="","0",LEFT(Y57,5)="",Y57,LEFT(Y57,1)="₹",REPLACE(Y57,1,1,""),LEFT(Y57,4)="Rs. ",REPLACE(Y57,1,4,""),TRUE,Y57)</f>
        <v>62,214</v>
      </c>
      <c r="AA57" s="22" t="str">
        <f t="shared" si="10"/>
        <v>62214</v>
      </c>
      <c r="AB57" s="7" t="s">
        <v>51</v>
      </c>
      <c r="AC57" s="7" t="str">
        <f t="shared" si="11"/>
        <v>Excellent</v>
      </c>
      <c r="AD57" s="7">
        <v>16</v>
      </c>
      <c r="AE57" cm="1">
        <f t="array" ref="AE57">_xlfn.IFS(AD57="",0,AD57&lt;0,"Negate Leave",AD57&gt;=0,AD57)</f>
        <v>16</v>
      </c>
    </row>
    <row r="58" spans="1:31" x14ac:dyDescent="0.3">
      <c r="A58" s="7">
        <v>5155</v>
      </c>
      <c r="B58" s="7" t="s">
        <v>320</v>
      </c>
      <c r="C58" s="7" t="str">
        <f t="shared" si="2"/>
        <v>Simran Saxena</v>
      </c>
      <c r="D58" s="7" t="str">
        <f t="shared" si="3"/>
        <v>Simran Saxena</v>
      </c>
      <c r="E58" s="7" t="s">
        <v>84</v>
      </c>
      <c r="F58" s="7" t="s">
        <v>133</v>
      </c>
      <c r="G58" s="7" t="s">
        <v>69</v>
      </c>
      <c r="H58" s="7" t="str">
        <f>_xlfn.XLOOKUP(G58,Lookup_Tables!$A$4:$A$9,Lookup_Tables!$C$4:$C$9,"Not Found",0)</f>
        <v>Vivek Malhotra</v>
      </c>
      <c r="I58" s="7" t="s">
        <v>47</v>
      </c>
      <c r="J58" s="7" t="s">
        <v>220</v>
      </c>
      <c r="K58" s="7" t="str">
        <f t="shared" si="4"/>
        <v>sneha.bose@company.com</v>
      </c>
      <c r="L58" s="7"/>
      <c r="M58" s="7" t="str">
        <f t="shared" si="0"/>
        <v/>
      </c>
      <c r="N58" s="7" t="str" cm="1">
        <f t="array" ref="N58">_xlfn.IFS(M58="","Incomplete",LEN(M58)&lt;10,"Invalid",AND(LEN(M58) =10,LEFT(M58,4) &lt;&gt;"+91-"),"+91-"&amp;M58,TRUE,M58)</f>
        <v>Incomplete</v>
      </c>
      <c r="O58" s="8" t="s">
        <v>326</v>
      </c>
      <c r="P58" s="14"/>
      <c r="Q58" s="14" t="str">
        <f t="shared" si="1"/>
        <v>Missing</v>
      </c>
      <c r="R58" s="14" t="str" cm="1">
        <f t="array" ref="R58">_xlfn.IFS(OR(Q58="Missing",Q58="N/A",Q58="Still Employed"),Q58,ISNUMBER(SEARCH(",",Q58)),DATEVALUE(Q58),AND(ISNUMBER(SEARCH("-",Q58)),ISNUMBER(VALUE(LEFT(Q58,4)))),DATE(LEFT(Q58,4),MID(Q58,6,2),RIGHT(Q58,2)),ISNUMBER(SEARCH("-",Q58)),DATE(RIGHT(Q58,4),MID(Q58,4,2),LEFT(Q58,2)),ISNUMBER(SEARCH("/",Q58)),DATE(RIGHT(Q58,4),MID(Q58,4,2),LEFT(Q58,2)),TRUE,"Check Manually")</f>
        <v>Missing</v>
      </c>
      <c r="S58" s="31" t="str">
        <f t="shared" ca="1" si="5"/>
        <v>7 Years, 0 Months, 17 Days</v>
      </c>
      <c r="T58" s="31">
        <f t="shared" ca="1" si="6"/>
        <v>2573.75</v>
      </c>
      <c r="U58" s="31" t="str" cm="1">
        <f t="array" ref="U58">_xlfn.IFS(OR(R58="Missing",R58="N/A",R58="Still Employed"),"Unknown",ISNUMBER(R58),"Exited",TRUE,"Unknown")</f>
        <v>Unknown</v>
      </c>
      <c r="V58" s="31" t="str">
        <f t="shared" si="7"/>
        <v/>
      </c>
      <c r="W58" s="14" t="str">
        <f t="shared" si="8"/>
        <v>Active</v>
      </c>
      <c r="X58" s="19"/>
      <c r="Y58" s="18" t="str">
        <f t="shared" si="9"/>
        <v/>
      </c>
      <c r="Z58" s="22" t="str" cm="1">
        <f t="array" ref="Z58">_xlfn.IFS(Y58="","0",LEFT(Y58,5)="",Y58,LEFT(Y58,1)="₹",REPLACE(Y58,1,1,""),LEFT(Y58,4)="Rs. ",REPLACE(Y58,1,4,""),TRUE,Y58)</f>
        <v>0</v>
      </c>
      <c r="AA58" s="22" t="str">
        <f t="shared" si="10"/>
        <v>0</v>
      </c>
      <c r="AB58" s="7" t="s">
        <v>95</v>
      </c>
      <c r="AC58" s="7" t="str">
        <f t="shared" si="11"/>
        <v>Average</v>
      </c>
      <c r="AD58" s="7">
        <v>7</v>
      </c>
      <c r="AE58" cm="1">
        <f t="array" ref="AE58">_xlfn.IFS(AD58="",0,AD58&lt;0,"Negate Leave",AD58&gt;=0,AD58)</f>
        <v>7</v>
      </c>
    </row>
    <row r="59" spans="1:31" x14ac:dyDescent="0.3">
      <c r="A59" s="7">
        <v>5158</v>
      </c>
      <c r="B59" s="7" t="s">
        <v>325</v>
      </c>
      <c r="C59" s="7" t="str">
        <f t="shared" si="2"/>
        <v>Sneha Bose</v>
      </c>
      <c r="D59" s="7" t="str">
        <f t="shared" si="3"/>
        <v>Sneha Bose</v>
      </c>
      <c r="E59" s="7" t="s">
        <v>61</v>
      </c>
      <c r="F59" s="7" t="s">
        <v>122</v>
      </c>
      <c r="G59" s="7" t="s">
        <v>91</v>
      </c>
      <c r="H59" s="7" t="str">
        <f>_xlfn.XLOOKUP(G59,Lookup_Tables!$A$4:$A$9,Lookup_Tables!$C$4:$C$9,"Not Found",0)</f>
        <v>Rajiv Kapoor</v>
      </c>
      <c r="I59" s="7" t="s">
        <v>77</v>
      </c>
      <c r="J59" s="7" t="s">
        <v>328</v>
      </c>
      <c r="K59" s="7" t="str">
        <f t="shared" si="4"/>
        <v>neha.kulkarni@company.com</v>
      </c>
      <c r="L59" s="7" t="s">
        <v>329</v>
      </c>
      <c r="M59" s="7" t="str">
        <f t="shared" si="0"/>
        <v>6261635458</v>
      </c>
      <c r="N59" s="7" t="str" cm="1">
        <f t="array" ref="N59">_xlfn.IFS(M59="","Incomplete",LEN(M59)&lt;10,"Invalid",AND(LEN(M59) =10,LEFT(M59,4) &lt;&gt;"+91-"),"+91-"&amp;M59,TRUE,M59)</f>
        <v>+91-6261635458</v>
      </c>
      <c r="O59" s="8" t="s">
        <v>330</v>
      </c>
      <c r="P59" s="14" t="s">
        <v>114</v>
      </c>
      <c r="Q59" s="14" t="str">
        <f t="shared" si="1"/>
        <v>Still Employed</v>
      </c>
      <c r="R59" s="14" t="str" cm="1">
        <f t="array" ref="R59">_xlfn.IFS(OR(Q59="Missing",Q59="N/A",Q59="Still Employed"),Q59,ISNUMBER(SEARCH(",",Q59)),DATEVALUE(Q59),AND(ISNUMBER(SEARCH("-",Q59)),ISNUMBER(VALUE(LEFT(Q59,4)))),DATE(LEFT(Q59,4),MID(Q59,6,2),RIGHT(Q59,2)),ISNUMBER(SEARCH("-",Q59)),DATE(RIGHT(Q59,4),MID(Q59,4,2),LEFT(Q59,2)),ISNUMBER(SEARCH("/",Q59)),DATE(RIGHT(Q59,4),MID(Q59,4,2),LEFT(Q59,2)),TRUE,"Check Manually")</f>
        <v>Still Employed</v>
      </c>
      <c r="S59" s="31" t="str">
        <f t="shared" ca="1" si="5"/>
        <v>6 Years, 0 Months, 22 Days</v>
      </c>
      <c r="T59" s="31">
        <f t="shared" ca="1" si="6"/>
        <v>2213.5</v>
      </c>
      <c r="U59" s="31" t="str" cm="1">
        <f t="array" ref="U59">_xlfn.IFS(OR(R59="Missing",R59="N/A",R59="Still Employed"),"Unknown",ISNUMBER(R59),"Exited",TRUE,"Unknown")</f>
        <v>Unknown</v>
      </c>
      <c r="V59" s="31" t="str">
        <f t="shared" si="7"/>
        <v/>
      </c>
      <c r="W59" s="14" t="str">
        <f t="shared" si="8"/>
        <v>Active</v>
      </c>
      <c r="X59" s="19">
        <v>50147</v>
      </c>
      <c r="Y59" s="18" t="str">
        <f t="shared" si="9"/>
        <v>50147</v>
      </c>
      <c r="Z59" s="22" t="str" cm="1">
        <f t="array" ref="Z59">_xlfn.IFS(Y59="","0",LEFT(Y59,5)="",Y59,LEFT(Y59,1)="₹",REPLACE(Y59,1,1,""),LEFT(Y59,4)="Rs. ",REPLACE(Y59,1,4,""),TRUE,Y59)</f>
        <v>50147</v>
      </c>
      <c r="AA59" s="22" t="str">
        <f t="shared" si="10"/>
        <v>50147</v>
      </c>
      <c r="AB59" s="7" t="s">
        <v>144</v>
      </c>
      <c r="AC59" s="7" t="str">
        <f t="shared" si="11"/>
        <v>Poor</v>
      </c>
      <c r="AD59" s="7">
        <v>-3</v>
      </c>
      <c r="AE59" t="str" cm="1">
        <f t="array" ref="AE59">_xlfn.IFS(AD59="",0,AD59&lt;0,"Negate Leave",AD59&gt;=0,AD59)</f>
        <v>Negate Leave</v>
      </c>
    </row>
    <row r="60" spans="1:31" x14ac:dyDescent="0.3">
      <c r="A60" s="7">
        <v>5184</v>
      </c>
      <c r="B60" s="7" t="s">
        <v>327</v>
      </c>
      <c r="C60" s="7" t="str">
        <f t="shared" si="2"/>
        <v>Neha Kulkarni</v>
      </c>
      <c r="D60" s="7" t="str">
        <f t="shared" si="3"/>
        <v>Neha Kulkarni</v>
      </c>
      <c r="E60" s="7" t="s">
        <v>84</v>
      </c>
      <c r="F60" s="7" t="s">
        <v>133</v>
      </c>
      <c r="G60" s="7" t="s">
        <v>69</v>
      </c>
      <c r="H60" s="7" t="str">
        <f>_xlfn.XLOOKUP(G60,Lookup_Tables!$A$4:$A$9,Lookup_Tables!$C$4:$C$9,"Not Found",0)</f>
        <v>Vivek Malhotra</v>
      </c>
      <c r="I60" s="7" t="s">
        <v>47</v>
      </c>
      <c r="J60" s="7" t="s">
        <v>332</v>
      </c>
      <c r="K60" s="7" t="str">
        <f t="shared" si="4"/>
        <v>meenal.verma@company.com</v>
      </c>
      <c r="L60" s="7" t="s">
        <v>333</v>
      </c>
      <c r="M60" s="7" t="str">
        <f t="shared" si="0"/>
        <v>2048050183</v>
      </c>
      <c r="N60" s="7" t="str" cm="1">
        <f t="array" ref="N60">_xlfn.IFS(M60="","Incomplete",LEN(M60)&lt;10,"Invalid",AND(LEN(M60) =10,LEFT(M60,4) &lt;&gt;"+91-"),"+91-"&amp;M60,TRUE,M60)</f>
        <v>+91-2048050183</v>
      </c>
      <c r="O60" s="8" t="s">
        <v>334</v>
      </c>
      <c r="P60" s="14"/>
      <c r="Q60" s="14" t="str">
        <f t="shared" si="1"/>
        <v>Missing</v>
      </c>
      <c r="R60" s="14" t="str" cm="1">
        <f t="array" ref="R60">_xlfn.IFS(OR(Q60="Missing",Q60="N/A",Q60="Still Employed"),Q60,ISNUMBER(SEARCH(",",Q60)),DATEVALUE(Q60),AND(ISNUMBER(SEARCH("-",Q60)),ISNUMBER(VALUE(LEFT(Q60,4)))),DATE(LEFT(Q60,4),MID(Q60,6,2),RIGHT(Q60,2)),ISNUMBER(SEARCH("-",Q60)),DATE(RIGHT(Q60,4),MID(Q60,4,2),LEFT(Q60,2)),ISNUMBER(SEARCH("/",Q60)),DATE(RIGHT(Q60,4),MID(Q60,4,2),LEFT(Q60,2)),TRUE,"Check Manually")</f>
        <v>Missing</v>
      </c>
      <c r="S60" s="31" t="str">
        <f t="shared" ca="1" si="5"/>
        <v>7 Years, 4 Months, 10 Days</v>
      </c>
      <c r="T60" s="31">
        <f t="shared" ca="1" si="6"/>
        <v>2688.51</v>
      </c>
      <c r="U60" s="31" t="str" cm="1">
        <f t="array" ref="U60">_xlfn.IFS(OR(R60="Missing",R60="N/A",R60="Still Employed"),"Unknown",ISNUMBER(R60),"Exited",TRUE,"Unknown")</f>
        <v>Unknown</v>
      </c>
      <c r="V60" s="31" t="str">
        <f t="shared" si="7"/>
        <v/>
      </c>
      <c r="W60" s="14" t="str">
        <f t="shared" si="8"/>
        <v>Active</v>
      </c>
      <c r="X60" s="19" t="s">
        <v>335</v>
      </c>
      <c r="Y60" s="18" t="str">
        <f t="shared" si="9"/>
        <v>78,506</v>
      </c>
      <c r="Z60" s="22" t="str" cm="1">
        <f t="array" ref="Z60">_xlfn.IFS(Y60="","0",LEFT(Y60,5)="",Y60,LEFT(Y60,1)="₹",REPLACE(Y60,1,1,""),LEFT(Y60,4)="Rs. ",REPLACE(Y60,1,4,""),TRUE,Y60)</f>
        <v>78,506</v>
      </c>
      <c r="AA60" s="22" t="str">
        <f t="shared" si="10"/>
        <v>78506</v>
      </c>
      <c r="AB60" s="7" t="s">
        <v>127</v>
      </c>
      <c r="AC60" s="7" t="str">
        <f t="shared" si="11"/>
        <v>Good</v>
      </c>
      <c r="AD60" s="7">
        <v>18</v>
      </c>
      <c r="AE60" cm="1">
        <f t="array" ref="AE60">_xlfn.IFS(AD60="",0,AD60&lt;0,"Negate Leave",AD60&gt;=0,AD60)</f>
        <v>18</v>
      </c>
    </row>
    <row r="61" spans="1:31" x14ac:dyDescent="0.3">
      <c r="A61" s="7">
        <v>5205</v>
      </c>
      <c r="B61" s="7" t="s">
        <v>331</v>
      </c>
      <c r="C61" s="7" t="str">
        <f t="shared" si="2"/>
        <v>Meenal Verma</v>
      </c>
      <c r="D61" s="7" t="str">
        <f t="shared" si="3"/>
        <v>Meenal Verma</v>
      </c>
      <c r="E61" s="7" t="s">
        <v>68</v>
      </c>
      <c r="F61" s="7" t="s">
        <v>53</v>
      </c>
      <c r="G61" s="7" t="s">
        <v>54</v>
      </c>
      <c r="H61" s="7" t="str">
        <f>_xlfn.XLOOKUP(G61,Lookup_Tables!$A$4:$A$9,Lookup_Tables!$C$4:$C$9,"Not Found",0)</f>
        <v>Leela Iyer</v>
      </c>
      <c r="I61" s="7" t="s">
        <v>70</v>
      </c>
      <c r="J61" s="7" t="s">
        <v>337</v>
      </c>
      <c r="K61" s="7" t="str">
        <f t="shared" si="4"/>
        <v>yash.mehta@company.com</v>
      </c>
      <c r="L61" s="7" t="s">
        <v>338</v>
      </c>
      <c r="M61" s="7" t="str">
        <f t="shared" si="0"/>
        <v>9348156758</v>
      </c>
      <c r="N61" s="7" t="str" cm="1">
        <f t="array" ref="N61">_xlfn.IFS(M61="","Incomplete",LEN(M61)&lt;10,"Invalid",AND(LEN(M61) =10,LEFT(M61,4) &lt;&gt;"+91-"),"+91-"&amp;M61,TRUE,M61)</f>
        <v>+91-9348156758</v>
      </c>
      <c r="O61" s="8" t="s">
        <v>339</v>
      </c>
      <c r="P61" s="14" t="s">
        <v>126</v>
      </c>
      <c r="Q61" s="14" t="str">
        <f t="shared" si="1"/>
        <v>N/A</v>
      </c>
      <c r="R61" s="14" t="str" cm="1">
        <f t="array" ref="R61">_xlfn.IFS(OR(Q61="Missing",Q61="N/A",Q61="Still Employed"),Q61,ISNUMBER(SEARCH(",",Q61)),DATEVALUE(Q61),AND(ISNUMBER(SEARCH("-",Q61)),ISNUMBER(VALUE(LEFT(Q61,4)))),DATE(LEFT(Q61,4),MID(Q61,6,2),RIGHT(Q61,2)),ISNUMBER(SEARCH("-",Q61)),DATE(RIGHT(Q61,4),MID(Q61,4,2),LEFT(Q61,2)),ISNUMBER(SEARCH("/",Q61)),DATE(RIGHT(Q61,4),MID(Q61,4,2),LEFT(Q61,2)),TRUE,"Check Manually")</f>
        <v>N/A</v>
      </c>
      <c r="S61" s="31" t="str">
        <f t="shared" ca="1" si="5"/>
        <v>4 Years, 11 Months, 23 Days</v>
      </c>
      <c r="T61" s="31">
        <f t="shared" ca="1" si="6"/>
        <v>1818.8400000000001</v>
      </c>
      <c r="U61" s="31" t="str" cm="1">
        <f t="array" ref="U61">_xlfn.IFS(OR(R61="Missing",R61="N/A",R61="Still Employed"),"Unknown",ISNUMBER(R61),"Exited",TRUE,"Unknown")</f>
        <v>Unknown</v>
      </c>
      <c r="V61" s="31" t="str">
        <f t="shared" si="7"/>
        <v/>
      </c>
      <c r="W61" s="14" t="str">
        <f t="shared" si="8"/>
        <v>Active</v>
      </c>
      <c r="X61" s="19">
        <v>57580</v>
      </c>
      <c r="Y61" s="18" t="str">
        <f t="shared" si="9"/>
        <v>57580</v>
      </c>
      <c r="Z61" s="22" t="str" cm="1">
        <f t="array" ref="Z61">_xlfn.IFS(Y61="","0",LEFT(Y61,5)="",Y61,LEFT(Y61,1)="₹",REPLACE(Y61,1,1,""),LEFT(Y61,4)="Rs. ",REPLACE(Y61,1,4,""),TRUE,Y61)</f>
        <v>57580</v>
      </c>
      <c r="AA61" s="22" t="str">
        <f t="shared" si="10"/>
        <v>57580</v>
      </c>
      <c r="AB61" s="7" t="s">
        <v>127</v>
      </c>
      <c r="AC61" s="7" t="str">
        <f t="shared" si="11"/>
        <v>Good</v>
      </c>
      <c r="AD61" s="7">
        <v>18</v>
      </c>
      <c r="AE61" cm="1">
        <f t="array" ref="AE61">_xlfn.IFS(AD61="",0,AD61&lt;0,"Negate Leave",AD61&gt;=0,AD61)</f>
        <v>18</v>
      </c>
    </row>
    <row r="62" spans="1:31" x14ac:dyDescent="0.3">
      <c r="A62" s="7">
        <v>5096</v>
      </c>
      <c r="B62" s="7" t="s">
        <v>336</v>
      </c>
      <c r="C62" s="7" t="str">
        <f t="shared" si="2"/>
        <v>Yash Mehta</v>
      </c>
      <c r="D62" s="7" t="str">
        <f t="shared" si="3"/>
        <v>Yash Mehta</v>
      </c>
      <c r="E62" s="7" t="s">
        <v>61</v>
      </c>
      <c r="F62" s="7" t="s">
        <v>389</v>
      </c>
      <c r="G62" s="7" t="s">
        <v>140</v>
      </c>
      <c r="H62" s="7" t="str">
        <f>_xlfn.XLOOKUP(G62,Lookup_Tables!$A$4:$A$9,Lookup_Tables!$C$4:$C$9,"Not Found",0)</f>
        <v>Sunita Rao</v>
      </c>
      <c r="I62" s="7" t="s">
        <v>77</v>
      </c>
      <c r="J62" s="7" t="s">
        <v>341</v>
      </c>
      <c r="K62" s="7" t="str">
        <f t="shared" si="4"/>
        <v>rahul.reddy@company.com</v>
      </c>
      <c r="L62" s="7" t="s">
        <v>342</v>
      </c>
      <c r="M62" s="7" t="str">
        <f t="shared" si="0"/>
        <v>6078738212</v>
      </c>
      <c r="N62" s="7" t="str" cm="1">
        <f t="array" ref="N62">_xlfn.IFS(M62="","Incomplete",LEN(M62)&lt;10,"Invalid",AND(LEN(M62) =10,LEFT(M62,4) &lt;&gt;"+91-"),"+91-"&amp;M62,TRUE,M62)</f>
        <v>+91-6078738212</v>
      </c>
      <c r="O62" s="8" t="s">
        <v>343</v>
      </c>
      <c r="P62" s="14" t="s">
        <v>344</v>
      </c>
      <c r="Q62" s="14" t="str">
        <f t="shared" si="1"/>
        <v>2023-01-09</v>
      </c>
      <c r="R62" s="14" cm="1">
        <f t="array" ref="R62">_xlfn.IFS(OR(Q62="Missing",Q62="N/A",Q62="Still Employed"),Q62,ISNUMBER(SEARCH(",",Q62)),DATEVALUE(Q62),AND(ISNUMBER(SEARCH("-",Q62)),ISNUMBER(VALUE(LEFT(Q62,4)))),DATE(LEFT(Q62,4),MID(Q62,6,2),RIGHT(Q62,2)),ISNUMBER(SEARCH("-",Q62)),DATE(RIGHT(Q62,4),MID(Q62,4,2),LEFT(Q62,2)),ISNUMBER(SEARCH("/",Q62)),DATE(RIGHT(Q62,4),MID(Q62,4,2),LEFT(Q62,2)),TRUE,"Check Manually")</f>
        <v>44935</v>
      </c>
      <c r="S62" s="31" t="str">
        <f t="shared" ca="1" si="5"/>
        <v>0 Years, 9 Months, 24 Days</v>
      </c>
      <c r="T62" s="31">
        <f t="shared" ca="1" si="6"/>
        <v>297.96000000000004</v>
      </c>
      <c r="U62" s="31" t="str" cm="1">
        <f t="array" ref="U62">_xlfn.IFS(OR(R62="Missing",R62="N/A",R62="Still Employed"),"Unknown",ISNUMBER(R62),"Exited",TRUE,"Unknown")</f>
        <v>Exited</v>
      </c>
      <c r="V62" s="31">
        <f t="shared" si="7"/>
        <v>2023</v>
      </c>
      <c r="W62" s="14" t="str">
        <f t="shared" si="8"/>
        <v>Exited</v>
      </c>
      <c r="X62" s="19">
        <v>133735</v>
      </c>
      <c r="Y62" s="18" t="str">
        <f t="shared" si="9"/>
        <v>133735</v>
      </c>
      <c r="Z62" s="22" t="str" cm="1">
        <f t="array" ref="Z62">_xlfn.IFS(Y62="","0",LEFT(Y62,5)="",Y62,LEFT(Y62,1)="₹",REPLACE(Y62,1,1,""),LEFT(Y62,4)="Rs. ",REPLACE(Y62,1,4,""),TRUE,Y62)</f>
        <v>133735</v>
      </c>
      <c r="AA62" s="22" t="str">
        <f t="shared" si="10"/>
        <v>133735</v>
      </c>
      <c r="AB62" s="7" t="s">
        <v>144</v>
      </c>
      <c r="AC62" s="7" t="str">
        <f t="shared" si="11"/>
        <v>Poor</v>
      </c>
      <c r="AD62" s="7">
        <v>16</v>
      </c>
      <c r="AE62" cm="1">
        <f t="array" ref="AE62">_xlfn.IFS(AD62="",0,AD62&lt;0,"Negate Leave",AD62&gt;=0,AD62)</f>
        <v>16</v>
      </c>
    </row>
    <row r="63" spans="1:31" x14ac:dyDescent="0.3">
      <c r="A63" s="7">
        <v>5217</v>
      </c>
      <c r="B63" s="7" t="s">
        <v>340</v>
      </c>
      <c r="C63" s="7" t="str">
        <f t="shared" si="2"/>
        <v>Rahul Reddy</v>
      </c>
      <c r="D63" s="7" t="str">
        <f t="shared" si="3"/>
        <v>Rahul Reddy</v>
      </c>
      <c r="E63" s="7" t="s">
        <v>68</v>
      </c>
      <c r="F63" s="7" t="s">
        <v>122</v>
      </c>
      <c r="G63" s="7" t="s">
        <v>91</v>
      </c>
      <c r="H63" s="7" t="str">
        <f>_xlfn.XLOOKUP(G63,Lookup_Tables!$A$4:$A$9,Lookup_Tables!$C$4:$C$9,"Not Found",0)</f>
        <v>Rajiv Kapoor</v>
      </c>
      <c r="I63" s="7" t="s">
        <v>77</v>
      </c>
      <c r="J63" s="7" t="s">
        <v>346</v>
      </c>
      <c r="K63" s="7" t="str">
        <f t="shared" si="4"/>
        <v>amit.desai@company.com</v>
      </c>
      <c r="L63" s="7" t="s">
        <v>347</v>
      </c>
      <c r="M63" s="7" t="str">
        <f t="shared" si="0"/>
        <v>5925778201</v>
      </c>
      <c r="N63" s="7" t="str" cm="1">
        <f t="array" ref="N63">_xlfn.IFS(M63="","Incomplete",LEN(M63)&lt;10,"Invalid",AND(LEN(M63) =10,LEFT(M63,4) &lt;&gt;"+91-"),"+91-"&amp;M63,TRUE,M63)</f>
        <v>+91-5925778201</v>
      </c>
      <c r="O63" s="8" t="s">
        <v>348</v>
      </c>
      <c r="P63" s="14"/>
      <c r="Q63" s="14" t="str">
        <f t="shared" si="1"/>
        <v>Missing</v>
      </c>
      <c r="R63" s="14" t="str" cm="1">
        <f t="array" ref="R63">_xlfn.IFS(OR(Q63="Missing",Q63="N/A",Q63="Still Employed"),Q63,ISNUMBER(SEARCH(",",Q63)),DATEVALUE(Q63),AND(ISNUMBER(SEARCH("-",Q63)),ISNUMBER(VALUE(LEFT(Q63,4)))),DATE(LEFT(Q63,4),MID(Q63,6,2),RIGHT(Q63,2)),ISNUMBER(SEARCH("-",Q63)),DATE(RIGHT(Q63,4),MID(Q63,4,2),LEFT(Q63,2)),ISNUMBER(SEARCH("/",Q63)),DATE(RIGHT(Q63,4),MID(Q63,4,2),LEFT(Q63,2)),TRUE,"Check Manually")</f>
        <v>Missing</v>
      </c>
      <c r="S63" s="31" t="str">
        <f t="shared" ca="1" si="5"/>
        <v>7 Years, 3 Months, 20 Days</v>
      </c>
      <c r="T63" s="31">
        <f t="shared" ca="1" si="6"/>
        <v>2668.07</v>
      </c>
      <c r="U63" s="31" t="str" cm="1">
        <f t="array" ref="U63">_xlfn.IFS(OR(R63="Missing",R63="N/A",R63="Still Employed"),"Unknown",ISNUMBER(R63),"Exited",TRUE,"Unknown")</f>
        <v>Unknown</v>
      </c>
      <c r="V63" s="31" t="str">
        <f t="shared" si="7"/>
        <v/>
      </c>
      <c r="W63" s="14" t="str">
        <f t="shared" si="8"/>
        <v>Active</v>
      </c>
      <c r="X63" s="19"/>
      <c r="Y63" s="18" t="str">
        <f t="shared" si="9"/>
        <v/>
      </c>
      <c r="Z63" s="22" t="str" cm="1">
        <f t="array" ref="Z63">_xlfn.IFS(Y63="","0",LEFT(Y63,5)="",Y63,LEFT(Y63,1)="₹",REPLACE(Y63,1,1,""),LEFT(Y63,4)="Rs. ",REPLACE(Y63,1,4,""),TRUE,Y63)</f>
        <v>0</v>
      </c>
      <c r="AA63" s="22" t="str">
        <f t="shared" si="10"/>
        <v>0</v>
      </c>
      <c r="AB63" s="7" t="s">
        <v>51</v>
      </c>
      <c r="AC63" s="7" t="str">
        <f t="shared" si="11"/>
        <v>Excellent</v>
      </c>
      <c r="AD63" s="7">
        <v>13</v>
      </c>
      <c r="AE63" cm="1">
        <f t="array" ref="AE63">_xlfn.IFS(AD63="",0,AD63&lt;0,"Negate Leave",AD63&gt;=0,AD63)</f>
        <v>13</v>
      </c>
    </row>
    <row r="64" spans="1:31" x14ac:dyDescent="0.3">
      <c r="A64" s="7">
        <v>5218</v>
      </c>
      <c r="B64" s="7" t="s">
        <v>345</v>
      </c>
      <c r="C64" s="7" t="str">
        <f t="shared" si="2"/>
        <v>Amit Desai</v>
      </c>
      <c r="D64" s="7" t="str">
        <f t="shared" si="3"/>
        <v>Amit Desai</v>
      </c>
      <c r="E64" s="7" t="s">
        <v>68</v>
      </c>
      <c r="F64" s="7" t="s">
        <v>151</v>
      </c>
      <c r="G64" s="7" t="s">
        <v>76</v>
      </c>
      <c r="H64" s="7" t="str">
        <f>_xlfn.XLOOKUP(G64,Lookup_Tables!$A$4:$A$9,Lookup_Tables!$C$4:$C$9,"Not Found",0)</f>
        <v>Ananya Sen</v>
      </c>
      <c r="I64" s="7" t="s">
        <v>77</v>
      </c>
      <c r="J64" s="7" t="s">
        <v>350</v>
      </c>
      <c r="K64" s="7" t="str">
        <f t="shared" si="4"/>
        <v>aarav.chopra@company.com</v>
      </c>
      <c r="L64" s="7" t="s">
        <v>351</v>
      </c>
      <c r="M64" s="7" t="str">
        <f t="shared" si="0"/>
        <v>0406145908</v>
      </c>
      <c r="N64" s="7" t="str" cm="1">
        <f t="array" ref="N64">_xlfn.IFS(M64="","Incomplete",LEN(M64)&lt;10,"Invalid",AND(LEN(M64) =10,LEFT(M64,4) &lt;&gt;"+91-"),"+91-"&amp;M64,TRUE,M64)</f>
        <v>+91-0406145908</v>
      </c>
      <c r="O64" s="8" t="s">
        <v>352</v>
      </c>
      <c r="P64" s="14" t="s">
        <v>114</v>
      </c>
      <c r="Q64" s="14" t="str">
        <f t="shared" si="1"/>
        <v>Still Employed</v>
      </c>
      <c r="R64" s="14" t="str" cm="1">
        <f t="array" ref="R64">_xlfn.IFS(OR(Q64="Missing",Q64="N/A",Q64="Still Employed"),Q64,ISNUMBER(SEARCH(",",Q64)),DATEVALUE(Q64),AND(ISNUMBER(SEARCH("-",Q64)),ISNUMBER(VALUE(LEFT(Q64,4)))),DATE(LEFT(Q64,4),MID(Q64,6,2),RIGHT(Q64,2)),ISNUMBER(SEARCH("-",Q64)),DATE(RIGHT(Q64,4),MID(Q64,4,2),LEFT(Q64,2)),ISNUMBER(SEARCH("/",Q64)),DATE(RIGHT(Q64,4),MID(Q64,4,2),LEFT(Q64,2)),TRUE,"Check Manually")</f>
        <v>Still Employed</v>
      </c>
      <c r="S64" s="31" t="str">
        <f t="shared" ca="1" si="5"/>
        <v>5 Years, 10 Months, 22 Days</v>
      </c>
      <c r="T64" s="31">
        <f t="shared" ca="1" si="6"/>
        <v>2152.65</v>
      </c>
      <c r="U64" s="31" t="str" cm="1">
        <f t="array" ref="U64">_xlfn.IFS(OR(R64="Missing",R64="N/A",R64="Still Employed"),"Unknown",ISNUMBER(R64),"Exited",TRUE,"Unknown")</f>
        <v>Unknown</v>
      </c>
      <c r="V64" s="31" t="str">
        <f t="shared" si="7"/>
        <v/>
      </c>
      <c r="W64" s="14" t="str">
        <f t="shared" si="8"/>
        <v>Active</v>
      </c>
      <c r="X64" s="19" t="s">
        <v>353</v>
      </c>
      <c r="Y64" s="18" t="str">
        <f t="shared" si="9"/>
        <v>Rs. 61,400</v>
      </c>
      <c r="Z64" s="22" t="str" cm="1">
        <f t="array" ref="Z64">_xlfn.IFS(Y64="","0",LEFT(Y64,5)="",Y64,LEFT(Y64,1)="₹",REPLACE(Y64,1,1,""),LEFT(Y64,4)="Rs. ",REPLACE(Y64,1,4,""),TRUE,Y64)</f>
        <v>61,400</v>
      </c>
      <c r="AA64" s="22" t="str">
        <f t="shared" si="10"/>
        <v>61400</v>
      </c>
      <c r="AB64" s="7" t="s">
        <v>51</v>
      </c>
      <c r="AC64" s="7" t="str">
        <f t="shared" si="11"/>
        <v>Excellent</v>
      </c>
      <c r="AD64" s="7">
        <v>2</v>
      </c>
      <c r="AE64" cm="1">
        <f t="array" ref="AE64">_xlfn.IFS(AD64="",0,AD64&lt;0,"Negate Leave",AD64&gt;=0,AD64)</f>
        <v>2</v>
      </c>
    </row>
    <row r="65" spans="1:31" x14ac:dyDescent="0.3">
      <c r="A65" s="7">
        <v>5201</v>
      </c>
      <c r="B65" s="7" t="s">
        <v>349</v>
      </c>
      <c r="C65" s="7" t="str">
        <f t="shared" si="2"/>
        <v>aarav chopra</v>
      </c>
      <c r="D65" s="7" t="str">
        <f t="shared" si="3"/>
        <v>Aarav Chopra</v>
      </c>
      <c r="E65" s="7" t="s">
        <v>68</v>
      </c>
      <c r="F65" s="7" t="s">
        <v>122</v>
      </c>
      <c r="G65" s="7" t="s">
        <v>91</v>
      </c>
      <c r="H65" s="7" t="str">
        <f>_xlfn.XLOOKUP(G65,Lookup_Tables!$A$4:$A$9,Lookup_Tables!$C$4:$C$9,"Not Found",0)</f>
        <v>Rajiv Kapoor</v>
      </c>
      <c r="I65" s="7" t="s">
        <v>85</v>
      </c>
      <c r="J65" s="7" t="s">
        <v>355</v>
      </c>
      <c r="K65" s="7" t="str">
        <f t="shared" si="4"/>
        <v>kavya.bhatt@company.com</v>
      </c>
      <c r="L65" s="7" t="s">
        <v>356</v>
      </c>
      <c r="M65" s="7" t="str">
        <f t="shared" ref="M65:M127" si="12">SUBSTITUTE(L65," ","")</f>
        <v>2672567281</v>
      </c>
      <c r="N65" s="7" t="str" cm="1">
        <f t="array" ref="N65">_xlfn.IFS(M65="","Incomplete",LEN(M65)&lt;10,"Invalid",AND(LEN(M65) =10,LEFT(M65,4) &lt;&gt;"+91-"),"+91-"&amp;M65,TRUE,M65)</f>
        <v>+91-2672567281</v>
      </c>
      <c r="O65" s="8" t="s">
        <v>357</v>
      </c>
      <c r="P65" s="14"/>
      <c r="Q65" s="14" t="str">
        <f t="shared" si="1"/>
        <v>Missing</v>
      </c>
      <c r="R65" s="14" t="str" cm="1">
        <f t="array" ref="R65">_xlfn.IFS(OR(Q65="Missing",Q65="N/A",Q65="Still Employed"),Q65,ISNUMBER(SEARCH(",",Q65)),DATEVALUE(Q65),AND(ISNUMBER(SEARCH("-",Q65)),ISNUMBER(VALUE(LEFT(Q65,4)))),DATE(LEFT(Q65,4),MID(Q65,6,2),RIGHT(Q65,2)),ISNUMBER(SEARCH("-",Q65)),DATE(RIGHT(Q65,4),MID(Q65,4,2),LEFT(Q65,2)),ISNUMBER(SEARCH("/",Q65)),DATE(RIGHT(Q65,4),MID(Q65,4,2),LEFT(Q65,2)),TRUE,"Check Manually")</f>
        <v>Missing</v>
      </c>
      <c r="S65" s="31" t="str">
        <f t="shared" ca="1" si="5"/>
        <v>7 Years, 4 Months, 4 Days</v>
      </c>
      <c r="T65" s="31">
        <f t="shared" ca="1" si="6"/>
        <v>2682.51</v>
      </c>
      <c r="U65" s="31" t="str" cm="1">
        <f t="array" ref="U65">_xlfn.IFS(OR(R65="Missing",R65="N/A",R65="Still Employed"),"Unknown",ISNUMBER(R65),"Exited",TRUE,"Unknown")</f>
        <v>Unknown</v>
      </c>
      <c r="V65" s="31" t="str">
        <f t="shared" si="7"/>
        <v/>
      </c>
      <c r="W65" s="14" t="str">
        <f t="shared" si="8"/>
        <v>Active</v>
      </c>
      <c r="X65" s="19">
        <v>64644</v>
      </c>
      <c r="Y65" s="18" t="str">
        <f t="shared" si="9"/>
        <v>64644</v>
      </c>
      <c r="Z65" s="22" t="str" cm="1">
        <f t="array" ref="Z65">_xlfn.IFS(Y65="","0",LEFT(Y65,5)="",Y65,LEFT(Y65,1)="₹",REPLACE(Y65,1,1,""),LEFT(Y65,4)="Rs. ",REPLACE(Y65,1,4,""),TRUE,Y65)</f>
        <v>64644</v>
      </c>
      <c r="AA65" s="22" t="str">
        <f t="shared" si="10"/>
        <v>64644</v>
      </c>
      <c r="AB65" s="7" t="s">
        <v>144</v>
      </c>
      <c r="AC65" s="7" t="str">
        <f t="shared" si="11"/>
        <v>Poor</v>
      </c>
      <c r="AD65" s="7">
        <v>0</v>
      </c>
      <c r="AE65" cm="1">
        <f t="array" ref="AE65">_xlfn.IFS(AD65="",0,AD65&lt;0,"Negate Leave",AD65&gt;=0,AD65)</f>
        <v>0</v>
      </c>
    </row>
    <row r="66" spans="1:31" x14ac:dyDescent="0.3">
      <c r="A66" s="7">
        <v>5282</v>
      </c>
      <c r="B66" s="7" t="s">
        <v>354</v>
      </c>
      <c r="C66" s="7" t="str">
        <f t="shared" ref="C66:C128" si="13">IF(ISNUMBER(SEARCH(",",B66)), TRIM(MID(B66,FIND(",",B66)+1,LEN(B66))&amp;" "&amp;LEFT(B66,FIND(",",B66)-1)), B66)</f>
        <v>Kavya Bhatt</v>
      </c>
      <c r="D66" s="7" t="str">
        <f t="shared" ref="D66:D128" si="14">PROPER(TRIM(C66))</f>
        <v>Kavya Bhatt</v>
      </c>
      <c r="E66" s="7" t="s">
        <v>61</v>
      </c>
      <c r="F66" s="7" t="s">
        <v>389</v>
      </c>
      <c r="G66" s="7" t="s">
        <v>140</v>
      </c>
      <c r="H66" s="7" t="str">
        <f>_xlfn.XLOOKUP(G66,Lookup_Tables!$A$4:$A$9,Lookup_Tables!$C$4:$C$9,"Not Found",0)</f>
        <v>Sunita Rao</v>
      </c>
      <c r="I66" s="7" t="s">
        <v>175</v>
      </c>
      <c r="J66" s="7" t="s">
        <v>359</v>
      </c>
      <c r="K66" s="7" t="str">
        <f t="shared" ref="K66:K128" si="15">IF(J66="","No Email ID",SUBSTITUTE(J66,"companycom","company.com"))</f>
        <v>manish.pillai@company.com</v>
      </c>
      <c r="L66" s="7" t="s">
        <v>360</v>
      </c>
      <c r="M66" s="7" t="str">
        <f t="shared" si="12"/>
        <v>3019659265</v>
      </c>
      <c r="N66" s="7" t="str" cm="1">
        <f t="array" ref="N66">_xlfn.IFS(M66="","Incomplete",LEN(M66)&lt;10,"Invalid",AND(LEN(M66) =10,LEFT(M66,4) &lt;&gt;"+91-"),"+91-"&amp;M66,TRUE,M66)</f>
        <v>+91-3019659265</v>
      </c>
      <c r="O66" s="8" t="s">
        <v>361</v>
      </c>
      <c r="P66" s="14" t="s">
        <v>74</v>
      </c>
      <c r="Q66" s="14" t="str">
        <f t="shared" ref="Q66:Q129" si="16">IF(P66="","Missing",P66)</f>
        <v>Jun 30, 2025</v>
      </c>
      <c r="R66" s="14" cm="1">
        <f t="array" ref="R66">_xlfn.IFS(OR(Q66="Missing",Q66="N/A",Q66="Still Employed"),Q66,ISNUMBER(SEARCH(",",Q66)),DATEVALUE(Q66),AND(ISNUMBER(SEARCH("-",Q66)),ISNUMBER(VALUE(LEFT(Q66,4)))),DATE(LEFT(Q66,4),MID(Q66,6,2),RIGHT(Q66,2)),ISNUMBER(SEARCH("-",Q66)),DATE(RIGHT(Q66,4),MID(Q66,4,2),LEFT(Q66,2)),ISNUMBER(SEARCH("/",Q66)),DATE(RIGHT(Q66,4),MID(Q66,4,2),LEFT(Q66,2)),TRUE,"Check Manually")</f>
        <v>45838</v>
      </c>
      <c r="S66" s="31" t="str">
        <f t="shared" ca="1" si="5"/>
        <v>5 Years, 3 Months, 5 Days</v>
      </c>
      <c r="T66" s="31">
        <f t="shared" ca="1" si="6"/>
        <v>1922.57</v>
      </c>
      <c r="U66" s="31" t="str" cm="1">
        <f t="array" ref="U66">_xlfn.IFS(OR(R66="Missing",R66="N/A",R66="Still Employed"),"Unknown",ISNUMBER(R66),"Exited",TRUE,"Unknown")</f>
        <v>Exited</v>
      </c>
      <c r="V66" s="31">
        <f t="shared" si="7"/>
        <v>2025</v>
      </c>
      <c r="W66" s="14" t="str">
        <f t="shared" si="8"/>
        <v>Exited</v>
      </c>
      <c r="X66" s="19">
        <v>119922</v>
      </c>
      <c r="Y66" s="18" t="str">
        <f t="shared" ref="Y66:Y128" si="17">TRIM(X66)</f>
        <v>119922</v>
      </c>
      <c r="Z66" s="22" t="str" cm="1">
        <f t="array" ref="Z66">_xlfn.IFS(Y66="","0",LEFT(Y66,5)="",Y66,LEFT(Y66,1)="₹",REPLACE(Y66,1,1,""),LEFT(Y66,4)="Rs. ",REPLACE(Y66,1,4,""),TRUE,Y66)</f>
        <v>119922</v>
      </c>
      <c r="AA66" s="22" t="str">
        <f t="shared" ref="AA66:AA128" si="18">SUBSTITUTE(Z66,",","")</f>
        <v>119922</v>
      </c>
      <c r="AB66" s="7" t="s">
        <v>127</v>
      </c>
      <c r="AC66" s="7" t="str">
        <f t="shared" ref="AC66:AC128" si="19">IF(AB66="","Not Rated",AB66)</f>
        <v>Good</v>
      </c>
      <c r="AD66" s="7">
        <v>18</v>
      </c>
      <c r="AE66" cm="1">
        <f t="array" ref="AE66">_xlfn.IFS(AD66="",0,AD66&lt;0,"Negate Leave",AD66&gt;=0,AD66)</f>
        <v>18</v>
      </c>
    </row>
    <row r="67" spans="1:31" x14ac:dyDescent="0.3">
      <c r="A67" s="7">
        <v>5269</v>
      </c>
      <c r="B67" s="7" t="s">
        <v>358</v>
      </c>
      <c r="C67" s="7" t="str">
        <f t="shared" si="13"/>
        <v>Manish Pillai</v>
      </c>
      <c r="D67" s="7" t="str">
        <f t="shared" si="14"/>
        <v>Manish Pillai</v>
      </c>
      <c r="E67" s="7" t="s">
        <v>68</v>
      </c>
      <c r="F67" s="7" t="s">
        <v>151</v>
      </c>
      <c r="G67" s="7" t="s">
        <v>76</v>
      </c>
      <c r="H67" s="7" t="str">
        <f>_xlfn.XLOOKUP(G67,Lookup_Tables!$A$4:$A$9,Lookup_Tables!$C$4:$C$9,"Not Found",0)</f>
        <v>Ananya Sen</v>
      </c>
      <c r="I67" s="7" t="s">
        <v>47</v>
      </c>
      <c r="J67" s="7" t="s">
        <v>363</v>
      </c>
      <c r="K67" s="7" t="str">
        <f t="shared" si="15"/>
        <v>meenal.bhatt@company.com</v>
      </c>
      <c r="L67" s="7" t="s">
        <v>364</v>
      </c>
      <c r="M67" s="7" t="str">
        <f t="shared" si="12"/>
        <v>6130445166</v>
      </c>
      <c r="N67" s="7" t="str" cm="1">
        <f t="array" ref="N67">_xlfn.IFS(M67="","Incomplete",LEN(M67)&lt;10,"Invalid",AND(LEN(M67) =10,LEFT(M67,4) &lt;&gt;"+91-"),"+91-"&amp;M67,TRUE,M67)</f>
        <v>+91-6130445166</v>
      </c>
      <c r="O67" s="8" t="s">
        <v>365</v>
      </c>
      <c r="P67" s="14"/>
      <c r="Q67" s="14" t="str">
        <f t="shared" si="16"/>
        <v>Missing</v>
      </c>
      <c r="R67" s="14" t="str" cm="1">
        <f t="array" ref="R67">_xlfn.IFS(OR(Q67="Missing",Q67="N/A",Q67="Still Employed"),Q67,ISNUMBER(SEARCH(",",Q67)),DATEVALUE(Q67),AND(ISNUMBER(SEARCH("-",Q67)),ISNUMBER(VALUE(LEFT(Q67,4)))),DATE(LEFT(Q67,4),MID(Q67,6,2),RIGHT(Q67,2)),ISNUMBER(SEARCH("-",Q67)),DATE(RIGHT(Q67,4),MID(Q67,4,2),LEFT(Q67,2)),ISNUMBER(SEARCH("/",Q67)),DATE(RIGHT(Q67,4),MID(Q67,4,2),LEFT(Q67,2)),TRUE,"Check Manually")</f>
        <v>Missing</v>
      </c>
      <c r="S67" s="31" t="str">
        <f t="shared" ref="S67:S130" ca="1" si="20">IF(OR(R67="Missing",R67="N/A",R67="Still Employed"),DATEDIF(O67,TODAY(),"y") &amp;" Years, " &amp;DATEDIF(O67,TODAY(),"ym") &amp; " Months, "&amp;DATEDIF(O67,TODAY(),"md") &amp;" Days",DATEDIF(O67,R67,"y") &amp;" Years, " &amp;DATEDIF(O67,R67,"ym") &amp; " Months, "&amp;DATEDIF(O67,R67,"md") &amp;" Days")</f>
        <v>4 Years, 8 Months, 12 Days</v>
      </c>
      <c r="T67" s="31">
        <f t="shared" ref="T67:T130" ca="1" si="21">VALUE(LEFT(S67,FIND(" Years",S67)-1))*365.25
+ VALUE(MID(S67,FIND(", ",S67)+2,FIND(" Months",S67)-FIND(", ",S67)-2))*30.44
+ VALUE(MID(S67,FIND("Months, ",S67)+8,FIND(" Days",S67)-FIND("Months, ",S67)-8))</f>
        <v>1716.52</v>
      </c>
      <c r="U67" s="31" t="str" cm="1">
        <f t="array" ref="U67">_xlfn.IFS(OR(R67="Missing",R67="N/A",R67="Still Employed"),"Unknown",ISNUMBER(R67),"Exited",TRUE,"Unknown")</f>
        <v>Unknown</v>
      </c>
      <c r="V67" s="31" t="str">
        <f t="shared" ref="V67:V130" si="22">IF(U67="Exited",YEAR(R67),"")</f>
        <v/>
      </c>
      <c r="W67" s="14" t="str">
        <f t="shared" ref="W67:W130" si="23">IF(OR(R67="Missing",R67="N/A",R67="Still Employed"),"Active","Exited")</f>
        <v>Active</v>
      </c>
      <c r="X67" s="19">
        <v>121854</v>
      </c>
      <c r="Y67" s="18" t="str">
        <f t="shared" si="17"/>
        <v>121854</v>
      </c>
      <c r="Z67" s="22" t="str" cm="1">
        <f t="array" ref="Z67">_xlfn.IFS(Y67="","0",LEFT(Y67,5)="",Y67,LEFT(Y67,1)="₹",REPLACE(Y67,1,1,""),LEFT(Y67,4)="Rs. ",REPLACE(Y67,1,4,""),TRUE,Y67)</f>
        <v>121854</v>
      </c>
      <c r="AA67" s="22" t="str">
        <f t="shared" si="18"/>
        <v>121854</v>
      </c>
      <c r="AB67" s="7" t="s">
        <v>95</v>
      </c>
      <c r="AC67" s="7" t="str">
        <f t="shared" si="19"/>
        <v>Average</v>
      </c>
      <c r="AD67" s="7">
        <v>21</v>
      </c>
      <c r="AE67" cm="1">
        <f t="array" ref="AE67">_xlfn.IFS(AD67="",0,AD67&lt;0,"Negate Leave",AD67&gt;=0,AD67)</f>
        <v>21</v>
      </c>
    </row>
    <row r="68" spans="1:31" x14ac:dyDescent="0.3">
      <c r="A68" s="7">
        <v>5023</v>
      </c>
      <c r="B68" s="7" t="s">
        <v>362</v>
      </c>
      <c r="C68" s="7" t="str">
        <f t="shared" si="13"/>
        <v>Meenal  Bhatt</v>
      </c>
      <c r="D68" s="7" t="str">
        <f t="shared" si="14"/>
        <v>Meenal Bhatt</v>
      </c>
      <c r="E68" s="7" t="s">
        <v>61</v>
      </c>
      <c r="F68" s="7" t="s">
        <v>122</v>
      </c>
      <c r="G68" s="7" t="s">
        <v>91</v>
      </c>
      <c r="H68" s="7" t="str">
        <f>_xlfn.XLOOKUP(G68,Lookup_Tables!$A$4:$A$9,Lookup_Tables!$C$4:$C$9,"Not Found",0)</f>
        <v>Rajiv Kapoor</v>
      </c>
      <c r="I68" s="7" t="s">
        <v>47</v>
      </c>
      <c r="J68" s="7" t="s">
        <v>367</v>
      </c>
      <c r="K68" s="7" t="str">
        <f t="shared" si="15"/>
        <v>varun.bose@company.com</v>
      </c>
      <c r="L68" s="7" t="s">
        <v>368</v>
      </c>
      <c r="M68" s="7" t="str">
        <f t="shared" si="12"/>
        <v>8682889093</v>
      </c>
      <c r="N68" s="7" t="str" cm="1">
        <f t="array" ref="N68">_xlfn.IFS(M68="","Incomplete",LEN(M68)&lt;10,"Invalid",AND(LEN(M68) =10,LEFT(M68,4) &lt;&gt;"+91-"),"+91-"&amp;M68,TRUE,M68)</f>
        <v>+91-8682889093</v>
      </c>
      <c r="O68" s="8" t="s">
        <v>369</v>
      </c>
      <c r="P68" s="14" t="s">
        <v>114</v>
      </c>
      <c r="Q68" s="14" t="str">
        <f t="shared" si="16"/>
        <v>Still Employed</v>
      </c>
      <c r="R68" s="14" t="str" cm="1">
        <f t="array" ref="R68">_xlfn.IFS(OR(Q68="Missing",Q68="N/A",Q68="Still Employed"),Q68,ISNUMBER(SEARCH(",",Q68)),DATEVALUE(Q68),AND(ISNUMBER(SEARCH("-",Q68)),ISNUMBER(VALUE(LEFT(Q68,4)))),DATE(LEFT(Q68,4),MID(Q68,6,2),RIGHT(Q68,2)),ISNUMBER(SEARCH("-",Q68)),DATE(RIGHT(Q68,4),MID(Q68,4,2),LEFT(Q68,2)),ISNUMBER(SEARCH("/",Q68)),DATE(RIGHT(Q68,4),MID(Q68,4,2),LEFT(Q68,2)),TRUE,"Check Manually")</f>
        <v>Still Employed</v>
      </c>
      <c r="S68" s="31" t="str">
        <f t="shared" ca="1" si="20"/>
        <v>6 Years, 10 Months, 16 Days</v>
      </c>
      <c r="T68" s="31">
        <f t="shared" ca="1" si="21"/>
        <v>2511.9</v>
      </c>
      <c r="U68" s="31" t="str" cm="1">
        <f t="array" ref="U68">_xlfn.IFS(OR(R68="Missing",R68="N/A",R68="Still Employed"),"Unknown",ISNUMBER(R68),"Exited",TRUE,"Unknown")</f>
        <v>Unknown</v>
      </c>
      <c r="V68" s="31" t="str">
        <f t="shared" si="22"/>
        <v/>
      </c>
      <c r="W68" s="14" t="str">
        <f t="shared" si="23"/>
        <v>Active</v>
      </c>
      <c r="X68" s="19"/>
      <c r="Y68" s="18" t="str">
        <f t="shared" si="17"/>
        <v/>
      </c>
      <c r="Z68" s="22" t="str" cm="1">
        <f t="array" ref="Z68">_xlfn.IFS(Y68="","0",LEFT(Y68,5)="",Y68,LEFT(Y68,1)="₹",REPLACE(Y68,1,1,""),LEFT(Y68,4)="Rs. ",REPLACE(Y68,1,4,""),TRUE,Y68)</f>
        <v>0</v>
      </c>
      <c r="AA68" s="22" t="str">
        <f t="shared" si="18"/>
        <v>0</v>
      </c>
      <c r="AB68" s="7"/>
      <c r="AC68" s="7" t="str">
        <f t="shared" si="19"/>
        <v>Not Rated</v>
      </c>
      <c r="AD68" s="7">
        <v>0</v>
      </c>
      <c r="AE68" cm="1">
        <f t="array" ref="AE68">_xlfn.IFS(AD68="",0,AD68&lt;0,"Negate Leave",AD68&gt;=0,AD68)</f>
        <v>0</v>
      </c>
    </row>
    <row r="69" spans="1:31" x14ac:dyDescent="0.3">
      <c r="A69" s="7">
        <v>5019</v>
      </c>
      <c r="B69" s="7" t="s">
        <v>366</v>
      </c>
      <c r="C69" s="7" t="str">
        <f t="shared" si="13"/>
        <v>Varun  Bose</v>
      </c>
      <c r="D69" s="7" t="str">
        <f t="shared" si="14"/>
        <v>Varun Bose</v>
      </c>
      <c r="E69" s="7" t="s">
        <v>68</v>
      </c>
      <c r="F69" s="7" t="s">
        <v>53</v>
      </c>
      <c r="G69" s="7" t="s">
        <v>54</v>
      </c>
      <c r="H69" s="7" t="str">
        <f>_xlfn.XLOOKUP(G69,Lookup_Tables!$A$4:$A$9,Lookup_Tables!$C$4:$C$9,"Not Found",0)</f>
        <v>Leela Iyer</v>
      </c>
      <c r="I69" s="7" t="s">
        <v>55</v>
      </c>
      <c r="J69" s="7" t="s">
        <v>371</v>
      </c>
      <c r="K69" s="7" t="str">
        <f t="shared" si="15"/>
        <v>amit.rao@company.com</v>
      </c>
      <c r="L69" s="7" t="s">
        <v>372</v>
      </c>
      <c r="M69" s="7" t="str">
        <f t="shared" si="12"/>
        <v>+91-9063050093</v>
      </c>
      <c r="N69" s="7" t="str" cm="1">
        <f t="array" ref="N69">_xlfn.IFS(M69="","Incomplete",LEN(M69)&lt;10,"Invalid",AND(LEN(M69) =10,LEFT(M69,4) &lt;&gt;"+91-"),"+91-"&amp;M69,TRUE,M69)</f>
        <v>+91-9063050093</v>
      </c>
      <c r="O69" s="8" t="s">
        <v>373</v>
      </c>
      <c r="P69" s="14" t="s">
        <v>126</v>
      </c>
      <c r="Q69" s="14" t="str">
        <f t="shared" si="16"/>
        <v>N/A</v>
      </c>
      <c r="R69" s="14" t="str" cm="1">
        <f t="array" ref="R69">_xlfn.IFS(OR(Q69="Missing",Q69="N/A",Q69="Still Employed"),Q69,ISNUMBER(SEARCH(",",Q69)),DATEVALUE(Q69),AND(ISNUMBER(SEARCH("-",Q69)),ISNUMBER(VALUE(LEFT(Q69,4)))),DATE(LEFT(Q69,4),MID(Q69,6,2),RIGHT(Q69,2)),ISNUMBER(SEARCH("-",Q69)),DATE(RIGHT(Q69,4),MID(Q69,4,2),LEFT(Q69,2)),ISNUMBER(SEARCH("/",Q69)),DATE(RIGHT(Q69,4),MID(Q69,4,2),LEFT(Q69,2)),TRUE,"Check Manually")</f>
        <v>N/A</v>
      </c>
      <c r="S69" s="31" t="str">
        <f t="shared" ca="1" si="20"/>
        <v>4 Years, 1 Months, 26 Days</v>
      </c>
      <c r="T69" s="31">
        <f t="shared" ca="1" si="21"/>
        <v>1517.44</v>
      </c>
      <c r="U69" s="31" t="str" cm="1">
        <f t="array" ref="U69">_xlfn.IFS(OR(R69="Missing",R69="N/A",R69="Still Employed"),"Unknown",ISNUMBER(R69),"Exited",TRUE,"Unknown")</f>
        <v>Unknown</v>
      </c>
      <c r="V69" s="31" t="str">
        <f t="shared" si="22"/>
        <v/>
      </c>
      <c r="W69" s="14" t="str">
        <f t="shared" si="23"/>
        <v>Active</v>
      </c>
      <c r="X69" s="19" t="s">
        <v>374</v>
      </c>
      <c r="Y69" s="18" t="str">
        <f t="shared" si="17"/>
        <v>Rs. 85,238</v>
      </c>
      <c r="Z69" s="22" t="str" cm="1">
        <f t="array" ref="Z69">_xlfn.IFS(Y69="","0",LEFT(Y69,5)="",Y69,LEFT(Y69,1)="₹",REPLACE(Y69,1,1,""),LEFT(Y69,4)="Rs. ",REPLACE(Y69,1,4,""),TRUE,Y69)</f>
        <v>85,238</v>
      </c>
      <c r="AA69" s="22" t="str">
        <f t="shared" si="18"/>
        <v>85238</v>
      </c>
      <c r="AB69" s="7" t="s">
        <v>127</v>
      </c>
      <c r="AC69" s="7" t="str">
        <f t="shared" si="19"/>
        <v>Good</v>
      </c>
      <c r="AD69" s="7">
        <v>25</v>
      </c>
      <c r="AE69" cm="1">
        <f t="array" ref="AE69">_xlfn.IFS(AD69="",0,AD69&lt;0,"Negate Leave",AD69&gt;=0,AD69)</f>
        <v>25</v>
      </c>
    </row>
    <row r="70" spans="1:31" x14ac:dyDescent="0.3">
      <c r="A70" s="7">
        <v>5105</v>
      </c>
      <c r="B70" s="7" t="s">
        <v>370</v>
      </c>
      <c r="C70" s="7" t="str">
        <f t="shared" si="13"/>
        <v>Amit Rao</v>
      </c>
      <c r="D70" s="7" t="str">
        <f t="shared" si="14"/>
        <v>Amit Rao</v>
      </c>
      <c r="E70" s="7" t="s">
        <v>68</v>
      </c>
      <c r="F70" s="7" t="s">
        <v>151</v>
      </c>
      <c r="G70" s="7" t="s">
        <v>76</v>
      </c>
      <c r="H70" s="7" t="str">
        <f>_xlfn.XLOOKUP(G70,Lookup_Tables!$A$4:$A$9,Lookup_Tables!$C$4:$C$9,"Not Found",0)</f>
        <v>Ananya Sen</v>
      </c>
      <c r="I70" s="7" t="s">
        <v>175</v>
      </c>
      <c r="J70" s="7" t="s">
        <v>376</v>
      </c>
      <c r="K70" s="7" t="str">
        <f t="shared" si="15"/>
        <v>kavya.desai@company.com</v>
      </c>
      <c r="L70" s="7" t="s">
        <v>377</v>
      </c>
      <c r="M70" s="7" t="str">
        <f t="shared" si="12"/>
        <v>7700673992</v>
      </c>
      <c r="N70" s="7" t="str" cm="1">
        <f t="array" ref="N70">_xlfn.IFS(M70="","Incomplete",LEN(M70)&lt;10,"Invalid",AND(LEN(M70) =10,LEFT(M70,4) &lt;&gt;"+91-"),"+91-"&amp;M70,TRUE,M70)</f>
        <v>+91-7700673992</v>
      </c>
      <c r="O70" s="8" t="s">
        <v>378</v>
      </c>
      <c r="P70" s="14"/>
      <c r="Q70" s="14" t="str">
        <f t="shared" si="16"/>
        <v>Missing</v>
      </c>
      <c r="R70" s="14" t="str" cm="1">
        <f t="array" ref="R70">_xlfn.IFS(OR(Q70="Missing",Q70="N/A",Q70="Still Employed"),Q70,ISNUMBER(SEARCH(",",Q70)),DATEVALUE(Q70),AND(ISNUMBER(SEARCH("-",Q70)),ISNUMBER(VALUE(LEFT(Q70,4)))),DATE(LEFT(Q70,4),MID(Q70,6,2),RIGHT(Q70,2)),ISNUMBER(SEARCH("-",Q70)),DATE(RIGHT(Q70,4),MID(Q70,4,2),LEFT(Q70,2)),ISNUMBER(SEARCH("/",Q70)),DATE(RIGHT(Q70,4),MID(Q70,4,2),LEFT(Q70,2)),TRUE,"Check Manually")</f>
        <v>Missing</v>
      </c>
      <c r="S70" s="31" t="str">
        <f t="shared" ca="1" si="20"/>
        <v>5 Years, 9 Months, 27 Days</v>
      </c>
      <c r="T70" s="31">
        <f t="shared" ca="1" si="21"/>
        <v>2127.21</v>
      </c>
      <c r="U70" s="31" t="str" cm="1">
        <f t="array" ref="U70">_xlfn.IFS(OR(R70="Missing",R70="N/A",R70="Still Employed"),"Unknown",ISNUMBER(R70),"Exited",TRUE,"Unknown")</f>
        <v>Unknown</v>
      </c>
      <c r="V70" s="31" t="str">
        <f t="shared" si="22"/>
        <v/>
      </c>
      <c r="W70" s="14" t="str">
        <f t="shared" si="23"/>
        <v>Active</v>
      </c>
      <c r="X70" s="19">
        <v>44951</v>
      </c>
      <c r="Y70" s="18" t="str">
        <f t="shared" si="17"/>
        <v>44951</v>
      </c>
      <c r="Z70" s="22" t="str" cm="1">
        <f t="array" ref="Z70">_xlfn.IFS(Y70="","0",LEFT(Y70,5)="",Y70,LEFT(Y70,1)="₹",REPLACE(Y70,1,1,""),LEFT(Y70,4)="Rs. ",REPLACE(Y70,1,4,""),TRUE,Y70)</f>
        <v>44951</v>
      </c>
      <c r="AA70" s="22" t="str">
        <f t="shared" si="18"/>
        <v>44951</v>
      </c>
      <c r="AB70" s="7" t="s">
        <v>51</v>
      </c>
      <c r="AC70" s="7" t="str">
        <f t="shared" si="19"/>
        <v>Excellent</v>
      </c>
      <c r="AD70" s="7">
        <v>2</v>
      </c>
      <c r="AE70" cm="1">
        <f t="array" ref="AE70">_xlfn.IFS(AD70="",0,AD70&lt;0,"Negate Leave",AD70&gt;=0,AD70)</f>
        <v>2</v>
      </c>
    </row>
    <row r="71" spans="1:31" x14ac:dyDescent="0.3">
      <c r="A71" s="7">
        <v>5214</v>
      </c>
      <c r="B71" s="7" t="s">
        <v>375</v>
      </c>
      <c r="C71" s="7" t="str">
        <f t="shared" si="13"/>
        <v>Kavya Desai</v>
      </c>
      <c r="D71" s="7" t="str">
        <f t="shared" si="14"/>
        <v>Kavya Desai</v>
      </c>
      <c r="E71" s="7" t="s">
        <v>68</v>
      </c>
      <c r="F71" s="7" t="s">
        <v>133</v>
      </c>
      <c r="G71" s="7" t="s">
        <v>69</v>
      </c>
      <c r="H71" s="7" t="str">
        <f>_xlfn.XLOOKUP(G71,Lookup_Tables!$A$4:$A$9,Lookup_Tables!$C$4:$C$9,"Not Found",0)</f>
        <v>Vivek Malhotra</v>
      </c>
      <c r="I71" s="7" t="s">
        <v>55</v>
      </c>
      <c r="J71" s="7" t="s">
        <v>380</v>
      </c>
      <c r="K71" s="7" t="str">
        <f t="shared" si="15"/>
        <v>anita.pillai@company.com</v>
      </c>
      <c r="L71" s="7" t="s">
        <v>381</v>
      </c>
      <c r="M71" s="7" t="str">
        <f t="shared" si="12"/>
        <v>1163726516</v>
      </c>
      <c r="N71" s="7" t="str" cm="1">
        <f t="array" ref="N71">_xlfn.IFS(M71="","Incomplete",LEN(M71)&lt;10,"Invalid",AND(LEN(M71) =10,LEFT(M71,4) &lt;&gt;"+91-"),"+91-"&amp;M71,TRUE,M71)</f>
        <v>+91-1163726516</v>
      </c>
      <c r="O71" s="8" t="s">
        <v>382</v>
      </c>
      <c r="P71" s="14"/>
      <c r="Q71" s="14" t="str">
        <f t="shared" si="16"/>
        <v>Missing</v>
      </c>
      <c r="R71" s="14" t="str" cm="1">
        <f t="array" ref="R71">_xlfn.IFS(OR(Q71="Missing",Q71="N/A",Q71="Still Employed"),Q71,ISNUMBER(SEARCH(",",Q71)),DATEVALUE(Q71),AND(ISNUMBER(SEARCH("-",Q71)),ISNUMBER(VALUE(LEFT(Q71,4)))),DATE(LEFT(Q71,4),MID(Q71,6,2),RIGHT(Q71,2)),ISNUMBER(SEARCH("-",Q71)),DATE(RIGHT(Q71,4),MID(Q71,4,2),LEFT(Q71,2)),ISNUMBER(SEARCH("/",Q71)),DATE(RIGHT(Q71,4),MID(Q71,4,2),LEFT(Q71,2)),TRUE,"Check Manually")</f>
        <v>Missing</v>
      </c>
      <c r="S71" s="31" t="str">
        <f t="shared" ca="1" si="20"/>
        <v>3 Years, 3 Months, 11 Days</v>
      </c>
      <c r="T71" s="31">
        <f t="shared" ca="1" si="21"/>
        <v>1198.07</v>
      </c>
      <c r="U71" s="31" t="str" cm="1">
        <f t="array" ref="U71">_xlfn.IFS(OR(R71="Missing",R71="N/A",R71="Still Employed"),"Unknown",ISNUMBER(R71),"Exited",TRUE,"Unknown")</f>
        <v>Unknown</v>
      </c>
      <c r="V71" s="31" t="str">
        <f t="shared" si="22"/>
        <v/>
      </c>
      <c r="W71" s="14" t="str">
        <f t="shared" si="23"/>
        <v>Active</v>
      </c>
      <c r="X71" s="19" t="s">
        <v>383</v>
      </c>
      <c r="Y71" s="18" t="str">
        <f t="shared" si="17"/>
        <v>Rs. 35,500</v>
      </c>
      <c r="Z71" s="22" t="str" cm="1">
        <f t="array" ref="Z71">_xlfn.IFS(Y71="","0",LEFT(Y71,5)="",Y71,LEFT(Y71,1)="₹",REPLACE(Y71,1,1,""),LEFT(Y71,4)="Rs. ",REPLACE(Y71,1,4,""),TRUE,Y71)</f>
        <v>35,500</v>
      </c>
      <c r="AA71" s="22" t="str">
        <f t="shared" si="18"/>
        <v>35500</v>
      </c>
      <c r="AB71" s="7" t="s">
        <v>144</v>
      </c>
      <c r="AC71" s="7" t="str">
        <f t="shared" si="19"/>
        <v>Poor</v>
      </c>
      <c r="AD71" s="7">
        <v>2</v>
      </c>
      <c r="AE71" cm="1">
        <f t="array" ref="AE71">_xlfn.IFS(AD71="",0,AD71&lt;0,"Negate Leave",AD71&gt;=0,AD71)</f>
        <v>2</v>
      </c>
    </row>
    <row r="72" spans="1:31" x14ac:dyDescent="0.3">
      <c r="A72" s="7">
        <v>5009</v>
      </c>
      <c r="B72" s="7" t="s">
        <v>379</v>
      </c>
      <c r="C72" s="7" t="str">
        <f t="shared" si="13"/>
        <v>Anita Pillai</v>
      </c>
      <c r="D72" s="7" t="str">
        <f t="shared" si="14"/>
        <v>Anita Pillai</v>
      </c>
      <c r="E72" s="7" t="s">
        <v>61</v>
      </c>
      <c r="F72" s="7" t="s">
        <v>122</v>
      </c>
      <c r="G72" s="7" t="s">
        <v>91</v>
      </c>
      <c r="H72" s="7" t="str">
        <f>_xlfn.XLOOKUP(G72,Lookup_Tables!$A$4:$A$9,Lookup_Tables!$C$4:$C$9,"Not Found",0)</f>
        <v>Rajiv Kapoor</v>
      </c>
      <c r="I72" s="7" t="s">
        <v>70</v>
      </c>
      <c r="J72" s="7" t="s">
        <v>350</v>
      </c>
      <c r="K72" s="7" t="str">
        <f t="shared" si="15"/>
        <v>aarav.chopra@company.com</v>
      </c>
      <c r="L72" s="7"/>
      <c r="M72" s="7" t="str">
        <f t="shared" si="12"/>
        <v/>
      </c>
      <c r="N72" s="7" t="str" cm="1">
        <f t="array" ref="N72">_xlfn.IFS(M72="","Incomplete",LEN(M72)&lt;10,"Invalid",AND(LEN(M72) =10,LEFT(M72,4) &lt;&gt;"+91-"),"+91-"&amp;M72,TRUE,M72)</f>
        <v>Incomplete</v>
      </c>
      <c r="O72" s="8" t="s">
        <v>385</v>
      </c>
      <c r="P72" s="14"/>
      <c r="Q72" s="14" t="str">
        <f t="shared" si="16"/>
        <v>Missing</v>
      </c>
      <c r="R72" s="14" t="str" cm="1">
        <f t="array" ref="R72">_xlfn.IFS(OR(Q72="Missing",Q72="N/A",Q72="Still Employed"),Q72,ISNUMBER(SEARCH(",",Q72)),DATEVALUE(Q72),AND(ISNUMBER(SEARCH("-",Q72)),ISNUMBER(VALUE(LEFT(Q72,4)))),DATE(LEFT(Q72,4),MID(Q72,6,2),RIGHT(Q72,2)),ISNUMBER(SEARCH("-",Q72)),DATE(RIGHT(Q72,4),MID(Q72,4,2),LEFT(Q72,2)),ISNUMBER(SEARCH("/",Q72)),DATE(RIGHT(Q72,4),MID(Q72,4,2),LEFT(Q72,2)),TRUE,"Check Manually")</f>
        <v>Missing</v>
      </c>
      <c r="S72" s="31" t="str">
        <f t="shared" ca="1" si="20"/>
        <v>2 Years, 7 Months, 13 Days</v>
      </c>
      <c r="T72" s="31">
        <f t="shared" ca="1" si="21"/>
        <v>956.58</v>
      </c>
      <c r="U72" s="31" t="str" cm="1">
        <f t="array" ref="U72">_xlfn.IFS(OR(R72="Missing",R72="N/A",R72="Still Employed"),"Unknown",ISNUMBER(R72),"Exited",TRUE,"Unknown")</f>
        <v>Unknown</v>
      </c>
      <c r="V72" s="31" t="str">
        <f t="shared" si="22"/>
        <v/>
      </c>
      <c r="W72" s="14" t="str">
        <f t="shared" si="23"/>
        <v>Active</v>
      </c>
      <c r="X72" s="19">
        <v>53364</v>
      </c>
      <c r="Y72" s="18" t="str">
        <f t="shared" si="17"/>
        <v>53364</v>
      </c>
      <c r="Z72" s="22" t="str" cm="1">
        <f t="array" ref="Z72">_xlfn.IFS(Y72="","0",LEFT(Y72,5)="",Y72,LEFT(Y72,1)="₹",REPLACE(Y72,1,1,""),LEFT(Y72,4)="Rs. ",REPLACE(Y72,1,4,""),TRUE,Y72)</f>
        <v>53364</v>
      </c>
      <c r="AA72" s="22" t="str">
        <f t="shared" si="18"/>
        <v>53364</v>
      </c>
      <c r="AB72" s="7" t="s">
        <v>89</v>
      </c>
      <c r="AC72" s="7" t="str">
        <f t="shared" si="19"/>
        <v>Below Average</v>
      </c>
      <c r="AD72" s="7">
        <v>5</v>
      </c>
      <c r="AE72" cm="1">
        <f t="array" ref="AE72">_xlfn.IFS(AD72="",0,AD72&lt;0,"Negate Leave",AD72&gt;=0,AD72)</f>
        <v>5</v>
      </c>
    </row>
    <row r="73" spans="1:31" x14ac:dyDescent="0.3">
      <c r="A73" s="7">
        <v>5177</v>
      </c>
      <c r="B73" s="7" t="s">
        <v>384</v>
      </c>
      <c r="C73" s="7" t="str">
        <f t="shared" si="13"/>
        <v>Aarav Chopra</v>
      </c>
      <c r="D73" s="7" t="str">
        <f t="shared" si="14"/>
        <v>Aarav Chopra</v>
      </c>
      <c r="E73" s="7" t="s">
        <v>61</v>
      </c>
      <c r="F73" s="7" t="s">
        <v>53</v>
      </c>
      <c r="G73" s="7" t="s">
        <v>54</v>
      </c>
      <c r="H73" s="7" t="str">
        <f>_xlfn.XLOOKUP(G73,Lookup_Tables!$A$4:$A$9,Lookup_Tables!$C$4:$C$9,"Not Found",0)</f>
        <v>Leela Iyer</v>
      </c>
      <c r="I73" s="7" t="s">
        <v>175</v>
      </c>
      <c r="J73" s="7"/>
      <c r="K73" s="7" t="str">
        <f t="shared" si="15"/>
        <v>No Email ID</v>
      </c>
      <c r="L73" s="7" t="s">
        <v>387</v>
      </c>
      <c r="M73" s="7" t="str">
        <f t="shared" si="12"/>
        <v>5998920813</v>
      </c>
      <c r="N73" s="7" t="str" cm="1">
        <f t="array" ref="N73">_xlfn.IFS(M73="","Incomplete",LEN(M73)&lt;10,"Invalid",AND(LEN(M73) =10,LEFT(M73,4) &lt;&gt;"+91-"),"+91-"&amp;M73,TRUE,M73)</f>
        <v>+91-5998920813</v>
      </c>
      <c r="O73" s="8" t="s">
        <v>388</v>
      </c>
      <c r="P73" s="14"/>
      <c r="Q73" s="14" t="str">
        <f t="shared" si="16"/>
        <v>Missing</v>
      </c>
      <c r="R73" s="14" t="str" cm="1">
        <f t="array" ref="R73">_xlfn.IFS(OR(Q73="Missing",Q73="N/A",Q73="Still Employed"),Q73,ISNUMBER(SEARCH(",",Q73)),DATEVALUE(Q73),AND(ISNUMBER(SEARCH("-",Q73)),ISNUMBER(VALUE(LEFT(Q73,4)))),DATE(LEFT(Q73,4),MID(Q73,6,2),RIGHT(Q73,2)),ISNUMBER(SEARCH("-",Q73)),DATE(RIGHT(Q73,4),MID(Q73,4,2),LEFT(Q73,2)),ISNUMBER(SEARCH("/",Q73)),DATE(RIGHT(Q73,4),MID(Q73,4,2),LEFT(Q73,2)),TRUE,"Check Manually")</f>
        <v>Missing</v>
      </c>
      <c r="S73" s="31" t="str">
        <f t="shared" ca="1" si="20"/>
        <v>6 Years, 11 Months, 0 Days</v>
      </c>
      <c r="T73" s="31">
        <f t="shared" ca="1" si="21"/>
        <v>2526.34</v>
      </c>
      <c r="U73" s="31" t="str" cm="1">
        <f t="array" ref="U73">_xlfn.IFS(OR(R73="Missing",R73="N/A",R73="Still Employed"),"Unknown",ISNUMBER(R73),"Exited",TRUE,"Unknown")</f>
        <v>Unknown</v>
      </c>
      <c r="V73" s="31" t="str">
        <f t="shared" si="22"/>
        <v/>
      </c>
      <c r="W73" s="14" t="str">
        <f t="shared" si="23"/>
        <v>Active</v>
      </c>
      <c r="X73" s="19">
        <v>135776</v>
      </c>
      <c r="Y73" s="18" t="str">
        <f t="shared" si="17"/>
        <v>135776</v>
      </c>
      <c r="Z73" s="22" t="str" cm="1">
        <f t="array" ref="Z73">_xlfn.IFS(Y73="","0",LEFT(Y73,5)="",Y73,LEFT(Y73,1)="₹",REPLACE(Y73,1,1,""),LEFT(Y73,4)="Rs. ",REPLACE(Y73,1,4,""),TRUE,Y73)</f>
        <v>135776</v>
      </c>
      <c r="AA73" s="22" t="str">
        <f t="shared" si="18"/>
        <v>135776</v>
      </c>
      <c r="AB73" s="7" t="s">
        <v>144</v>
      </c>
      <c r="AC73" s="7" t="str">
        <f t="shared" si="19"/>
        <v>Poor</v>
      </c>
      <c r="AD73" s="7">
        <v>6</v>
      </c>
      <c r="AE73" cm="1">
        <f t="array" ref="AE73">_xlfn.IFS(AD73="",0,AD73&lt;0,"Negate Leave",AD73&gt;=0,AD73)</f>
        <v>6</v>
      </c>
    </row>
    <row r="74" spans="1:31" x14ac:dyDescent="0.3">
      <c r="A74" s="7">
        <v>5109</v>
      </c>
      <c r="B74" s="7" t="s">
        <v>386</v>
      </c>
      <c r="C74" s="7" t="str">
        <f t="shared" si="13"/>
        <v>Sanjay Reddy</v>
      </c>
      <c r="D74" s="7" t="str">
        <f t="shared" si="14"/>
        <v>Sanjay Reddy</v>
      </c>
      <c r="E74" s="7" t="s">
        <v>61</v>
      </c>
      <c r="F74" s="7" t="s">
        <v>389</v>
      </c>
      <c r="G74" s="7" t="s">
        <v>140</v>
      </c>
      <c r="H74" s="7" t="str">
        <f>_xlfn.XLOOKUP(G74,Lookup_Tables!$A$4:$A$9,Lookup_Tables!$C$4:$C$9,"Not Found",0)</f>
        <v>Sunita Rao</v>
      </c>
      <c r="I74" s="7" t="s">
        <v>85</v>
      </c>
      <c r="J74" s="7" t="s">
        <v>390</v>
      </c>
      <c r="K74" s="7" t="str">
        <f t="shared" si="15"/>
        <v>varun.reddy@company.com</v>
      </c>
      <c r="L74" s="7" t="s">
        <v>391</v>
      </c>
      <c r="M74" s="7" t="str">
        <f t="shared" si="12"/>
        <v>27480798</v>
      </c>
      <c r="N74" s="7" t="str" cm="1">
        <f t="array" ref="N74">_xlfn.IFS(M74="","Incomplete",LEN(M74)&lt;10,"Invalid",AND(LEN(M74) =10,LEFT(M74,4) &lt;&gt;"+91-"),"+91-"&amp;M74,TRUE,M74)</f>
        <v>Invalid</v>
      </c>
      <c r="O74" s="8" t="s">
        <v>392</v>
      </c>
      <c r="P74" s="14" t="s">
        <v>114</v>
      </c>
      <c r="Q74" s="14" t="str">
        <f t="shared" si="16"/>
        <v>Still Employed</v>
      </c>
      <c r="R74" s="14" t="str" cm="1">
        <f t="array" ref="R74">_xlfn.IFS(OR(Q74="Missing",Q74="N/A",Q74="Still Employed"),Q74,ISNUMBER(SEARCH(",",Q74)),DATEVALUE(Q74),AND(ISNUMBER(SEARCH("-",Q74)),ISNUMBER(VALUE(LEFT(Q74,4)))),DATE(LEFT(Q74,4),MID(Q74,6,2),RIGHT(Q74,2)),ISNUMBER(SEARCH("-",Q74)),DATE(RIGHT(Q74,4),MID(Q74,4,2),LEFT(Q74,2)),ISNUMBER(SEARCH("/",Q74)),DATE(RIGHT(Q74,4),MID(Q74,4,2),LEFT(Q74,2)),TRUE,"Check Manually")</f>
        <v>Still Employed</v>
      </c>
      <c r="S74" s="31" t="str">
        <f t="shared" ca="1" si="20"/>
        <v>4 Years, 6 Months, 8 Days</v>
      </c>
      <c r="T74" s="31">
        <f t="shared" ca="1" si="21"/>
        <v>1651.64</v>
      </c>
      <c r="U74" s="31" t="str" cm="1">
        <f t="array" ref="U74">_xlfn.IFS(OR(R74="Missing",R74="N/A",R74="Still Employed"),"Unknown",ISNUMBER(R74),"Exited",TRUE,"Unknown")</f>
        <v>Unknown</v>
      </c>
      <c r="V74" s="31" t="str">
        <f t="shared" si="22"/>
        <v/>
      </c>
      <c r="W74" s="14" t="str">
        <f t="shared" si="23"/>
        <v>Active</v>
      </c>
      <c r="X74" s="19"/>
      <c r="Y74" s="18" t="str">
        <f t="shared" si="17"/>
        <v/>
      </c>
      <c r="Z74" s="22" t="str" cm="1">
        <f t="array" ref="Z74">_xlfn.IFS(Y74="","0",LEFT(Y74,5)="",Y74,LEFT(Y74,1)="₹",REPLACE(Y74,1,1,""),LEFT(Y74,4)="Rs. ",REPLACE(Y74,1,4,""),TRUE,Y74)</f>
        <v>0</v>
      </c>
      <c r="AA74" s="22" t="str">
        <f t="shared" si="18"/>
        <v>0</v>
      </c>
      <c r="AB74" s="7" t="s">
        <v>144</v>
      </c>
      <c r="AC74" s="7" t="str">
        <f t="shared" si="19"/>
        <v>Poor</v>
      </c>
      <c r="AD74" s="7">
        <v>6</v>
      </c>
      <c r="AE74" cm="1">
        <f t="array" ref="AE74">_xlfn.IFS(AD74="",0,AD74&lt;0,"Negate Leave",AD74&gt;=0,AD74)</f>
        <v>6</v>
      </c>
    </row>
    <row r="75" spans="1:31" x14ac:dyDescent="0.3">
      <c r="A75" s="7">
        <v>5164</v>
      </c>
      <c r="B75" s="7" t="s">
        <v>393</v>
      </c>
      <c r="C75" s="7" t="str">
        <f t="shared" si="13"/>
        <v>Shreya Naidu</v>
      </c>
      <c r="D75" s="7" t="str">
        <f t="shared" si="14"/>
        <v>Shreya Naidu</v>
      </c>
      <c r="E75" s="7" t="s">
        <v>68</v>
      </c>
      <c r="F75" s="7" t="s">
        <v>389</v>
      </c>
      <c r="G75" s="7" t="s">
        <v>140</v>
      </c>
      <c r="H75" s="7" t="str">
        <f>_xlfn.XLOOKUP(G75,Lookup_Tables!$A$4:$A$9,Lookup_Tables!$C$4:$C$9,"Not Found",0)</f>
        <v>Sunita Rao</v>
      </c>
      <c r="I75" s="7" t="s">
        <v>77</v>
      </c>
      <c r="J75" s="7" t="s">
        <v>396</v>
      </c>
      <c r="K75" s="7" t="str">
        <f t="shared" si="15"/>
        <v>sneha.kulkarni@company.com</v>
      </c>
      <c r="L75" s="7" t="s">
        <v>397</v>
      </c>
      <c r="M75" s="7" t="str">
        <f t="shared" si="12"/>
        <v>6537400165</v>
      </c>
      <c r="N75" s="7" t="str" cm="1">
        <f t="array" ref="N75">_xlfn.IFS(M75="","Incomplete",LEN(M75)&lt;10,"Invalid",AND(LEN(M75) =10,LEFT(M75,4) &lt;&gt;"+91-"),"+91-"&amp;M75,TRUE,M75)</f>
        <v>+91-6537400165</v>
      </c>
      <c r="O75" s="8" t="s">
        <v>398</v>
      </c>
      <c r="P75" s="14" t="s">
        <v>126</v>
      </c>
      <c r="Q75" s="14" t="str">
        <f t="shared" si="16"/>
        <v>N/A</v>
      </c>
      <c r="R75" s="14" t="str" cm="1">
        <f t="array" ref="R75">_xlfn.IFS(OR(Q75="Missing",Q75="N/A",Q75="Still Employed"),Q75,ISNUMBER(SEARCH(",",Q75)),DATEVALUE(Q75),AND(ISNUMBER(SEARCH("-",Q75)),ISNUMBER(VALUE(LEFT(Q75,4)))),DATE(LEFT(Q75,4),MID(Q75,6,2),RIGHT(Q75,2)),ISNUMBER(SEARCH("-",Q75)),DATE(RIGHT(Q75,4),MID(Q75,4,2),LEFT(Q75,2)),ISNUMBER(SEARCH("/",Q75)),DATE(RIGHT(Q75,4),MID(Q75,4,2),LEFT(Q75,2)),TRUE,"Check Manually")</f>
        <v>N/A</v>
      </c>
      <c r="S75" s="31" t="str">
        <f t="shared" ca="1" si="20"/>
        <v>5 Years, 4 Months, 7 Days</v>
      </c>
      <c r="T75" s="31">
        <f t="shared" ca="1" si="21"/>
        <v>1955.01</v>
      </c>
      <c r="U75" s="31" t="str" cm="1">
        <f t="array" ref="U75">_xlfn.IFS(OR(R75="Missing",R75="N/A",R75="Still Employed"),"Unknown",ISNUMBER(R75),"Exited",TRUE,"Unknown")</f>
        <v>Unknown</v>
      </c>
      <c r="V75" s="31" t="str">
        <f t="shared" si="22"/>
        <v/>
      </c>
      <c r="W75" s="14" t="str">
        <f t="shared" si="23"/>
        <v>Active</v>
      </c>
      <c r="X75" s="19" t="s">
        <v>399</v>
      </c>
      <c r="Y75" s="18" t="str">
        <f t="shared" si="17"/>
        <v>₹42,887</v>
      </c>
      <c r="Z75" s="22" t="str" cm="1">
        <f t="array" ref="Z75">_xlfn.IFS(Y75="","0",LEFT(Y75,5)="",Y75,LEFT(Y75,1)="₹",REPLACE(Y75,1,1,""),LEFT(Y75,4)="Rs. ",REPLACE(Y75,1,4,""),TRUE,Y75)</f>
        <v>42,887</v>
      </c>
      <c r="AA75" s="22" t="str">
        <f t="shared" si="18"/>
        <v>42887</v>
      </c>
      <c r="AB75" s="7"/>
      <c r="AC75" s="7" t="str">
        <f t="shared" si="19"/>
        <v>Not Rated</v>
      </c>
      <c r="AD75" s="7">
        <v>0</v>
      </c>
      <c r="AE75" cm="1">
        <f t="array" ref="AE75">_xlfn.IFS(AD75="",0,AD75&lt;0,"Negate Leave",AD75&gt;=0,AD75)</f>
        <v>0</v>
      </c>
    </row>
    <row r="76" spans="1:31" x14ac:dyDescent="0.3">
      <c r="A76" s="7">
        <v>5163</v>
      </c>
      <c r="B76" s="7" t="s">
        <v>395</v>
      </c>
      <c r="C76" s="7" t="str">
        <f t="shared" si="13"/>
        <v>Sneha Kulkarni</v>
      </c>
      <c r="D76" s="7" t="str">
        <f t="shared" si="14"/>
        <v>Sneha Kulkarni</v>
      </c>
      <c r="E76" s="7" t="s">
        <v>61</v>
      </c>
      <c r="F76" s="7" t="s">
        <v>389</v>
      </c>
      <c r="G76" s="7" t="s">
        <v>140</v>
      </c>
      <c r="H76" s="7" t="str">
        <f>_xlfn.XLOOKUP(G76,Lookup_Tables!$A$4:$A$9,Lookup_Tables!$C$4:$C$9,"Not Found",0)</f>
        <v>Sunita Rao</v>
      </c>
      <c r="I76" s="7" t="s">
        <v>70</v>
      </c>
      <c r="J76" s="7" t="s">
        <v>401</v>
      </c>
      <c r="K76" s="7" t="str">
        <f t="shared" si="15"/>
        <v>pooja.shah@company.com</v>
      </c>
      <c r="L76" s="7" t="s">
        <v>402</v>
      </c>
      <c r="M76" s="7" t="str">
        <f t="shared" si="12"/>
        <v>1695722008</v>
      </c>
      <c r="N76" s="7" t="str" cm="1">
        <f t="array" ref="N76">_xlfn.IFS(M76="","Incomplete",LEN(M76)&lt;10,"Invalid",AND(LEN(M76) =10,LEFT(M76,4) &lt;&gt;"+91-"),"+91-"&amp;M76,TRUE,M76)</f>
        <v>+91-1695722008</v>
      </c>
      <c r="O76" s="8" t="s">
        <v>403</v>
      </c>
      <c r="P76" s="14"/>
      <c r="Q76" s="14" t="str">
        <f t="shared" si="16"/>
        <v>Missing</v>
      </c>
      <c r="R76" s="14" t="str" cm="1">
        <f t="array" ref="R76">_xlfn.IFS(OR(Q76="Missing",Q76="N/A",Q76="Still Employed"),Q76,ISNUMBER(SEARCH(",",Q76)),DATEVALUE(Q76),AND(ISNUMBER(SEARCH("-",Q76)),ISNUMBER(VALUE(LEFT(Q76,4)))),DATE(LEFT(Q76,4),MID(Q76,6,2),RIGHT(Q76,2)),ISNUMBER(SEARCH("-",Q76)),DATE(RIGHT(Q76,4),MID(Q76,4,2),LEFT(Q76,2)),ISNUMBER(SEARCH("/",Q76)),DATE(RIGHT(Q76,4),MID(Q76,4,2),LEFT(Q76,2)),TRUE,"Check Manually")</f>
        <v>Missing</v>
      </c>
      <c r="S76" s="31" t="str">
        <f t="shared" ca="1" si="20"/>
        <v>4 Years, 2 Months, 1 Days</v>
      </c>
      <c r="T76" s="31">
        <f t="shared" ca="1" si="21"/>
        <v>1522.88</v>
      </c>
      <c r="U76" s="31" t="str" cm="1">
        <f t="array" ref="U76">_xlfn.IFS(OR(R76="Missing",R76="N/A",R76="Still Employed"),"Unknown",ISNUMBER(R76),"Exited",TRUE,"Unknown")</f>
        <v>Unknown</v>
      </c>
      <c r="V76" s="31" t="str">
        <f t="shared" si="22"/>
        <v/>
      </c>
      <c r="W76" s="14" t="str">
        <f t="shared" si="23"/>
        <v>Active</v>
      </c>
      <c r="X76" s="19"/>
      <c r="Y76" s="18" t="str">
        <f t="shared" si="17"/>
        <v/>
      </c>
      <c r="Z76" s="22" t="str" cm="1">
        <f t="array" ref="Z76">_xlfn.IFS(Y76="","0",LEFT(Y76,5)="",Y76,LEFT(Y76,1)="₹",REPLACE(Y76,1,1,""),LEFT(Y76,4)="Rs. ",REPLACE(Y76,1,4,""),TRUE,Y76)</f>
        <v>0</v>
      </c>
      <c r="AA76" s="22" t="str">
        <f t="shared" si="18"/>
        <v>0</v>
      </c>
      <c r="AB76" s="7" t="s">
        <v>127</v>
      </c>
      <c r="AC76" s="7" t="str">
        <f t="shared" si="19"/>
        <v>Good</v>
      </c>
      <c r="AD76" s="7">
        <v>16</v>
      </c>
      <c r="AE76" cm="1">
        <f t="array" ref="AE76">_xlfn.IFS(AD76="",0,AD76&lt;0,"Negate Leave",AD76&gt;=0,AD76)</f>
        <v>16</v>
      </c>
    </row>
    <row r="77" spans="1:31" x14ac:dyDescent="0.3">
      <c r="A77" s="7">
        <v>5038</v>
      </c>
      <c r="B77" s="7" t="s">
        <v>400</v>
      </c>
      <c r="C77" s="7" t="str">
        <f t="shared" si="13"/>
        <v>Pooja Shah</v>
      </c>
      <c r="D77" s="7" t="str">
        <f t="shared" si="14"/>
        <v>Pooja Shah</v>
      </c>
      <c r="E77" s="7" t="s">
        <v>61</v>
      </c>
      <c r="F77" s="7" t="s">
        <v>122</v>
      </c>
      <c r="G77" s="7" t="s">
        <v>91</v>
      </c>
      <c r="H77" s="7" t="str">
        <f>_xlfn.XLOOKUP(G77,Lookup_Tables!$A$4:$A$9,Lookup_Tables!$C$4:$C$9,"Not Found",0)</f>
        <v>Rajiv Kapoor</v>
      </c>
      <c r="I77" s="7" t="s">
        <v>77</v>
      </c>
      <c r="J77" s="7" t="s">
        <v>405</v>
      </c>
      <c r="K77" s="7" t="str">
        <f t="shared" si="15"/>
        <v>rahul.mehta@company.com</v>
      </c>
      <c r="L77" s="7" t="s">
        <v>406</v>
      </c>
      <c r="M77" s="7" t="str">
        <f t="shared" si="12"/>
        <v>87838483</v>
      </c>
      <c r="N77" s="7" t="str" cm="1">
        <f t="array" ref="N77">_xlfn.IFS(M77="","Incomplete",LEN(M77)&lt;10,"Invalid",AND(LEN(M77) =10,LEFT(M77,4) &lt;&gt;"+91-"),"+91-"&amp;M77,TRUE,M77)</f>
        <v>Invalid</v>
      </c>
      <c r="O77" s="8" t="s">
        <v>407</v>
      </c>
      <c r="P77" s="14" t="s">
        <v>114</v>
      </c>
      <c r="Q77" s="14" t="str">
        <f t="shared" si="16"/>
        <v>Still Employed</v>
      </c>
      <c r="R77" s="14" t="str" cm="1">
        <f t="array" ref="R77">_xlfn.IFS(OR(Q77="Missing",Q77="N/A",Q77="Still Employed"),Q77,ISNUMBER(SEARCH(",",Q77)),DATEVALUE(Q77),AND(ISNUMBER(SEARCH("-",Q77)),ISNUMBER(VALUE(LEFT(Q77,4)))),DATE(LEFT(Q77,4),MID(Q77,6,2),RIGHT(Q77,2)),ISNUMBER(SEARCH("-",Q77)),DATE(RIGHT(Q77,4),MID(Q77,4,2),LEFT(Q77,2)),ISNUMBER(SEARCH("/",Q77)),DATE(RIGHT(Q77,4),MID(Q77,4,2),LEFT(Q77,2)),TRUE,"Check Manually")</f>
        <v>Still Employed</v>
      </c>
      <c r="S77" s="31" t="str">
        <f t="shared" ca="1" si="20"/>
        <v>7 Years, 10 Months, 4 Days</v>
      </c>
      <c r="T77" s="31">
        <f t="shared" ca="1" si="21"/>
        <v>2865.15</v>
      </c>
      <c r="U77" s="31" t="str" cm="1">
        <f t="array" ref="U77">_xlfn.IFS(OR(R77="Missing",R77="N/A",R77="Still Employed"),"Unknown",ISNUMBER(R77),"Exited",TRUE,"Unknown")</f>
        <v>Unknown</v>
      </c>
      <c r="V77" s="31" t="str">
        <f t="shared" si="22"/>
        <v/>
      </c>
      <c r="W77" s="14" t="str">
        <f t="shared" si="23"/>
        <v>Active</v>
      </c>
      <c r="X77" s="19" t="s">
        <v>408</v>
      </c>
      <c r="Y77" s="18" t="str">
        <f t="shared" si="17"/>
        <v>Rs. 167,527</v>
      </c>
      <c r="Z77" s="22" t="str" cm="1">
        <f t="array" ref="Z77">_xlfn.IFS(Y77="","0",LEFT(Y77,5)="",Y77,LEFT(Y77,1)="₹",REPLACE(Y77,1,1,""),LEFT(Y77,4)="Rs. ",REPLACE(Y77,1,4,""),TRUE,Y77)</f>
        <v>167,527</v>
      </c>
      <c r="AA77" s="22" t="str">
        <f t="shared" si="18"/>
        <v>167527</v>
      </c>
      <c r="AB77" s="7" t="s">
        <v>95</v>
      </c>
      <c r="AC77" s="7" t="str">
        <f t="shared" si="19"/>
        <v>Average</v>
      </c>
      <c r="AD77" s="7">
        <v>4</v>
      </c>
      <c r="AE77" cm="1">
        <f t="array" ref="AE77">_xlfn.IFS(AD77="",0,AD77&lt;0,"Negate Leave",AD77&gt;=0,AD77)</f>
        <v>4</v>
      </c>
    </row>
    <row r="78" spans="1:31" x14ac:dyDescent="0.3">
      <c r="A78" s="7">
        <v>5012</v>
      </c>
      <c r="B78" s="7" t="s">
        <v>404</v>
      </c>
      <c r="C78" s="7" t="str">
        <f t="shared" si="13"/>
        <v>Rahul Mehta</v>
      </c>
      <c r="D78" s="7" t="str">
        <f t="shared" si="14"/>
        <v>Rahul Mehta</v>
      </c>
      <c r="E78" s="7" t="s">
        <v>84</v>
      </c>
      <c r="F78" s="7" t="s">
        <v>122</v>
      </c>
      <c r="G78" s="7" t="s">
        <v>91</v>
      </c>
      <c r="H78" s="7" t="str">
        <f>_xlfn.XLOOKUP(G78,Lookup_Tables!$A$4:$A$9,Lookup_Tables!$C$4:$C$9,"Not Found",0)</f>
        <v>Rajiv Kapoor</v>
      </c>
      <c r="I78" s="7" t="s">
        <v>62</v>
      </c>
      <c r="J78" s="7" t="s">
        <v>410</v>
      </c>
      <c r="K78" s="7" t="str">
        <f t="shared" si="15"/>
        <v>sanjay.shah@company.com</v>
      </c>
      <c r="L78" s="7" t="s">
        <v>411</v>
      </c>
      <c r="M78" s="7" t="str">
        <f t="shared" si="12"/>
        <v>7964700595</v>
      </c>
      <c r="N78" s="7" t="str" cm="1">
        <f t="array" ref="N78">_xlfn.IFS(M78="","Incomplete",LEN(M78)&lt;10,"Invalid",AND(LEN(M78) =10,LEFT(M78,4) &lt;&gt;"+91-"),"+91-"&amp;M78,TRUE,M78)</f>
        <v>+91-7964700595</v>
      </c>
      <c r="O78" s="8" t="s">
        <v>412</v>
      </c>
      <c r="P78" s="14"/>
      <c r="Q78" s="14" t="str">
        <f t="shared" si="16"/>
        <v>Missing</v>
      </c>
      <c r="R78" s="14" t="str" cm="1">
        <f t="array" ref="R78">_xlfn.IFS(OR(Q78="Missing",Q78="N/A",Q78="Still Employed"),Q78,ISNUMBER(SEARCH(",",Q78)),DATEVALUE(Q78),AND(ISNUMBER(SEARCH("-",Q78)),ISNUMBER(VALUE(LEFT(Q78,4)))),DATE(LEFT(Q78,4),MID(Q78,6,2),RIGHT(Q78,2)),ISNUMBER(SEARCH("-",Q78)),DATE(RIGHT(Q78,4),MID(Q78,4,2),LEFT(Q78,2)),ISNUMBER(SEARCH("/",Q78)),DATE(RIGHT(Q78,4),MID(Q78,4,2),LEFT(Q78,2)),TRUE,"Check Manually")</f>
        <v>Missing</v>
      </c>
      <c r="S78" s="31" t="str">
        <f t="shared" ca="1" si="20"/>
        <v>6 Years, 7 Months, 5 Days</v>
      </c>
      <c r="T78" s="31">
        <f t="shared" ca="1" si="21"/>
        <v>2409.58</v>
      </c>
      <c r="U78" s="31" t="str" cm="1">
        <f t="array" ref="U78">_xlfn.IFS(OR(R78="Missing",R78="N/A",R78="Still Employed"),"Unknown",ISNUMBER(R78),"Exited",TRUE,"Unknown")</f>
        <v>Unknown</v>
      </c>
      <c r="V78" s="31" t="str">
        <f t="shared" si="22"/>
        <v/>
      </c>
      <c r="W78" s="14" t="str">
        <f t="shared" si="23"/>
        <v>Active</v>
      </c>
      <c r="X78" s="19"/>
      <c r="Y78" s="18" t="str">
        <f t="shared" si="17"/>
        <v/>
      </c>
      <c r="Z78" s="22" t="str" cm="1">
        <f t="array" ref="Z78">_xlfn.IFS(Y78="","0",LEFT(Y78,5)="",Y78,LEFT(Y78,1)="₹",REPLACE(Y78,1,1,""),LEFT(Y78,4)="Rs. ",REPLACE(Y78,1,4,""),TRUE,Y78)</f>
        <v>0</v>
      </c>
      <c r="AA78" s="22" t="str">
        <f t="shared" si="18"/>
        <v>0</v>
      </c>
      <c r="AB78" s="7" t="s">
        <v>95</v>
      </c>
      <c r="AC78" s="7" t="str">
        <f t="shared" si="19"/>
        <v>Average</v>
      </c>
      <c r="AD78" s="7">
        <v>-3</v>
      </c>
      <c r="AE78" t="str" cm="1">
        <f t="array" ref="AE78">_xlfn.IFS(AD78="",0,AD78&lt;0,"Negate Leave",AD78&gt;=0,AD78)</f>
        <v>Negate Leave</v>
      </c>
    </row>
    <row r="79" spans="1:31" x14ac:dyDescent="0.3">
      <c r="A79" s="7">
        <v>5113</v>
      </c>
      <c r="B79" s="7" t="s">
        <v>409</v>
      </c>
      <c r="C79" s="7" t="str">
        <f t="shared" si="13"/>
        <v>Sanjay Shah</v>
      </c>
      <c r="D79" s="7" t="str">
        <f t="shared" si="14"/>
        <v>Sanjay Shah</v>
      </c>
      <c r="E79" s="7" t="s">
        <v>68</v>
      </c>
      <c r="F79" s="7" t="s">
        <v>53</v>
      </c>
      <c r="G79" s="7" t="s">
        <v>54</v>
      </c>
      <c r="H79" s="7" t="str">
        <f>_xlfn.XLOOKUP(G79,Lookup_Tables!$A$4:$A$9,Lookup_Tables!$C$4:$C$9,"Not Found",0)</f>
        <v>Leela Iyer</v>
      </c>
      <c r="I79" s="7" t="s">
        <v>55</v>
      </c>
      <c r="J79" s="7"/>
      <c r="K79" s="7" t="str">
        <f t="shared" si="15"/>
        <v>No Email ID</v>
      </c>
      <c r="L79" s="7" t="s">
        <v>414</v>
      </c>
      <c r="M79" s="7" t="str">
        <f t="shared" si="12"/>
        <v>5011708617</v>
      </c>
      <c r="N79" s="7" t="str" cm="1">
        <f t="array" ref="N79">_xlfn.IFS(M79="","Incomplete",LEN(M79)&lt;10,"Invalid",AND(LEN(M79) =10,LEFT(M79,4) &lt;&gt;"+91-"),"+91-"&amp;M79,TRUE,M79)</f>
        <v>+91-5011708617</v>
      </c>
      <c r="O79" s="8" t="s">
        <v>415</v>
      </c>
      <c r="P79" s="14" t="s">
        <v>126</v>
      </c>
      <c r="Q79" s="14" t="str">
        <f t="shared" si="16"/>
        <v>N/A</v>
      </c>
      <c r="R79" s="14" t="str" cm="1">
        <f t="array" ref="R79">_xlfn.IFS(OR(Q79="Missing",Q79="N/A",Q79="Still Employed"),Q79,ISNUMBER(SEARCH(",",Q79)),DATEVALUE(Q79),AND(ISNUMBER(SEARCH("-",Q79)),ISNUMBER(VALUE(LEFT(Q79,4)))),DATE(LEFT(Q79,4),MID(Q79,6,2),RIGHT(Q79,2)),ISNUMBER(SEARCH("-",Q79)),DATE(RIGHT(Q79,4),MID(Q79,4,2),LEFT(Q79,2)),ISNUMBER(SEARCH("/",Q79)),DATE(RIGHT(Q79,4),MID(Q79,4,2),LEFT(Q79,2)),TRUE,"Check Manually")</f>
        <v>N/A</v>
      </c>
      <c r="S79" s="31" t="str">
        <f t="shared" ca="1" si="20"/>
        <v>5 Years, 0 Months, 17 Days</v>
      </c>
      <c r="T79" s="31">
        <f t="shared" ca="1" si="21"/>
        <v>1843.25</v>
      </c>
      <c r="U79" s="31" t="str" cm="1">
        <f t="array" ref="U79">_xlfn.IFS(OR(R79="Missing",R79="N/A",R79="Still Employed"),"Unknown",ISNUMBER(R79),"Exited",TRUE,"Unknown")</f>
        <v>Unknown</v>
      </c>
      <c r="V79" s="31" t="str">
        <f t="shared" si="22"/>
        <v/>
      </c>
      <c r="W79" s="14" t="str">
        <f t="shared" si="23"/>
        <v>Active</v>
      </c>
      <c r="X79" s="19">
        <v>174475</v>
      </c>
      <c r="Y79" s="18" t="str">
        <f t="shared" si="17"/>
        <v>174475</v>
      </c>
      <c r="Z79" s="22" t="str" cm="1">
        <f t="array" ref="Z79">_xlfn.IFS(Y79="","0",LEFT(Y79,5)="",Y79,LEFT(Y79,1)="₹",REPLACE(Y79,1,1,""),LEFT(Y79,4)="Rs. ",REPLACE(Y79,1,4,""),TRUE,Y79)</f>
        <v>174475</v>
      </c>
      <c r="AA79" s="22" t="str">
        <f t="shared" si="18"/>
        <v>174475</v>
      </c>
      <c r="AB79" s="7" t="s">
        <v>144</v>
      </c>
      <c r="AC79" s="7" t="str">
        <f t="shared" si="19"/>
        <v>Poor</v>
      </c>
      <c r="AD79" s="7">
        <v>9</v>
      </c>
      <c r="AE79" cm="1">
        <f t="array" ref="AE79">_xlfn.IFS(AD79="",0,AD79&lt;0,"Negate Leave",AD79&gt;=0,AD79)</f>
        <v>9</v>
      </c>
    </row>
    <row r="80" spans="1:31" x14ac:dyDescent="0.3">
      <c r="A80" s="7">
        <v>5286</v>
      </c>
      <c r="B80" s="7" t="s">
        <v>413</v>
      </c>
      <c r="C80" s="7" t="str">
        <f t="shared" si="13"/>
        <v>rajesh verma</v>
      </c>
      <c r="D80" s="7" t="str">
        <f t="shared" si="14"/>
        <v>Rajesh Verma</v>
      </c>
      <c r="E80" s="7" t="s">
        <v>84</v>
      </c>
      <c r="F80" s="7" t="s">
        <v>151</v>
      </c>
      <c r="G80" s="7" t="s">
        <v>76</v>
      </c>
      <c r="H80" s="7" t="str">
        <f>_xlfn.XLOOKUP(G80,Lookup_Tables!$A$4:$A$9,Lookup_Tables!$C$4:$C$9,"Not Found",0)</f>
        <v>Ananya Sen</v>
      </c>
      <c r="I80" s="7" t="s">
        <v>110</v>
      </c>
      <c r="J80" s="7" t="s">
        <v>417</v>
      </c>
      <c r="K80" s="7" t="str">
        <f t="shared" si="15"/>
        <v xml:space="preserve">anita.kapoor@company.com </v>
      </c>
      <c r="L80" s="7" t="s">
        <v>418</v>
      </c>
      <c r="M80" s="7" t="str">
        <f t="shared" si="12"/>
        <v>+91-5365629799</v>
      </c>
      <c r="N80" s="7" t="str" cm="1">
        <f t="array" ref="N80">_xlfn.IFS(M80="","Incomplete",LEN(M80)&lt;10,"Invalid",AND(LEN(M80) =10,LEFT(M80,4) &lt;&gt;"+91-"),"+91-"&amp;M80,TRUE,M80)</f>
        <v>+91-5365629799</v>
      </c>
      <c r="O80" s="8" t="s">
        <v>419</v>
      </c>
      <c r="P80" s="14" t="s">
        <v>126</v>
      </c>
      <c r="Q80" s="14" t="str">
        <f t="shared" si="16"/>
        <v>N/A</v>
      </c>
      <c r="R80" s="14" t="str" cm="1">
        <f t="array" ref="R80">_xlfn.IFS(OR(Q80="Missing",Q80="N/A",Q80="Still Employed"),Q80,ISNUMBER(SEARCH(",",Q80)),DATEVALUE(Q80),AND(ISNUMBER(SEARCH("-",Q80)),ISNUMBER(VALUE(LEFT(Q80,4)))),DATE(LEFT(Q80,4),MID(Q80,6,2),RIGHT(Q80,2)),ISNUMBER(SEARCH("-",Q80)),DATE(RIGHT(Q80,4),MID(Q80,4,2),LEFT(Q80,2)),ISNUMBER(SEARCH("/",Q80)),DATE(RIGHT(Q80,4),MID(Q80,4,2),LEFT(Q80,2)),TRUE,"Check Manually")</f>
        <v>N/A</v>
      </c>
      <c r="S80" s="31" t="str">
        <f t="shared" ca="1" si="20"/>
        <v>3 Years, 11 Months, 5 Days</v>
      </c>
      <c r="T80" s="31">
        <f t="shared" ca="1" si="21"/>
        <v>1435.5900000000001</v>
      </c>
      <c r="U80" s="31" t="str" cm="1">
        <f t="array" ref="U80">_xlfn.IFS(OR(R80="Missing",R80="N/A",R80="Still Employed"),"Unknown",ISNUMBER(R80),"Exited",TRUE,"Unknown")</f>
        <v>Unknown</v>
      </c>
      <c r="V80" s="31" t="str">
        <f t="shared" si="22"/>
        <v/>
      </c>
      <c r="W80" s="14" t="str">
        <f t="shared" si="23"/>
        <v>Active</v>
      </c>
      <c r="X80" s="19" t="s">
        <v>420</v>
      </c>
      <c r="Y80" s="18" t="str">
        <f t="shared" si="17"/>
        <v>36,368</v>
      </c>
      <c r="Z80" s="22" t="str" cm="1">
        <f t="array" ref="Z80">_xlfn.IFS(Y80="","0",LEFT(Y80,5)="",Y80,LEFT(Y80,1)="₹",REPLACE(Y80,1,1,""),LEFT(Y80,4)="Rs. ",REPLACE(Y80,1,4,""),TRUE,Y80)</f>
        <v>36,368</v>
      </c>
      <c r="AA80" s="22" t="str">
        <f t="shared" si="18"/>
        <v>36368</v>
      </c>
      <c r="AB80" s="7"/>
      <c r="AC80" s="7" t="str">
        <f t="shared" si="19"/>
        <v>Not Rated</v>
      </c>
      <c r="AD80" s="7">
        <v>23</v>
      </c>
      <c r="AE80" cm="1">
        <f t="array" ref="AE80">_xlfn.IFS(AD80="",0,AD80&lt;0,"Negate Leave",AD80&gt;=0,AD80)</f>
        <v>23</v>
      </c>
    </row>
    <row r="81" spans="1:31" x14ac:dyDescent="0.3">
      <c r="A81" s="7">
        <v>5296</v>
      </c>
      <c r="B81" s="7" t="s">
        <v>416</v>
      </c>
      <c r="C81" s="7" t="str">
        <f t="shared" si="13"/>
        <v>Anita Kapoor</v>
      </c>
      <c r="D81" s="7" t="str">
        <f t="shared" si="14"/>
        <v>Anita Kapoor</v>
      </c>
      <c r="E81" s="7" t="s">
        <v>84</v>
      </c>
      <c r="F81" s="7" t="s">
        <v>151</v>
      </c>
      <c r="G81" s="7" t="s">
        <v>76</v>
      </c>
      <c r="H81" s="7" t="str">
        <f>_xlfn.XLOOKUP(G81,Lookup_Tables!$A$4:$A$9,Lookup_Tables!$C$4:$C$9,"Not Found",0)</f>
        <v>Ananya Sen</v>
      </c>
      <c r="I81" s="7" t="s">
        <v>85</v>
      </c>
      <c r="J81" s="7" t="s">
        <v>422</v>
      </c>
      <c r="K81" s="7" t="str">
        <f t="shared" si="15"/>
        <v>ritukapoor@company.com</v>
      </c>
      <c r="L81" s="7" t="s">
        <v>423</v>
      </c>
      <c r="M81" s="7" t="str">
        <f t="shared" si="12"/>
        <v>+91-0342366712</v>
      </c>
      <c r="N81" s="7" t="str" cm="1">
        <f t="array" ref="N81">_xlfn.IFS(M81="","Incomplete",LEN(M81)&lt;10,"Invalid",AND(LEN(M81) =10,LEFT(M81,4) &lt;&gt;"+91-"),"+91-"&amp;M81,TRUE,M81)</f>
        <v>+91-0342366712</v>
      </c>
      <c r="O81" s="8" t="s">
        <v>424</v>
      </c>
      <c r="P81" s="14" t="s">
        <v>425</v>
      </c>
      <c r="Q81" s="14" t="str">
        <f t="shared" si="16"/>
        <v>2024-10-06</v>
      </c>
      <c r="R81" s="14" cm="1">
        <f t="array" ref="R81">_xlfn.IFS(OR(Q81="Missing",Q81="N/A",Q81="Still Employed"),Q81,ISNUMBER(SEARCH(",",Q81)),DATEVALUE(Q81),AND(ISNUMBER(SEARCH("-",Q81)),ISNUMBER(VALUE(LEFT(Q81,4)))),DATE(LEFT(Q81,4),MID(Q81,6,2),RIGHT(Q81,2)),ISNUMBER(SEARCH("-",Q81)),DATE(RIGHT(Q81,4),MID(Q81,4,2),LEFT(Q81,2)),ISNUMBER(SEARCH("/",Q81)),DATE(RIGHT(Q81,4),MID(Q81,4,2),LEFT(Q81,2)),TRUE,"Check Manually")</f>
        <v>45571</v>
      </c>
      <c r="S81" s="31" t="str">
        <f t="shared" ca="1" si="20"/>
        <v>2 Years, 5 Months, 6 Days</v>
      </c>
      <c r="T81" s="31">
        <f t="shared" ca="1" si="21"/>
        <v>888.7</v>
      </c>
      <c r="U81" s="31" t="str" cm="1">
        <f t="array" ref="U81">_xlfn.IFS(OR(R81="Missing",R81="N/A",R81="Still Employed"),"Unknown",ISNUMBER(R81),"Exited",TRUE,"Unknown")</f>
        <v>Exited</v>
      </c>
      <c r="V81" s="31">
        <f t="shared" si="22"/>
        <v>2024</v>
      </c>
      <c r="W81" s="14" t="str">
        <f t="shared" si="23"/>
        <v>Exited</v>
      </c>
      <c r="X81" s="19" t="s">
        <v>426</v>
      </c>
      <c r="Y81" s="18" t="str">
        <f t="shared" si="17"/>
        <v>Rs. 156,030</v>
      </c>
      <c r="Z81" s="22" t="str" cm="1">
        <f t="array" ref="Z81">_xlfn.IFS(Y81="","0",LEFT(Y81,5)="",Y81,LEFT(Y81,1)="₹",REPLACE(Y81,1,1,""),LEFT(Y81,4)="Rs. ",REPLACE(Y81,1,4,""),TRUE,Y81)</f>
        <v>156,030</v>
      </c>
      <c r="AA81" s="22" t="str">
        <f t="shared" si="18"/>
        <v>156030</v>
      </c>
      <c r="AB81" s="7" t="s">
        <v>89</v>
      </c>
      <c r="AC81" s="7" t="str">
        <f t="shared" si="19"/>
        <v>Below Average</v>
      </c>
      <c r="AD81" s="7">
        <v>24</v>
      </c>
      <c r="AE81" cm="1">
        <f t="array" ref="AE81">_xlfn.IFS(AD81="",0,AD81&lt;0,"Negate Leave",AD81&gt;=0,AD81)</f>
        <v>24</v>
      </c>
    </row>
    <row r="82" spans="1:31" x14ac:dyDescent="0.3">
      <c r="A82" s="7">
        <v>5004</v>
      </c>
      <c r="B82" s="7" t="s">
        <v>421</v>
      </c>
      <c r="C82" s="7" t="str">
        <f t="shared" si="13"/>
        <v>Ritu Kapoor</v>
      </c>
      <c r="D82" s="7" t="str">
        <f t="shared" si="14"/>
        <v>Ritu Kapoor</v>
      </c>
      <c r="E82" s="7" t="s">
        <v>68</v>
      </c>
      <c r="F82" s="7" t="s">
        <v>53</v>
      </c>
      <c r="G82" s="7" t="s">
        <v>54</v>
      </c>
      <c r="H82" s="7" t="str">
        <f>_xlfn.XLOOKUP(G82,Lookup_Tables!$A$4:$A$9,Lookup_Tables!$C$4:$C$9,"Not Found",0)</f>
        <v>Leela Iyer</v>
      </c>
      <c r="I82" s="7" t="s">
        <v>47</v>
      </c>
      <c r="J82" s="7" t="s">
        <v>428</v>
      </c>
      <c r="K82" s="7" t="str">
        <f t="shared" si="15"/>
        <v>karthikshah@company.com</v>
      </c>
      <c r="L82" s="7" t="s">
        <v>429</v>
      </c>
      <c r="M82" s="7" t="str">
        <f t="shared" si="12"/>
        <v>+91-8456370435</v>
      </c>
      <c r="N82" s="7" t="str" cm="1">
        <f t="array" ref="N82">_xlfn.IFS(M82="","Incomplete",LEN(M82)&lt;10,"Invalid",AND(LEN(M82) =10,LEFT(M82,4) &lt;&gt;"+91-"),"+91-"&amp;M82,TRUE,M82)</f>
        <v>+91-8456370435</v>
      </c>
      <c r="O82" s="8" t="s">
        <v>430</v>
      </c>
      <c r="P82" s="14" t="s">
        <v>431</v>
      </c>
      <c r="Q82" s="14" t="str">
        <f t="shared" si="16"/>
        <v>Nov 13, 2023</v>
      </c>
      <c r="R82" s="14" cm="1">
        <f t="array" ref="R82">_xlfn.IFS(OR(Q82="Missing",Q82="N/A",Q82="Still Employed"),Q82,ISNUMBER(SEARCH(",",Q82)),DATEVALUE(Q82),AND(ISNUMBER(SEARCH("-",Q82)),ISNUMBER(VALUE(LEFT(Q82,4)))),DATE(LEFT(Q82,4),MID(Q82,6,2),RIGHT(Q82,2)),ISNUMBER(SEARCH("-",Q82)),DATE(RIGHT(Q82,4),MID(Q82,4,2),LEFT(Q82,2)),ISNUMBER(SEARCH("/",Q82)),DATE(RIGHT(Q82,4),MID(Q82,4,2),LEFT(Q82,2)),TRUE,"Check Manually")</f>
        <v>45243</v>
      </c>
      <c r="S82" s="31" t="str">
        <f t="shared" ca="1" si="20"/>
        <v>4 Years, 7 Months, 9 Days</v>
      </c>
      <c r="T82" s="31">
        <f t="shared" ca="1" si="21"/>
        <v>1683.08</v>
      </c>
      <c r="U82" s="31" t="str" cm="1">
        <f t="array" ref="U82">_xlfn.IFS(OR(R82="Missing",R82="N/A",R82="Still Employed"),"Unknown",ISNUMBER(R82),"Exited",TRUE,"Unknown")</f>
        <v>Exited</v>
      </c>
      <c r="V82" s="31">
        <f t="shared" si="22"/>
        <v>2023</v>
      </c>
      <c r="W82" s="14" t="str">
        <f t="shared" si="23"/>
        <v>Exited</v>
      </c>
      <c r="X82" s="19"/>
      <c r="Y82" s="18" t="str">
        <f t="shared" si="17"/>
        <v/>
      </c>
      <c r="Z82" s="22" t="str" cm="1">
        <f t="array" ref="Z82">_xlfn.IFS(Y82="","0",LEFT(Y82,5)="",Y82,LEFT(Y82,1)="₹",REPLACE(Y82,1,1,""),LEFT(Y82,4)="Rs. ",REPLACE(Y82,1,4,""),TRUE,Y82)</f>
        <v>0</v>
      </c>
      <c r="AA82" s="22" t="str">
        <f t="shared" si="18"/>
        <v>0</v>
      </c>
      <c r="AB82" s="7" t="s">
        <v>95</v>
      </c>
      <c r="AC82" s="7" t="str">
        <f t="shared" si="19"/>
        <v>Average</v>
      </c>
      <c r="AD82" s="7">
        <v>-3</v>
      </c>
      <c r="AE82" t="str" cm="1">
        <f t="array" ref="AE82">_xlfn.IFS(AD82="",0,AD82&lt;0,"Negate Leave",AD82&gt;=0,AD82)</f>
        <v>Negate Leave</v>
      </c>
    </row>
    <row r="83" spans="1:31" x14ac:dyDescent="0.3">
      <c r="A83" s="7">
        <v>5290</v>
      </c>
      <c r="B83" s="7" t="s">
        <v>427</v>
      </c>
      <c r="C83" s="7" t="str">
        <f t="shared" si="13"/>
        <v>Karthik Shah</v>
      </c>
      <c r="D83" s="7" t="str">
        <f t="shared" si="14"/>
        <v>Karthik Shah</v>
      </c>
      <c r="E83" s="7" t="s">
        <v>61</v>
      </c>
      <c r="F83" s="7" t="s">
        <v>133</v>
      </c>
      <c r="G83" s="7" t="s">
        <v>69</v>
      </c>
      <c r="H83" s="7" t="str">
        <f>_xlfn.XLOOKUP(G83,Lookup_Tables!$A$4:$A$9,Lookup_Tables!$C$4:$C$9,"Not Found",0)</f>
        <v>Vivek Malhotra</v>
      </c>
      <c r="I83" s="7" t="s">
        <v>47</v>
      </c>
      <c r="J83" s="7" t="s">
        <v>433</v>
      </c>
      <c r="K83" s="7" t="str">
        <f t="shared" si="15"/>
        <v>manishshah@company.com</v>
      </c>
      <c r="L83" s="7" t="s">
        <v>434</v>
      </c>
      <c r="M83" s="7" t="str">
        <f t="shared" si="12"/>
        <v>2507469471</v>
      </c>
      <c r="N83" s="7" t="str" cm="1">
        <f t="array" ref="N83">_xlfn.IFS(M83="","Incomplete",LEN(M83)&lt;10,"Invalid",AND(LEN(M83) =10,LEFT(M83,4) &lt;&gt;"+91-"),"+91-"&amp;M83,TRUE,M83)</f>
        <v>+91-2507469471</v>
      </c>
      <c r="O83" s="8" t="s">
        <v>435</v>
      </c>
      <c r="P83" s="14"/>
      <c r="Q83" s="14" t="str">
        <f t="shared" si="16"/>
        <v>Missing</v>
      </c>
      <c r="R83" s="14" t="str" cm="1">
        <f t="array" ref="R83">_xlfn.IFS(OR(Q83="Missing",Q83="N/A",Q83="Still Employed"),Q83,ISNUMBER(SEARCH(",",Q83)),DATEVALUE(Q83),AND(ISNUMBER(SEARCH("-",Q83)),ISNUMBER(VALUE(LEFT(Q83,4)))),DATE(LEFT(Q83,4),MID(Q83,6,2),RIGHT(Q83,2)),ISNUMBER(SEARCH("-",Q83)),DATE(RIGHT(Q83,4),MID(Q83,4,2),LEFT(Q83,2)),ISNUMBER(SEARCH("/",Q83)),DATE(RIGHT(Q83,4),MID(Q83,4,2),LEFT(Q83,2)),TRUE,"Check Manually")</f>
        <v>Missing</v>
      </c>
      <c r="S83" s="31" t="str">
        <f t="shared" ca="1" si="20"/>
        <v>3 Years, 7 Months, 15 Days</v>
      </c>
      <c r="T83" s="31">
        <f t="shared" ca="1" si="21"/>
        <v>1323.83</v>
      </c>
      <c r="U83" s="31" t="str" cm="1">
        <f t="array" ref="U83">_xlfn.IFS(OR(R83="Missing",R83="N/A",R83="Still Employed"),"Unknown",ISNUMBER(R83),"Exited",TRUE,"Unknown")</f>
        <v>Unknown</v>
      </c>
      <c r="V83" s="31" t="str">
        <f t="shared" si="22"/>
        <v/>
      </c>
      <c r="W83" s="14" t="str">
        <f t="shared" si="23"/>
        <v>Active</v>
      </c>
      <c r="X83" s="19" t="s">
        <v>436</v>
      </c>
      <c r="Y83" s="18" t="str">
        <f t="shared" si="17"/>
        <v>₹93,431</v>
      </c>
      <c r="Z83" s="22" t="str" cm="1">
        <f t="array" ref="Z83">_xlfn.IFS(Y83="","0",LEFT(Y83,5)="",Y83,LEFT(Y83,1)="₹",REPLACE(Y83,1,1,""),LEFT(Y83,4)="Rs. ",REPLACE(Y83,1,4,""),TRUE,Y83)</f>
        <v>93,431</v>
      </c>
      <c r="AA83" s="22" t="str">
        <f t="shared" si="18"/>
        <v>93431</v>
      </c>
      <c r="AB83" s="7" t="s">
        <v>144</v>
      </c>
      <c r="AC83" s="7" t="str">
        <f t="shared" si="19"/>
        <v>Poor</v>
      </c>
      <c r="AD83" s="7">
        <v>6</v>
      </c>
      <c r="AE83" cm="1">
        <f t="array" ref="AE83">_xlfn.IFS(AD83="",0,AD83&lt;0,"Negate Leave",AD83&gt;=0,AD83)</f>
        <v>6</v>
      </c>
    </row>
    <row r="84" spans="1:31" x14ac:dyDescent="0.3">
      <c r="A84" s="7">
        <v>5090</v>
      </c>
      <c r="B84" s="7" t="s">
        <v>432</v>
      </c>
      <c r="C84" s="7" t="str">
        <f t="shared" si="13"/>
        <v>Manish Shah</v>
      </c>
      <c r="D84" s="7" t="str">
        <f t="shared" si="14"/>
        <v>Manish Shah</v>
      </c>
      <c r="E84" s="7" t="s">
        <v>68</v>
      </c>
      <c r="F84" s="7" t="s">
        <v>219</v>
      </c>
      <c r="G84" s="7" t="s">
        <v>46</v>
      </c>
      <c r="H84" s="7" t="str">
        <f>_xlfn.XLOOKUP(G84,Lookup_Tables!$A$4:$A$9,Lookup_Tables!$C$4:$C$9,"Not Found",0)</f>
        <v>Faisal Ahmed</v>
      </c>
      <c r="I84" s="7" t="s">
        <v>47</v>
      </c>
      <c r="J84" s="7" t="s">
        <v>438</v>
      </c>
      <c r="K84" s="7" t="str">
        <f t="shared" si="15"/>
        <v>suresh.saxena@company.com</v>
      </c>
      <c r="L84" s="7" t="s">
        <v>439</v>
      </c>
      <c r="M84" s="7" t="str">
        <f t="shared" si="12"/>
        <v>+91-6450241555</v>
      </c>
      <c r="N84" s="7" t="str" cm="1">
        <f t="array" ref="N84">_xlfn.IFS(M84="","Incomplete",LEN(M84)&lt;10,"Invalid",AND(LEN(M84) =10,LEFT(M84,4) &lt;&gt;"+91-"),"+91-"&amp;M84,TRUE,M84)</f>
        <v>+91-6450241555</v>
      </c>
      <c r="O84" s="8" t="s">
        <v>440</v>
      </c>
      <c r="P84" s="14"/>
      <c r="Q84" s="14" t="str">
        <f t="shared" si="16"/>
        <v>Missing</v>
      </c>
      <c r="R84" s="14" t="str" cm="1">
        <f t="array" ref="R84">_xlfn.IFS(OR(Q84="Missing",Q84="N/A",Q84="Still Employed"),Q84,ISNUMBER(SEARCH(",",Q84)),DATEVALUE(Q84),AND(ISNUMBER(SEARCH("-",Q84)),ISNUMBER(VALUE(LEFT(Q84,4)))),DATE(LEFT(Q84,4),MID(Q84,6,2),RIGHT(Q84,2)),ISNUMBER(SEARCH("-",Q84)),DATE(RIGHT(Q84,4),MID(Q84,4,2),LEFT(Q84,2)),ISNUMBER(SEARCH("/",Q84)),DATE(RIGHT(Q84,4),MID(Q84,4,2),LEFT(Q84,2)),TRUE,"Check Manually")</f>
        <v>Missing</v>
      </c>
      <c r="S84" s="31" t="str">
        <f t="shared" ca="1" si="20"/>
        <v>7 Years, 5 Months, 17 Days</v>
      </c>
      <c r="T84" s="31">
        <f t="shared" ca="1" si="21"/>
        <v>2725.95</v>
      </c>
      <c r="U84" s="31" t="str" cm="1">
        <f t="array" ref="U84">_xlfn.IFS(OR(R84="Missing",R84="N/A",R84="Still Employed"),"Unknown",ISNUMBER(R84),"Exited",TRUE,"Unknown")</f>
        <v>Unknown</v>
      </c>
      <c r="V84" s="31" t="str">
        <f t="shared" si="22"/>
        <v/>
      </c>
      <c r="W84" s="14" t="str">
        <f t="shared" si="23"/>
        <v>Active</v>
      </c>
      <c r="X84" s="19">
        <v>141821</v>
      </c>
      <c r="Y84" s="18" t="str">
        <f t="shared" si="17"/>
        <v>141821</v>
      </c>
      <c r="Z84" s="22" t="str" cm="1">
        <f t="array" ref="Z84">_xlfn.IFS(Y84="","0",LEFT(Y84,5)="",Y84,LEFT(Y84,1)="₹",REPLACE(Y84,1,1,""),LEFT(Y84,4)="Rs. ",REPLACE(Y84,1,4,""),TRUE,Y84)</f>
        <v>141821</v>
      </c>
      <c r="AA84" s="22" t="str">
        <f t="shared" si="18"/>
        <v>141821</v>
      </c>
      <c r="AB84" s="7" t="s">
        <v>127</v>
      </c>
      <c r="AC84" s="7" t="str">
        <f t="shared" si="19"/>
        <v>Good</v>
      </c>
      <c r="AD84" s="7">
        <v>22</v>
      </c>
      <c r="AE84" cm="1">
        <f t="array" ref="AE84">_xlfn.IFS(AD84="",0,AD84&lt;0,"Negate Leave",AD84&gt;=0,AD84)</f>
        <v>22</v>
      </c>
    </row>
    <row r="85" spans="1:31" x14ac:dyDescent="0.3">
      <c r="A85" s="7">
        <v>5272</v>
      </c>
      <c r="B85" s="7" t="s">
        <v>437</v>
      </c>
      <c r="C85" s="7" t="str">
        <f t="shared" si="13"/>
        <v>suresh saxena</v>
      </c>
      <c r="D85" s="7" t="str">
        <f t="shared" si="14"/>
        <v>Suresh Saxena</v>
      </c>
      <c r="E85" s="7" t="s">
        <v>61</v>
      </c>
      <c r="F85" s="7" t="s">
        <v>389</v>
      </c>
      <c r="G85" s="7" t="s">
        <v>140</v>
      </c>
      <c r="H85" s="7" t="str">
        <f>_xlfn.XLOOKUP(G85,Lookup_Tables!$A$4:$A$9,Lookup_Tables!$C$4:$C$9,"Not Found",0)</f>
        <v>Sunita Rao</v>
      </c>
      <c r="I85" s="7" t="s">
        <v>47</v>
      </c>
      <c r="J85" s="7" t="s">
        <v>442</v>
      </c>
      <c r="K85" s="7" t="str">
        <f t="shared" si="15"/>
        <v>meenal.naidu@company.com</v>
      </c>
      <c r="L85" s="7" t="s">
        <v>443</v>
      </c>
      <c r="M85" s="7" t="str">
        <f t="shared" si="12"/>
        <v>+91-4436200830</v>
      </c>
      <c r="N85" s="7" t="str" cm="1">
        <f t="array" ref="N85">_xlfn.IFS(M85="","Incomplete",LEN(M85)&lt;10,"Invalid",AND(LEN(M85) =10,LEFT(M85,4) &lt;&gt;"+91-"),"+91-"&amp;M85,TRUE,M85)</f>
        <v>+91-4436200830</v>
      </c>
      <c r="O85" s="8" t="s">
        <v>444</v>
      </c>
      <c r="P85" s="14"/>
      <c r="Q85" s="14" t="str">
        <f t="shared" si="16"/>
        <v>Missing</v>
      </c>
      <c r="R85" s="14" t="str" cm="1">
        <f t="array" ref="R85">_xlfn.IFS(OR(Q85="Missing",Q85="N/A",Q85="Still Employed"),Q85,ISNUMBER(SEARCH(",",Q85)),DATEVALUE(Q85),AND(ISNUMBER(SEARCH("-",Q85)),ISNUMBER(VALUE(LEFT(Q85,4)))),DATE(LEFT(Q85,4),MID(Q85,6,2),RIGHT(Q85,2)),ISNUMBER(SEARCH("-",Q85)),DATE(RIGHT(Q85,4),MID(Q85,4,2),LEFT(Q85,2)),ISNUMBER(SEARCH("/",Q85)),DATE(RIGHT(Q85,4),MID(Q85,4,2),LEFT(Q85,2)),TRUE,"Check Manually")</f>
        <v>Missing</v>
      </c>
      <c r="S85" s="31" t="str">
        <f t="shared" ca="1" si="20"/>
        <v>5 Years, 9 Months, 13 Days</v>
      </c>
      <c r="T85" s="31">
        <f t="shared" ca="1" si="21"/>
        <v>2113.21</v>
      </c>
      <c r="U85" s="31" t="str" cm="1">
        <f t="array" ref="U85">_xlfn.IFS(OR(R85="Missing",R85="N/A",R85="Still Employed"),"Unknown",ISNUMBER(R85),"Exited",TRUE,"Unknown")</f>
        <v>Unknown</v>
      </c>
      <c r="V85" s="31" t="str">
        <f t="shared" si="22"/>
        <v/>
      </c>
      <c r="W85" s="14" t="str">
        <f t="shared" si="23"/>
        <v>Active</v>
      </c>
      <c r="X85" s="19"/>
      <c r="Y85" s="18" t="str">
        <f t="shared" si="17"/>
        <v/>
      </c>
      <c r="Z85" s="22" t="str" cm="1">
        <f t="array" ref="Z85">_xlfn.IFS(Y85="","0",LEFT(Y85,5)="",Y85,LEFT(Y85,1)="₹",REPLACE(Y85,1,1,""),LEFT(Y85,4)="Rs. ",REPLACE(Y85,1,4,""),TRUE,Y85)</f>
        <v>0</v>
      </c>
      <c r="AA85" s="22" t="str">
        <f t="shared" si="18"/>
        <v>0</v>
      </c>
      <c r="AB85" s="7" t="s">
        <v>89</v>
      </c>
      <c r="AC85" s="7" t="str">
        <f t="shared" si="19"/>
        <v>Below Average</v>
      </c>
      <c r="AD85" s="7">
        <v>17</v>
      </c>
      <c r="AE85" cm="1">
        <f t="array" ref="AE85">_xlfn.IFS(AD85="",0,AD85&lt;0,"Negate Leave",AD85&gt;=0,AD85)</f>
        <v>17</v>
      </c>
    </row>
    <row r="86" spans="1:31" x14ac:dyDescent="0.3">
      <c r="A86" s="7">
        <v>5340</v>
      </c>
      <c r="B86" s="7" t="s">
        <v>441</v>
      </c>
      <c r="C86" s="7" t="str">
        <f t="shared" si="13"/>
        <v>MEENAL NAIDU</v>
      </c>
      <c r="D86" s="7" t="str">
        <f t="shared" si="14"/>
        <v>Meenal Naidu</v>
      </c>
      <c r="E86" s="7" t="s">
        <v>61</v>
      </c>
      <c r="F86" s="7" t="s">
        <v>151</v>
      </c>
      <c r="G86" s="7" t="s">
        <v>76</v>
      </c>
      <c r="H86" s="7" t="str">
        <f>_xlfn.XLOOKUP(G86,Lookup_Tables!$A$4:$A$9,Lookup_Tables!$C$4:$C$9,"Not Found",0)</f>
        <v>Ananya Sen</v>
      </c>
      <c r="I86" s="7" t="s">
        <v>77</v>
      </c>
      <c r="J86" s="7" t="s">
        <v>446</v>
      </c>
      <c r="K86" s="7" t="str">
        <f t="shared" si="15"/>
        <v>shreya.desai@company.com</v>
      </c>
      <c r="L86" s="7" t="s">
        <v>447</v>
      </c>
      <c r="M86" s="7" t="str">
        <f t="shared" si="12"/>
        <v>+91-6243180733</v>
      </c>
      <c r="N86" s="7" t="str" cm="1">
        <f t="array" ref="N86">_xlfn.IFS(M86="","Incomplete",LEN(M86)&lt;10,"Invalid",AND(LEN(M86) =10,LEFT(M86,4) &lt;&gt;"+91-"),"+91-"&amp;M86,TRUE,M86)</f>
        <v>+91-6243180733</v>
      </c>
      <c r="O86" s="8" t="s">
        <v>448</v>
      </c>
      <c r="P86" s="14"/>
      <c r="Q86" s="14" t="str">
        <f t="shared" si="16"/>
        <v>Missing</v>
      </c>
      <c r="R86" s="14" t="str" cm="1">
        <f t="array" ref="R86">_xlfn.IFS(OR(Q86="Missing",Q86="N/A",Q86="Still Employed"),Q86,ISNUMBER(SEARCH(",",Q86)),DATEVALUE(Q86),AND(ISNUMBER(SEARCH("-",Q86)),ISNUMBER(VALUE(LEFT(Q86,4)))),DATE(LEFT(Q86,4),MID(Q86,6,2),RIGHT(Q86,2)),ISNUMBER(SEARCH("-",Q86)),DATE(RIGHT(Q86,4),MID(Q86,4,2),LEFT(Q86,2)),ISNUMBER(SEARCH("/",Q86)),DATE(RIGHT(Q86,4),MID(Q86,4,2),LEFT(Q86,2)),TRUE,"Check Manually")</f>
        <v>Missing</v>
      </c>
      <c r="S86" s="31" t="str">
        <f t="shared" ca="1" si="20"/>
        <v>3 Years, 2 Months, 9 Days</v>
      </c>
      <c r="T86" s="31">
        <f t="shared" ca="1" si="21"/>
        <v>1165.6300000000001</v>
      </c>
      <c r="U86" s="31" t="str" cm="1">
        <f t="array" ref="U86">_xlfn.IFS(OR(R86="Missing",R86="N/A",R86="Still Employed"),"Unknown",ISNUMBER(R86),"Exited",TRUE,"Unknown")</f>
        <v>Unknown</v>
      </c>
      <c r="V86" s="31" t="str">
        <f t="shared" si="22"/>
        <v/>
      </c>
      <c r="W86" s="14" t="str">
        <f t="shared" si="23"/>
        <v>Active</v>
      </c>
      <c r="X86" s="19">
        <v>154184</v>
      </c>
      <c r="Y86" s="18" t="str">
        <f t="shared" si="17"/>
        <v>154184</v>
      </c>
      <c r="Z86" s="22" t="str" cm="1">
        <f t="array" ref="Z86">_xlfn.IFS(Y86="","0",LEFT(Y86,5)="",Y86,LEFT(Y86,1)="₹",REPLACE(Y86,1,1,""),LEFT(Y86,4)="Rs. ",REPLACE(Y86,1,4,""),TRUE,Y86)</f>
        <v>154184</v>
      </c>
      <c r="AA86" s="22" t="str">
        <f t="shared" si="18"/>
        <v>154184</v>
      </c>
      <c r="AB86" s="7" t="s">
        <v>95</v>
      </c>
      <c r="AC86" s="7" t="str">
        <f t="shared" si="19"/>
        <v>Average</v>
      </c>
      <c r="AD86" s="7">
        <v>-3</v>
      </c>
      <c r="AE86" t="str" cm="1">
        <f t="array" ref="AE86">_xlfn.IFS(AD86="",0,AD86&lt;0,"Negate Leave",AD86&gt;=0,AD86)</f>
        <v>Negate Leave</v>
      </c>
    </row>
    <row r="87" spans="1:31" x14ac:dyDescent="0.3">
      <c r="A87" s="7">
        <v>5150</v>
      </c>
      <c r="B87" s="7" t="s">
        <v>445</v>
      </c>
      <c r="C87" s="7" t="str">
        <f t="shared" si="13"/>
        <v>Shreya Desai</v>
      </c>
      <c r="D87" s="7" t="str">
        <f t="shared" si="14"/>
        <v>Shreya Desai</v>
      </c>
      <c r="E87" s="7" t="s">
        <v>68</v>
      </c>
      <c r="F87" s="7" t="s">
        <v>122</v>
      </c>
      <c r="G87" s="7" t="s">
        <v>91</v>
      </c>
      <c r="H87" s="7" t="str">
        <f>_xlfn.XLOOKUP(G87,Lookup_Tables!$A$4:$A$9,Lookup_Tables!$C$4:$C$9,"Not Found",0)</f>
        <v>Rajiv Kapoor</v>
      </c>
      <c r="I87" s="7" t="s">
        <v>85</v>
      </c>
      <c r="J87" s="7" t="s">
        <v>450</v>
      </c>
      <c r="K87" s="7" t="str">
        <f t="shared" si="15"/>
        <v>vikram.kulkarni@company.com</v>
      </c>
      <c r="L87" s="7" t="s">
        <v>451</v>
      </c>
      <c r="M87" s="7" t="str">
        <f t="shared" si="12"/>
        <v>7048784588</v>
      </c>
      <c r="N87" s="7" t="str" cm="1">
        <f t="array" ref="N87">_xlfn.IFS(M87="","Incomplete",LEN(M87)&lt;10,"Invalid",AND(LEN(M87) =10,LEFT(M87,4) &lt;&gt;"+91-"),"+91-"&amp;M87,TRUE,M87)</f>
        <v>+91-7048784588</v>
      </c>
      <c r="O87" s="8" t="s">
        <v>452</v>
      </c>
      <c r="P87" s="14" t="s">
        <v>114</v>
      </c>
      <c r="Q87" s="14" t="str">
        <f t="shared" si="16"/>
        <v>Still Employed</v>
      </c>
      <c r="R87" s="14" t="str" cm="1">
        <f t="array" ref="R87">_xlfn.IFS(OR(Q87="Missing",Q87="N/A",Q87="Still Employed"),Q87,ISNUMBER(SEARCH(",",Q87)),DATEVALUE(Q87),AND(ISNUMBER(SEARCH("-",Q87)),ISNUMBER(VALUE(LEFT(Q87,4)))),DATE(LEFT(Q87,4),MID(Q87,6,2),RIGHT(Q87,2)),ISNUMBER(SEARCH("-",Q87)),DATE(RIGHT(Q87,4),MID(Q87,4,2),LEFT(Q87,2)),ISNUMBER(SEARCH("/",Q87)),DATE(RIGHT(Q87,4),MID(Q87,4,2),LEFT(Q87,2)),TRUE,"Check Manually")</f>
        <v>Still Employed</v>
      </c>
      <c r="S87" s="31" t="str">
        <f t="shared" ca="1" si="20"/>
        <v>4 Years, 6 Months, 0 Days</v>
      </c>
      <c r="T87" s="31">
        <f t="shared" ca="1" si="21"/>
        <v>1643.64</v>
      </c>
      <c r="U87" s="31" t="str" cm="1">
        <f t="array" ref="U87">_xlfn.IFS(OR(R87="Missing",R87="N/A",R87="Still Employed"),"Unknown",ISNUMBER(R87),"Exited",TRUE,"Unknown")</f>
        <v>Unknown</v>
      </c>
      <c r="V87" s="31" t="str">
        <f t="shared" si="22"/>
        <v/>
      </c>
      <c r="W87" s="14" t="str">
        <f t="shared" si="23"/>
        <v>Active</v>
      </c>
      <c r="X87" s="19">
        <v>75215</v>
      </c>
      <c r="Y87" s="18" t="str">
        <f t="shared" si="17"/>
        <v>75215</v>
      </c>
      <c r="Z87" s="22" t="str" cm="1">
        <f t="array" ref="Z87">_xlfn.IFS(Y87="","0",LEFT(Y87,5)="",Y87,LEFT(Y87,1)="₹",REPLACE(Y87,1,1,""),LEFT(Y87,4)="Rs. ",REPLACE(Y87,1,4,""),TRUE,Y87)</f>
        <v>75215</v>
      </c>
      <c r="AA87" s="22" t="str">
        <f t="shared" si="18"/>
        <v>75215</v>
      </c>
      <c r="AB87" s="7" t="s">
        <v>51</v>
      </c>
      <c r="AC87" s="7" t="str">
        <f t="shared" si="19"/>
        <v>Excellent</v>
      </c>
      <c r="AD87" s="7">
        <v>0</v>
      </c>
      <c r="AE87" cm="1">
        <f t="array" ref="AE87">_xlfn.IFS(AD87="",0,AD87&lt;0,"Negate Leave",AD87&gt;=0,AD87)</f>
        <v>0</v>
      </c>
    </row>
    <row r="88" spans="1:31" x14ac:dyDescent="0.3">
      <c r="A88" s="7">
        <v>5114</v>
      </c>
      <c r="B88" s="7" t="s">
        <v>449</v>
      </c>
      <c r="C88" s="7" t="str">
        <f t="shared" si="13"/>
        <v>Vikram Kulkarni</v>
      </c>
      <c r="D88" s="7" t="str">
        <f t="shared" si="14"/>
        <v>Vikram Kulkarni</v>
      </c>
      <c r="E88" s="7" t="s">
        <v>68</v>
      </c>
      <c r="F88" s="7" t="s">
        <v>133</v>
      </c>
      <c r="G88" s="7" t="s">
        <v>69</v>
      </c>
      <c r="H88" s="7" t="str">
        <f>_xlfn.XLOOKUP(G88,Lookup_Tables!$A$4:$A$9,Lookup_Tables!$C$4:$C$9,"Not Found",0)</f>
        <v>Vivek Malhotra</v>
      </c>
      <c r="I88" s="7" t="s">
        <v>62</v>
      </c>
      <c r="J88" s="7" t="s">
        <v>454</v>
      </c>
      <c r="K88" s="7" t="str">
        <f t="shared" si="15"/>
        <v>shreya.mehta@company.com</v>
      </c>
      <c r="L88" s="7"/>
      <c r="M88" s="7" t="str">
        <f t="shared" si="12"/>
        <v/>
      </c>
      <c r="N88" s="7" t="str" cm="1">
        <f t="array" ref="N88">_xlfn.IFS(M88="","Incomplete",LEN(M88)&lt;10,"Invalid",AND(LEN(M88) =10,LEFT(M88,4) &lt;&gt;"+91-"),"+91-"&amp;M88,TRUE,M88)</f>
        <v>Incomplete</v>
      </c>
      <c r="O88" s="8" t="s">
        <v>455</v>
      </c>
      <c r="P88" s="14" t="s">
        <v>126</v>
      </c>
      <c r="Q88" s="14" t="str">
        <f t="shared" si="16"/>
        <v>N/A</v>
      </c>
      <c r="R88" s="14" t="str" cm="1">
        <f t="array" ref="R88">_xlfn.IFS(OR(Q88="Missing",Q88="N/A",Q88="Still Employed"),Q88,ISNUMBER(SEARCH(",",Q88)),DATEVALUE(Q88),AND(ISNUMBER(SEARCH("-",Q88)),ISNUMBER(VALUE(LEFT(Q88,4)))),DATE(LEFT(Q88,4),MID(Q88,6,2),RIGHT(Q88,2)),ISNUMBER(SEARCH("-",Q88)),DATE(RIGHT(Q88,4),MID(Q88,4,2),LEFT(Q88,2)),ISNUMBER(SEARCH("/",Q88)),DATE(RIGHT(Q88,4),MID(Q88,4,2),LEFT(Q88,2)),TRUE,"Check Manually")</f>
        <v>N/A</v>
      </c>
      <c r="S88" s="31" t="str">
        <f t="shared" ca="1" si="20"/>
        <v>5 Years, 7 Months, 5 Days</v>
      </c>
      <c r="T88" s="31">
        <f t="shared" ca="1" si="21"/>
        <v>2044.33</v>
      </c>
      <c r="U88" s="31" t="str" cm="1">
        <f t="array" ref="U88">_xlfn.IFS(OR(R88="Missing",R88="N/A",R88="Still Employed"),"Unknown",ISNUMBER(R88),"Exited",TRUE,"Unknown")</f>
        <v>Unknown</v>
      </c>
      <c r="V88" s="31" t="str">
        <f t="shared" si="22"/>
        <v/>
      </c>
      <c r="W88" s="14" t="str">
        <f t="shared" si="23"/>
        <v>Active</v>
      </c>
      <c r="X88" s="19"/>
      <c r="Y88" s="18" t="str">
        <f t="shared" si="17"/>
        <v/>
      </c>
      <c r="Z88" s="22" t="str" cm="1">
        <f t="array" ref="Z88">_xlfn.IFS(Y88="","0",LEFT(Y88,5)="",Y88,LEFT(Y88,1)="₹",REPLACE(Y88,1,1,""),LEFT(Y88,4)="Rs. ",REPLACE(Y88,1,4,""),TRUE,Y88)</f>
        <v>0</v>
      </c>
      <c r="AA88" s="22" t="str">
        <f t="shared" si="18"/>
        <v>0</v>
      </c>
      <c r="AB88" s="7" t="s">
        <v>95</v>
      </c>
      <c r="AC88" s="7" t="str">
        <f t="shared" si="19"/>
        <v>Average</v>
      </c>
      <c r="AD88" s="7">
        <v>16</v>
      </c>
      <c r="AE88" cm="1">
        <f t="array" ref="AE88">_xlfn.IFS(AD88="",0,AD88&lt;0,"Negate Leave",AD88&gt;=0,AD88)</f>
        <v>16</v>
      </c>
    </row>
    <row r="89" spans="1:31" x14ac:dyDescent="0.3">
      <c r="A89" s="7">
        <v>5020</v>
      </c>
      <c r="B89" s="7" t="s">
        <v>453</v>
      </c>
      <c r="C89" s="7" t="str">
        <f t="shared" si="13"/>
        <v>Shreya Mehta</v>
      </c>
      <c r="D89" s="7" t="str">
        <f t="shared" si="14"/>
        <v>Shreya Mehta</v>
      </c>
      <c r="E89" s="7" t="s">
        <v>61</v>
      </c>
      <c r="F89" s="7" t="s">
        <v>389</v>
      </c>
      <c r="G89" s="7" t="s">
        <v>140</v>
      </c>
      <c r="H89" s="7" t="str">
        <f>_xlfn.XLOOKUP(G89,Lookup_Tables!$A$4:$A$9,Lookup_Tables!$C$4:$C$9,"Not Found",0)</f>
        <v>Sunita Rao</v>
      </c>
      <c r="I89" s="7" t="s">
        <v>110</v>
      </c>
      <c r="J89" s="7" t="s">
        <v>457</v>
      </c>
      <c r="K89" s="7" t="str">
        <f t="shared" si="15"/>
        <v>karthik.gupta@company.com</v>
      </c>
      <c r="L89" s="7" t="s">
        <v>458</v>
      </c>
      <c r="M89" s="7" t="str">
        <f t="shared" si="12"/>
        <v>4067589351</v>
      </c>
      <c r="N89" s="7" t="str" cm="1">
        <f t="array" ref="N89">_xlfn.IFS(M89="","Incomplete",LEN(M89)&lt;10,"Invalid",AND(LEN(M89) =10,LEFT(M89,4) &lt;&gt;"+91-"),"+91-"&amp;M89,TRUE,M89)</f>
        <v>+91-4067589351</v>
      </c>
      <c r="O89" s="8" t="s">
        <v>459</v>
      </c>
      <c r="P89" s="14" t="s">
        <v>114</v>
      </c>
      <c r="Q89" s="14" t="str">
        <f t="shared" si="16"/>
        <v>Still Employed</v>
      </c>
      <c r="R89" s="14" t="str" cm="1">
        <f t="array" ref="R89">_xlfn.IFS(OR(Q89="Missing",Q89="N/A",Q89="Still Employed"),Q89,ISNUMBER(SEARCH(",",Q89)),DATEVALUE(Q89),AND(ISNUMBER(SEARCH("-",Q89)),ISNUMBER(VALUE(LEFT(Q89,4)))),DATE(LEFT(Q89,4),MID(Q89,6,2),RIGHT(Q89,2)),ISNUMBER(SEARCH("-",Q89)),DATE(RIGHT(Q89,4),MID(Q89,4,2),LEFT(Q89,2)),ISNUMBER(SEARCH("/",Q89)),DATE(RIGHT(Q89,4),MID(Q89,4,2),LEFT(Q89,2)),TRUE,"Check Manually")</f>
        <v>Still Employed</v>
      </c>
      <c r="S89" s="31" t="str">
        <f t="shared" ca="1" si="20"/>
        <v>5 Years, 2 Months, 7 Days</v>
      </c>
      <c r="T89" s="31">
        <f t="shared" ca="1" si="21"/>
        <v>1894.13</v>
      </c>
      <c r="U89" s="31" t="str" cm="1">
        <f t="array" ref="U89">_xlfn.IFS(OR(R89="Missing",R89="N/A",R89="Still Employed"),"Unknown",ISNUMBER(R89),"Exited",TRUE,"Unknown")</f>
        <v>Unknown</v>
      </c>
      <c r="V89" s="31" t="str">
        <f t="shared" si="22"/>
        <v/>
      </c>
      <c r="W89" s="14" t="str">
        <f t="shared" si="23"/>
        <v>Active</v>
      </c>
      <c r="X89" s="19"/>
      <c r="Y89" s="18" t="str">
        <f t="shared" si="17"/>
        <v/>
      </c>
      <c r="Z89" s="22" t="str" cm="1">
        <f t="array" ref="Z89">_xlfn.IFS(Y89="","0",LEFT(Y89,5)="",Y89,LEFT(Y89,1)="₹",REPLACE(Y89,1,1,""),LEFT(Y89,4)="Rs. ",REPLACE(Y89,1,4,""),TRUE,Y89)</f>
        <v>0</v>
      </c>
      <c r="AA89" s="22" t="str">
        <f t="shared" si="18"/>
        <v>0</v>
      </c>
      <c r="AB89" s="7" t="s">
        <v>95</v>
      </c>
      <c r="AC89" s="7" t="str">
        <f t="shared" si="19"/>
        <v>Average</v>
      </c>
      <c r="AD89" s="7"/>
      <c r="AE89" cm="1">
        <f t="array" ref="AE89">_xlfn.IFS(AD89="",0,AD89&lt;0,"Negate Leave",AD89&gt;=0,AD89)</f>
        <v>0</v>
      </c>
    </row>
    <row r="90" spans="1:31" x14ac:dyDescent="0.3">
      <c r="A90" s="7">
        <v>5227</v>
      </c>
      <c r="B90" s="7" t="s">
        <v>456</v>
      </c>
      <c r="C90" s="7" t="str">
        <f t="shared" si="13"/>
        <v>Karthik Gupta</v>
      </c>
      <c r="D90" s="7" t="str">
        <f t="shared" si="14"/>
        <v>Karthik Gupta</v>
      </c>
      <c r="E90" s="7" t="s">
        <v>61</v>
      </c>
      <c r="F90" s="7" t="s">
        <v>151</v>
      </c>
      <c r="G90" s="7" t="s">
        <v>76</v>
      </c>
      <c r="H90" s="7" t="str">
        <f>_xlfn.XLOOKUP(G90,Lookup_Tables!$A$4:$A$9,Lookup_Tables!$C$4:$C$9,"Not Found",0)</f>
        <v>Ananya Sen</v>
      </c>
      <c r="I90" s="7" t="s">
        <v>62</v>
      </c>
      <c r="J90" s="7" t="s">
        <v>332</v>
      </c>
      <c r="K90" s="7" t="str">
        <f t="shared" si="15"/>
        <v>meenal.verma@company.com</v>
      </c>
      <c r="L90" s="7" t="s">
        <v>461</v>
      </c>
      <c r="M90" s="7" t="str">
        <f t="shared" si="12"/>
        <v>7426106891</v>
      </c>
      <c r="N90" s="7" t="str" cm="1">
        <f t="array" ref="N90">_xlfn.IFS(M90="","Incomplete",LEN(M90)&lt;10,"Invalid",AND(LEN(M90) =10,LEFT(M90,4) &lt;&gt;"+91-"),"+91-"&amp;M90,TRUE,M90)</f>
        <v>+91-7426106891</v>
      </c>
      <c r="O90" s="8" t="s">
        <v>462</v>
      </c>
      <c r="P90" s="14" t="s">
        <v>126</v>
      </c>
      <c r="Q90" s="14" t="str">
        <f t="shared" si="16"/>
        <v>N/A</v>
      </c>
      <c r="R90" s="14" t="str" cm="1">
        <f t="array" ref="R90">_xlfn.IFS(OR(Q90="Missing",Q90="N/A",Q90="Still Employed"),Q90,ISNUMBER(SEARCH(",",Q90)),DATEVALUE(Q90),AND(ISNUMBER(SEARCH("-",Q90)),ISNUMBER(VALUE(LEFT(Q90,4)))),DATE(LEFT(Q90,4),MID(Q90,6,2),RIGHT(Q90,2)),ISNUMBER(SEARCH("-",Q90)),DATE(RIGHT(Q90,4),MID(Q90,4,2),LEFT(Q90,2)),ISNUMBER(SEARCH("/",Q90)),DATE(RIGHT(Q90,4),MID(Q90,4,2),LEFT(Q90,2)),TRUE,"Check Manually")</f>
        <v>N/A</v>
      </c>
      <c r="S90" s="31" t="str">
        <f t="shared" ca="1" si="20"/>
        <v>6 Years, 3 Months, 12 Days</v>
      </c>
      <c r="T90" s="31">
        <f t="shared" ca="1" si="21"/>
        <v>2294.8200000000002</v>
      </c>
      <c r="U90" s="31" t="str" cm="1">
        <f t="array" ref="U90">_xlfn.IFS(OR(R90="Missing",R90="N/A",R90="Still Employed"),"Unknown",ISNUMBER(R90),"Exited",TRUE,"Unknown")</f>
        <v>Unknown</v>
      </c>
      <c r="V90" s="31" t="str">
        <f t="shared" si="22"/>
        <v/>
      </c>
      <c r="W90" s="14" t="str">
        <f t="shared" si="23"/>
        <v>Active</v>
      </c>
      <c r="X90" s="19" t="s">
        <v>463</v>
      </c>
      <c r="Y90" s="18" t="str">
        <f t="shared" si="17"/>
        <v>Rs. 170,729</v>
      </c>
      <c r="Z90" s="22" t="str" cm="1">
        <f t="array" ref="Z90">_xlfn.IFS(Y90="","0",LEFT(Y90,5)="",Y90,LEFT(Y90,1)="₹",REPLACE(Y90,1,1,""),LEFT(Y90,4)="Rs. ",REPLACE(Y90,1,4,""),TRUE,Y90)</f>
        <v>170,729</v>
      </c>
      <c r="AA90" s="22" t="str">
        <f t="shared" si="18"/>
        <v>170729</v>
      </c>
      <c r="AB90" s="7" t="s">
        <v>51</v>
      </c>
      <c r="AC90" s="7" t="str">
        <f t="shared" si="19"/>
        <v>Excellent</v>
      </c>
      <c r="AD90" s="7">
        <v>24</v>
      </c>
      <c r="AE90" cm="1">
        <f t="array" ref="AE90">_xlfn.IFS(AD90="",0,AD90&lt;0,"Negate Leave",AD90&gt;=0,AD90)</f>
        <v>24</v>
      </c>
    </row>
    <row r="91" spans="1:31" x14ac:dyDescent="0.3">
      <c r="A91" s="7">
        <v>5084</v>
      </c>
      <c r="B91" s="7" t="s">
        <v>460</v>
      </c>
      <c r="C91" s="7" t="str">
        <f t="shared" si="13"/>
        <v>Meenal  Verma</v>
      </c>
      <c r="D91" s="7" t="str">
        <f t="shared" si="14"/>
        <v>Meenal Verma</v>
      </c>
      <c r="E91" s="7" t="s">
        <v>61</v>
      </c>
      <c r="F91" s="7" t="s">
        <v>151</v>
      </c>
      <c r="G91" s="7" t="s">
        <v>76</v>
      </c>
      <c r="H91" s="7" t="str">
        <f>_xlfn.XLOOKUP(G91,Lookup_Tables!$A$4:$A$9,Lookup_Tables!$C$4:$C$9,"Not Found",0)</f>
        <v>Ananya Sen</v>
      </c>
      <c r="I91" s="7" t="s">
        <v>77</v>
      </c>
      <c r="J91" s="7" t="s">
        <v>465</v>
      </c>
      <c r="K91" s="7" t="str">
        <f t="shared" si="15"/>
        <v>divya.trivedi@company.com</v>
      </c>
      <c r="L91" s="7" t="s">
        <v>466</v>
      </c>
      <c r="M91" s="7" t="str">
        <f t="shared" si="12"/>
        <v>+91-9762066998</v>
      </c>
      <c r="N91" s="7" t="str" cm="1">
        <f t="array" ref="N91">_xlfn.IFS(M91="","Incomplete",LEN(M91)&lt;10,"Invalid",AND(LEN(M91) =10,LEFT(M91,4) &lt;&gt;"+91-"),"+91-"&amp;M91,TRUE,M91)</f>
        <v>+91-9762066998</v>
      </c>
      <c r="O91" s="8" t="s">
        <v>467</v>
      </c>
      <c r="P91" s="14" t="s">
        <v>126</v>
      </c>
      <c r="Q91" s="14" t="str">
        <f t="shared" si="16"/>
        <v>N/A</v>
      </c>
      <c r="R91" s="14" t="str" cm="1">
        <f t="array" ref="R91">_xlfn.IFS(OR(Q91="Missing",Q91="N/A",Q91="Still Employed"),Q91,ISNUMBER(SEARCH(",",Q91)),DATEVALUE(Q91),AND(ISNUMBER(SEARCH("-",Q91)),ISNUMBER(VALUE(LEFT(Q91,4)))),DATE(LEFT(Q91,4),MID(Q91,6,2),RIGHT(Q91,2)),ISNUMBER(SEARCH("-",Q91)),DATE(RIGHT(Q91,4),MID(Q91,4,2),LEFT(Q91,2)),ISNUMBER(SEARCH("/",Q91)),DATE(RIGHT(Q91,4),MID(Q91,4,2),LEFT(Q91,2)),TRUE,"Check Manually")</f>
        <v>N/A</v>
      </c>
      <c r="S91" s="31" t="str">
        <f t="shared" ca="1" si="20"/>
        <v>7 Years, 2 Months, 6 Days</v>
      </c>
      <c r="T91" s="31">
        <f t="shared" ca="1" si="21"/>
        <v>2623.63</v>
      </c>
      <c r="U91" s="31" t="str" cm="1">
        <f t="array" ref="U91">_xlfn.IFS(OR(R91="Missing",R91="N/A",R91="Still Employed"),"Unknown",ISNUMBER(R91),"Exited",TRUE,"Unknown")</f>
        <v>Unknown</v>
      </c>
      <c r="V91" s="31" t="str">
        <f t="shared" si="22"/>
        <v/>
      </c>
      <c r="W91" s="14" t="str">
        <f t="shared" si="23"/>
        <v>Active</v>
      </c>
      <c r="X91" s="19"/>
      <c r="Y91" s="18" t="str">
        <f t="shared" si="17"/>
        <v/>
      </c>
      <c r="Z91" s="22" t="str" cm="1">
        <f t="array" ref="Z91">_xlfn.IFS(Y91="","0",LEFT(Y91,5)="",Y91,LEFT(Y91,1)="₹",REPLACE(Y91,1,1,""),LEFT(Y91,4)="Rs. ",REPLACE(Y91,1,4,""),TRUE,Y91)</f>
        <v>0</v>
      </c>
      <c r="AA91" s="22" t="str">
        <f t="shared" si="18"/>
        <v>0</v>
      </c>
      <c r="AB91" s="7" t="s">
        <v>144</v>
      </c>
      <c r="AC91" s="7" t="str">
        <f t="shared" si="19"/>
        <v>Poor</v>
      </c>
      <c r="AD91" s="7">
        <v>7</v>
      </c>
      <c r="AE91" cm="1">
        <f t="array" ref="AE91">_xlfn.IFS(AD91="",0,AD91&lt;0,"Negate Leave",AD91&gt;=0,AD91)</f>
        <v>7</v>
      </c>
    </row>
    <row r="92" spans="1:31" x14ac:dyDescent="0.3">
      <c r="A92" s="7">
        <v>5079</v>
      </c>
      <c r="B92" s="7" t="s">
        <v>464</v>
      </c>
      <c r="C92" s="7" t="str">
        <f t="shared" si="13"/>
        <v>DIVYA TRIVEDI</v>
      </c>
      <c r="D92" s="7" t="str">
        <f t="shared" si="14"/>
        <v>Divya Trivedi</v>
      </c>
      <c r="E92" s="7" t="s">
        <v>84</v>
      </c>
      <c r="F92" s="7" t="s">
        <v>122</v>
      </c>
      <c r="G92" s="7" t="s">
        <v>91</v>
      </c>
      <c r="H92" s="7" t="str">
        <f>_xlfn.XLOOKUP(G92,Lookup_Tables!$A$4:$A$9,Lookup_Tables!$C$4:$C$9,"Not Found",0)</f>
        <v>Rajiv Kapoor</v>
      </c>
      <c r="I92" s="7" t="s">
        <v>70</v>
      </c>
      <c r="J92" s="7" t="s">
        <v>469</v>
      </c>
      <c r="K92" s="7" t="str">
        <f t="shared" si="15"/>
        <v>meenal.iyer@company.com</v>
      </c>
      <c r="L92" s="7" t="s">
        <v>470</v>
      </c>
      <c r="M92" s="7" t="str">
        <f t="shared" si="12"/>
        <v>5785335223</v>
      </c>
      <c r="N92" s="7" t="str" cm="1">
        <f t="array" ref="N92">_xlfn.IFS(M92="","Incomplete",LEN(M92)&lt;10,"Invalid",AND(LEN(M92) =10,LEFT(M92,4) &lt;&gt;"+91-"),"+91-"&amp;M92,TRUE,M92)</f>
        <v>+91-5785335223</v>
      </c>
      <c r="O92" s="8" t="s">
        <v>471</v>
      </c>
      <c r="P92" s="14" t="s">
        <v>108</v>
      </c>
      <c r="Q92" s="14" t="str">
        <f t="shared" si="16"/>
        <v>30/06/2025</v>
      </c>
      <c r="R92" s="14" cm="1">
        <f t="array" ref="R92">_xlfn.IFS(OR(Q92="Missing",Q92="N/A",Q92="Still Employed"),Q92,ISNUMBER(SEARCH(",",Q92)),DATEVALUE(Q92),AND(ISNUMBER(SEARCH("-",Q92)),ISNUMBER(VALUE(LEFT(Q92,4)))),DATE(LEFT(Q92,4),MID(Q92,6,2),RIGHT(Q92,2)),ISNUMBER(SEARCH("-",Q92)),DATE(RIGHT(Q92,4),MID(Q92,4,2),LEFT(Q92,2)),ISNUMBER(SEARCH("/",Q92)),DATE(RIGHT(Q92,4),MID(Q92,4,2),LEFT(Q92,2)),TRUE,"Check Manually")</f>
        <v>45838</v>
      </c>
      <c r="S92" s="31" t="str">
        <f t="shared" ca="1" si="20"/>
        <v>1 Years, 9 Months, 14 Days</v>
      </c>
      <c r="T92" s="31">
        <f t="shared" ca="1" si="21"/>
        <v>653.21</v>
      </c>
      <c r="U92" s="31" t="str" cm="1">
        <f t="array" ref="U92">_xlfn.IFS(OR(R92="Missing",R92="N/A",R92="Still Employed"),"Unknown",ISNUMBER(R92),"Exited",TRUE,"Unknown")</f>
        <v>Exited</v>
      </c>
      <c r="V92" s="31">
        <f t="shared" si="22"/>
        <v>2025</v>
      </c>
      <c r="W92" s="14" t="str">
        <f t="shared" si="23"/>
        <v>Exited</v>
      </c>
      <c r="X92" s="19"/>
      <c r="Y92" s="18" t="str">
        <f t="shared" si="17"/>
        <v/>
      </c>
      <c r="Z92" s="22" t="str" cm="1">
        <f t="array" ref="Z92">_xlfn.IFS(Y92="","0",LEFT(Y92,5)="",Y92,LEFT(Y92,1)="₹",REPLACE(Y92,1,1,""),LEFT(Y92,4)="Rs. ",REPLACE(Y92,1,4,""),TRUE,Y92)</f>
        <v>0</v>
      </c>
      <c r="AA92" s="22" t="str">
        <f t="shared" si="18"/>
        <v>0</v>
      </c>
      <c r="AB92" s="7" t="s">
        <v>127</v>
      </c>
      <c r="AC92" s="7" t="str">
        <f t="shared" si="19"/>
        <v>Good</v>
      </c>
      <c r="AD92" s="7">
        <v>9</v>
      </c>
      <c r="AE92" cm="1">
        <f t="array" ref="AE92">_xlfn.IFS(AD92="",0,AD92&lt;0,"Negate Leave",AD92&gt;=0,AD92)</f>
        <v>9</v>
      </c>
    </row>
    <row r="93" spans="1:31" x14ac:dyDescent="0.3">
      <c r="A93" s="7">
        <v>5110</v>
      </c>
      <c r="B93" s="7" t="s">
        <v>468</v>
      </c>
      <c r="C93" s="7" t="str">
        <f t="shared" si="13"/>
        <v>Meenal Iyer</v>
      </c>
      <c r="D93" s="7" t="str">
        <f t="shared" si="14"/>
        <v>Meenal Iyer</v>
      </c>
      <c r="E93" s="7" t="s">
        <v>61</v>
      </c>
      <c r="F93" s="7" t="s">
        <v>151</v>
      </c>
      <c r="G93" s="7" t="s">
        <v>76</v>
      </c>
      <c r="H93" s="7" t="str">
        <f>_xlfn.XLOOKUP(G93,Lookup_Tables!$A$4:$A$9,Lookup_Tables!$C$4:$C$9,"Not Found",0)</f>
        <v>Ananya Sen</v>
      </c>
      <c r="I93" s="7" t="s">
        <v>47</v>
      </c>
      <c r="J93" s="7" t="s">
        <v>473</v>
      </c>
      <c r="K93" s="7" t="str">
        <f t="shared" si="15"/>
        <v>yash.iyer@company.com</v>
      </c>
      <c r="L93" s="7"/>
      <c r="M93" s="7" t="str">
        <f t="shared" si="12"/>
        <v/>
      </c>
      <c r="N93" s="7" t="str" cm="1">
        <f t="array" ref="N93">_xlfn.IFS(M93="","Incomplete",LEN(M93)&lt;10,"Invalid",AND(LEN(M93) =10,LEFT(M93,4) &lt;&gt;"+91-"),"+91-"&amp;M93,TRUE,M93)</f>
        <v>Incomplete</v>
      </c>
      <c r="O93" s="8" t="s">
        <v>474</v>
      </c>
      <c r="P93" s="14"/>
      <c r="Q93" s="14" t="str">
        <f t="shared" si="16"/>
        <v>Missing</v>
      </c>
      <c r="R93" s="14" t="str" cm="1">
        <f t="array" ref="R93">_xlfn.IFS(OR(Q93="Missing",Q93="N/A",Q93="Still Employed"),Q93,ISNUMBER(SEARCH(",",Q93)),DATEVALUE(Q93),AND(ISNUMBER(SEARCH("-",Q93)),ISNUMBER(VALUE(LEFT(Q93,4)))),DATE(LEFT(Q93,4),MID(Q93,6,2),RIGHT(Q93,2)),ISNUMBER(SEARCH("-",Q93)),DATE(RIGHT(Q93,4),MID(Q93,4,2),LEFT(Q93,2)),ISNUMBER(SEARCH("/",Q93)),DATE(RIGHT(Q93,4),MID(Q93,4,2),LEFT(Q93,2)),TRUE,"Check Manually")</f>
        <v>Missing</v>
      </c>
      <c r="S93" s="31" t="str">
        <f t="shared" ca="1" si="20"/>
        <v>3 Years, 7 Months, 29 Days</v>
      </c>
      <c r="T93" s="31">
        <f t="shared" ca="1" si="21"/>
        <v>1337.83</v>
      </c>
      <c r="U93" s="31" t="str" cm="1">
        <f t="array" ref="U93">_xlfn.IFS(OR(R93="Missing",R93="N/A",R93="Still Employed"),"Unknown",ISNUMBER(R93),"Exited",TRUE,"Unknown")</f>
        <v>Unknown</v>
      </c>
      <c r="V93" s="31" t="str">
        <f t="shared" si="22"/>
        <v/>
      </c>
      <c r="W93" s="14" t="str">
        <f t="shared" si="23"/>
        <v>Active</v>
      </c>
      <c r="X93" s="19">
        <v>49146</v>
      </c>
      <c r="Y93" s="18" t="str">
        <f t="shared" si="17"/>
        <v>49146</v>
      </c>
      <c r="Z93" s="22" t="str" cm="1">
        <f t="array" ref="Z93">_xlfn.IFS(Y93="","0",LEFT(Y93,5)="",Y93,LEFT(Y93,1)="₹",REPLACE(Y93,1,1,""),LEFT(Y93,4)="Rs. ",REPLACE(Y93,1,4,""),TRUE,Y93)</f>
        <v>49146</v>
      </c>
      <c r="AA93" s="22" t="str">
        <f t="shared" si="18"/>
        <v>49146</v>
      </c>
      <c r="AB93" s="7" t="s">
        <v>127</v>
      </c>
      <c r="AC93" s="7" t="str">
        <f t="shared" si="19"/>
        <v>Good</v>
      </c>
      <c r="AD93" s="7">
        <v>17</v>
      </c>
      <c r="AE93" cm="1">
        <f t="array" ref="AE93">_xlfn.IFS(AD93="",0,AD93&lt;0,"Negate Leave",AD93&gt;=0,AD93)</f>
        <v>17</v>
      </c>
    </row>
    <row r="94" spans="1:31" x14ac:dyDescent="0.3">
      <c r="A94" s="7">
        <v>5051</v>
      </c>
      <c r="B94" s="7" t="s">
        <v>472</v>
      </c>
      <c r="C94" s="7" t="str">
        <f t="shared" si="13"/>
        <v>yash iyer</v>
      </c>
      <c r="D94" s="7" t="str">
        <f t="shared" si="14"/>
        <v>Yash Iyer</v>
      </c>
      <c r="E94" s="7" t="s">
        <v>68</v>
      </c>
      <c r="F94" s="7" t="s">
        <v>53</v>
      </c>
      <c r="G94" s="7" t="s">
        <v>54</v>
      </c>
      <c r="H94" s="7" t="str">
        <f>_xlfn.XLOOKUP(G94,Lookup_Tables!$A$4:$A$9,Lookup_Tables!$C$4:$C$9,"Not Found",0)</f>
        <v>Leela Iyer</v>
      </c>
      <c r="I94" s="7" t="s">
        <v>55</v>
      </c>
      <c r="J94" s="7" t="s">
        <v>476</v>
      </c>
      <c r="K94" s="7" t="str">
        <f t="shared" si="15"/>
        <v>ritu.bose@company.com</v>
      </c>
      <c r="L94" s="7" t="s">
        <v>477</v>
      </c>
      <c r="M94" s="7" t="str">
        <f t="shared" si="12"/>
        <v>+91-8781052983</v>
      </c>
      <c r="N94" s="7" t="str" cm="1">
        <f t="array" ref="N94">_xlfn.IFS(M94="","Incomplete",LEN(M94)&lt;10,"Invalid",AND(LEN(M94) =10,LEFT(M94,4) &lt;&gt;"+91-"),"+91-"&amp;M94,TRUE,M94)</f>
        <v>+91-8781052983</v>
      </c>
      <c r="O94" s="8" t="s">
        <v>478</v>
      </c>
      <c r="P94" s="14" t="s">
        <v>479</v>
      </c>
      <c r="Q94" s="14" t="str">
        <f t="shared" si="16"/>
        <v>Dec 15, 2021</v>
      </c>
      <c r="R94" s="14" cm="1">
        <f t="array" ref="R94">_xlfn.IFS(OR(Q94="Missing",Q94="N/A",Q94="Still Employed"),Q94,ISNUMBER(SEARCH(",",Q94)),DATEVALUE(Q94),AND(ISNUMBER(SEARCH("-",Q94)),ISNUMBER(VALUE(LEFT(Q94,4)))),DATE(LEFT(Q94,4),MID(Q94,6,2),RIGHT(Q94,2)),ISNUMBER(SEARCH("-",Q94)),DATE(RIGHT(Q94,4),MID(Q94,4,2),LEFT(Q94,2)),ISNUMBER(SEARCH("/",Q94)),DATE(RIGHT(Q94,4),MID(Q94,4,2),LEFT(Q94,2)),TRUE,"Check Manually")</f>
        <v>44545</v>
      </c>
      <c r="S94" s="31" t="str">
        <f t="shared" ca="1" si="20"/>
        <v>3 Years, 0 Months, 20 Days</v>
      </c>
      <c r="T94" s="31">
        <f t="shared" ca="1" si="21"/>
        <v>1115.75</v>
      </c>
      <c r="U94" s="31" t="str" cm="1">
        <f t="array" ref="U94">_xlfn.IFS(OR(R94="Missing",R94="N/A",R94="Still Employed"),"Unknown",ISNUMBER(R94),"Exited",TRUE,"Unknown")</f>
        <v>Exited</v>
      </c>
      <c r="V94" s="31">
        <f t="shared" si="22"/>
        <v>2021</v>
      </c>
      <c r="W94" s="14" t="str">
        <f t="shared" si="23"/>
        <v>Exited</v>
      </c>
      <c r="X94" s="19">
        <v>88825</v>
      </c>
      <c r="Y94" s="18" t="str">
        <f t="shared" si="17"/>
        <v>88825</v>
      </c>
      <c r="Z94" s="22" t="str" cm="1">
        <f t="array" ref="Z94">_xlfn.IFS(Y94="","0",LEFT(Y94,5)="",Y94,LEFT(Y94,1)="₹",REPLACE(Y94,1,1,""),LEFT(Y94,4)="Rs. ",REPLACE(Y94,1,4,""),TRUE,Y94)</f>
        <v>88825</v>
      </c>
      <c r="AA94" s="22" t="str">
        <f t="shared" si="18"/>
        <v>88825</v>
      </c>
      <c r="AB94" s="7" t="s">
        <v>127</v>
      </c>
      <c r="AC94" s="7" t="str">
        <f t="shared" si="19"/>
        <v>Good</v>
      </c>
      <c r="AD94" s="7">
        <v>18</v>
      </c>
      <c r="AE94" cm="1">
        <f t="array" ref="AE94">_xlfn.IFS(AD94="",0,AD94&lt;0,"Negate Leave",AD94&gt;=0,AD94)</f>
        <v>18</v>
      </c>
    </row>
    <row r="95" spans="1:31" x14ac:dyDescent="0.3">
      <c r="A95" s="7">
        <v>5291</v>
      </c>
      <c r="B95" s="7" t="s">
        <v>475</v>
      </c>
      <c r="C95" s="7" t="str">
        <f t="shared" si="13"/>
        <v>RITU BOSE</v>
      </c>
      <c r="D95" s="7" t="str">
        <f t="shared" si="14"/>
        <v>Ritu Bose</v>
      </c>
      <c r="E95" s="7" t="s">
        <v>68</v>
      </c>
      <c r="F95" s="7" t="s">
        <v>389</v>
      </c>
      <c r="G95" s="7" t="s">
        <v>140</v>
      </c>
      <c r="H95" s="7" t="str">
        <f>_xlfn.XLOOKUP(G95,Lookup_Tables!$A$4:$A$9,Lookup_Tables!$C$4:$C$9,"Not Found",0)</f>
        <v>Sunita Rao</v>
      </c>
      <c r="I95" s="7" t="s">
        <v>85</v>
      </c>
      <c r="J95" s="7"/>
      <c r="K95" s="7" t="str">
        <f t="shared" si="15"/>
        <v>No Email ID</v>
      </c>
      <c r="L95" s="7" t="s">
        <v>481</v>
      </c>
      <c r="M95" s="7" t="str">
        <f t="shared" si="12"/>
        <v>+91-3883170107</v>
      </c>
      <c r="N95" s="7" t="str" cm="1">
        <f t="array" ref="N95">_xlfn.IFS(M95="","Incomplete",LEN(M95)&lt;10,"Invalid",AND(LEN(M95) =10,LEFT(M95,4) &lt;&gt;"+91-"),"+91-"&amp;M95,TRUE,M95)</f>
        <v>+91-3883170107</v>
      </c>
      <c r="O95" s="8" t="s">
        <v>482</v>
      </c>
      <c r="P95" s="14" t="s">
        <v>126</v>
      </c>
      <c r="Q95" s="14" t="str">
        <f t="shared" si="16"/>
        <v>N/A</v>
      </c>
      <c r="R95" s="14" t="str" cm="1">
        <f t="array" ref="R95">_xlfn.IFS(OR(Q95="Missing",Q95="N/A",Q95="Still Employed"),Q95,ISNUMBER(SEARCH(",",Q95)),DATEVALUE(Q95),AND(ISNUMBER(SEARCH("-",Q95)),ISNUMBER(VALUE(LEFT(Q95,4)))),DATE(LEFT(Q95,4),MID(Q95,6,2),RIGHT(Q95,2)),ISNUMBER(SEARCH("-",Q95)),DATE(RIGHT(Q95,4),MID(Q95,4,2),LEFT(Q95,2)),ISNUMBER(SEARCH("/",Q95)),DATE(RIGHT(Q95,4),MID(Q95,4,2),LEFT(Q95,2)),TRUE,"Check Manually")</f>
        <v>N/A</v>
      </c>
      <c r="S95" s="31" t="str">
        <f t="shared" ca="1" si="20"/>
        <v>6 Years, 10 Months, 0 Days</v>
      </c>
      <c r="T95" s="31">
        <f t="shared" ca="1" si="21"/>
        <v>2495.9</v>
      </c>
      <c r="U95" s="31" t="str" cm="1">
        <f t="array" ref="U95">_xlfn.IFS(OR(R95="Missing",R95="N/A",R95="Still Employed"),"Unknown",ISNUMBER(R95),"Exited",TRUE,"Unknown")</f>
        <v>Unknown</v>
      </c>
      <c r="V95" s="31" t="str">
        <f t="shared" si="22"/>
        <v/>
      </c>
      <c r="W95" s="14" t="str">
        <f t="shared" si="23"/>
        <v>Active</v>
      </c>
      <c r="X95" s="19">
        <v>84348</v>
      </c>
      <c r="Y95" s="18" t="str">
        <f t="shared" si="17"/>
        <v>84348</v>
      </c>
      <c r="Z95" s="22" t="str" cm="1">
        <f t="array" ref="Z95">_xlfn.IFS(Y95="","0",LEFT(Y95,5)="",Y95,LEFT(Y95,1)="₹",REPLACE(Y95,1,1,""),LEFT(Y95,4)="Rs. ",REPLACE(Y95,1,4,""),TRUE,Y95)</f>
        <v>84348</v>
      </c>
      <c r="AA95" s="22" t="str">
        <f t="shared" si="18"/>
        <v>84348</v>
      </c>
      <c r="AB95" s="7" t="s">
        <v>89</v>
      </c>
      <c r="AC95" s="7" t="str">
        <f t="shared" si="19"/>
        <v>Below Average</v>
      </c>
      <c r="AD95" s="7">
        <v>-2</v>
      </c>
      <c r="AE95" t="str" cm="1">
        <f t="array" ref="AE95">_xlfn.IFS(AD95="",0,AD95&lt;0,"Negate Leave",AD95&gt;=0,AD95)</f>
        <v>Negate Leave</v>
      </c>
    </row>
    <row r="96" spans="1:31" x14ac:dyDescent="0.3">
      <c r="A96" s="7">
        <v>5035</v>
      </c>
      <c r="B96" s="7" t="s">
        <v>480</v>
      </c>
      <c r="C96" s="7" t="str">
        <f t="shared" si="13"/>
        <v>Arjun Bhatt</v>
      </c>
      <c r="D96" s="7" t="str">
        <f t="shared" si="14"/>
        <v>Arjun Bhatt</v>
      </c>
      <c r="E96" s="7" t="s">
        <v>61</v>
      </c>
      <c r="F96" s="7" t="s">
        <v>151</v>
      </c>
      <c r="G96" s="7" t="s">
        <v>76</v>
      </c>
      <c r="H96" s="7" t="str">
        <f>_xlfn.XLOOKUP(G96,Lookup_Tables!$A$4:$A$9,Lookup_Tables!$C$4:$C$9,"Not Found",0)</f>
        <v>Ananya Sen</v>
      </c>
      <c r="I96" s="7" t="s">
        <v>62</v>
      </c>
      <c r="J96" s="7" t="s">
        <v>484</v>
      </c>
      <c r="K96" s="7" t="str">
        <f t="shared" si="15"/>
        <v>tanvi.bose@company.com</v>
      </c>
      <c r="L96" s="7" t="s">
        <v>485</v>
      </c>
      <c r="M96" s="7" t="str">
        <f t="shared" si="12"/>
        <v>42990325</v>
      </c>
      <c r="N96" s="7" t="str" cm="1">
        <f t="array" ref="N96">_xlfn.IFS(M96="","Incomplete",LEN(M96)&lt;10,"Invalid",AND(LEN(M96) =10,LEFT(M96,4) &lt;&gt;"+91-"),"+91-"&amp;M96,TRUE,M96)</f>
        <v>Invalid</v>
      </c>
      <c r="O96" s="8" t="s">
        <v>486</v>
      </c>
      <c r="P96" s="14" t="s">
        <v>126</v>
      </c>
      <c r="Q96" s="14" t="str">
        <f t="shared" si="16"/>
        <v>N/A</v>
      </c>
      <c r="R96" s="14" t="str" cm="1">
        <f t="array" ref="R96">_xlfn.IFS(OR(Q96="Missing",Q96="N/A",Q96="Still Employed"),Q96,ISNUMBER(SEARCH(",",Q96)),DATEVALUE(Q96),AND(ISNUMBER(SEARCH("-",Q96)),ISNUMBER(VALUE(LEFT(Q96,4)))),DATE(LEFT(Q96,4),MID(Q96,6,2),RIGHT(Q96,2)),ISNUMBER(SEARCH("-",Q96)),DATE(RIGHT(Q96,4),MID(Q96,4,2),LEFT(Q96,2)),ISNUMBER(SEARCH("/",Q96)),DATE(RIGHT(Q96,4),MID(Q96,4,2),LEFT(Q96,2)),TRUE,"Check Manually")</f>
        <v>N/A</v>
      </c>
      <c r="S96" s="31" t="str">
        <f t="shared" ca="1" si="20"/>
        <v>3 Years, 6 Months, 9 Days</v>
      </c>
      <c r="T96" s="31">
        <f t="shared" ca="1" si="21"/>
        <v>1287.3900000000001</v>
      </c>
      <c r="U96" s="31" t="str" cm="1">
        <f t="array" ref="U96">_xlfn.IFS(OR(R96="Missing",R96="N/A",R96="Still Employed"),"Unknown",ISNUMBER(R96),"Exited",TRUE,"Unknown")</f>
        <v>Unknown</v>
      </c>
      <c r="V96" s="31" t="str">
        <f t="shared" si="22"/>
        <v/>
      </c>
      <c r="W96" s="14" t="str">
        <f t="shared" si="23"/>
        <v>Active</v>
      </c>
      <c r="X96" s="19" t="s">
        <v>487</v>
      </c>
      <c r="Y96" s="18" t="str">
        <f t="shared" si="17"/>
        <v>170,527</v>
      </c>
      <c r="Z96" s="22" t="str" cm="1">
        <f t="array" ref="Z96">_xlfn.IFS(Y96="","0",LEFT(Y96,5)="",Y96,LEFT(Y96,1)="₹",REPLACE(Y96,1,1,""),LEFT(Y96,4)="Rs. ",REPLACE(Y96,1,4,""),TRUE,Y96)</f>
        <v>170,527</v>
      </c>
      <c r="AA96" s="22" t="str">
        <f t="shared" si="18"/>
        <v>170527</v>
      </c>
      <c r="AB96" s="7" t="s">
        <v>95</v>
      </c>
      <c r="AC96" s="7" t="str">
        <f t="shared" si="19"/>
        <v>Average</v>
      </c>
      <c r="AD96" s="7">
        <v>7</v>
      </c>
      <c r="AE96" cm="1">
        <f t="array" ref="AE96">_xlfn.IFS(AD96="",0,AD96&lt;0,"Negate Leave",AD96&gt;=0,AD96)</f>
        <v>7</v>
      </c>
    </row>
    <row r="97" spans="1:31" x14ac:dyDescent="0.3">
      <c r="A97" s="7">
        <v>5108</v>
      </c>
      <c r="B97" s="7" t="s">
        <v>483</v>
      </c>
      <c r="C97" s="7" t="str">
        <f t="shared" si="13"/>
        <v>Tanvi  Bose</v>
      </c>
      <c r="D97" s="7" t="str">
        <f t="shared" si="14"/>
        <v>Tanvi Bose</v>
      </c>
      <c r="E97" s="7" t="s">
        <v>68</v>
      </c>
      <c r="F97" s="7" t="s">
        <v>219</v>
      </c>
      <c r="G97" s="7" t="s">
        <v>46</v>
      </c>
      <c r="H97" s="7" t="str">
        <f>_xlfn.XLOOKUP(G97,Lookup_Tables!$A$4:$A$9,Lookup_Tables!$C$4:$C$9,"Not Found",0)</f>
        <v>Faisal Ahmed</v>
      </c>
      <c r="I97" s="7" t="s">
        <v>175</v>
      </c>
      <c r="J97" s="7" t="s">
        <v>282</v>
      </c>
      <c r="K97" s="7" t="str">
        <f t="shared" si="15"/>
        <v>sanjay.naidu@company.com</v>
      </c>
      <c r="L97" s="7" t="s">
        <v>488</v>
      </c>
      <c r="M97" s="7" t="str">
        <f t="shared" si="12"/>
        <v>6584853715</v>
      </c>
      <c r="N97" s="7" t="str" cm="1">
        <f t="array" ref="N97">_xlfn.IFS(M97="","Incomplete",LEN(M97)&lt;10,"Invalid",AND(LEN(M97) =10,LEFT(M97,4) &lt;&gt;"+91-"),"+91-"&amp;M97,TRUE,M97)</f>
        <v>+91-6584853715</v>
      </c>
      <c r="O97" s="8" t="s">
        <v>489</v>
      </c>
      <c r="P97" s="14"/>
      <c r="Q97" s="14" t="str">
        <f t="shared" si="16"/>
        <v>Missing</v>
      </c>
      <c r="R97" s="14" t="str" cm="1">
        <f t="array" ref="R97">_xlfn.IFS(OR(Q97="Missing",Q97="N/A",Q97="Still Employed"),Q97,ISNUMBER(SEARCH(",",Q97)),DATEVALUE(Q97),AND(ISNUMBER(SEARCH("-",Q97)),ISNUMBER(VALUE(LEFT(Q97,4)))),DATE(LEFT(Q97,4),MID(Q97,6,2),RIGHT(Q97,2)),ISNUMBER(SEARCH("-",Q97)),DATE(RIGHT(Q97,4),MID(Q97,4,2),LEFT(Q97,2)),ISNUMBER(SEARCH("/",Q97)),DATE(RIGHT(Q97,4),MID(Q97,4,2),LEFT(Q97,2)),TRUE,"Check Manually")</f>
        <v>Missing</v>
      </c>
      <c r="S97" s="31" t="str">
        <f t="shared" ca="1" si="20"/>
        <v>3 Years, 8 Months, 3 Days</v>
      </c>
      <c r="T97" s="31">
        <f t="shared" ca="1" si="21"/>
        <v>1342.27</v>
      </c>
      <c r="U97" s="31" t="str" cm="1">
        <f t="array" ref="U97">_xlfn.IFS(OR(R97="Missing",R97="N/A",R97="Still Employed"),"Unknown",ISNUMBER(R97),"Exited",TRUE,"Unknown")</f>
        <v>Unknown</v>
      </c>
      <c r="V97" s="31" t="str">
        <f t="shared" si="22"/>
        <v/>
      </c>
      <c r="W97" s="14" t="str">
        <f t="shared" si="23"/>
        <v>Active</v>
      </c>
      <c r="X97" s="19" t="s">
        <v>490</v>
      </c>
      <c r="Y97" s="18" t="str">
        <f t="shared" si="17"/>
        <v>₹48,820</v>
      </c>
      <c r="Z97" s="22" t="str" cm="1">
        <f t="array" ref="Z97">_xlfn.IFS(Y97="","0",LEFT(Y97,5)="",Y97,LEFT(Y97,1)="₹",REPLACE(Y97,1,1,""),LEFT(Y97,4)="Rs. ",REPLACE(Y97,1,4,""),TRUE,Y97)</f>
        <v>48,820</v>
      </c>
      <c r="AA97" s="22" t="str">
        <f t="shared" si="18"/>
        <v>48820</v>
      </c>
      <c r="AB97" s="7" t="s">
        <v>89</v>
      </c>
      <c r="AC97" s="7" t="str">
        <f t="shared" si="19"/>
        <v>Below Average</v>
      </c>
      <c r="AD97" s="7">
        <v>17</v>
      </c>
      <c r="AE97" cm="1">
        <f t="array" ref="AE97">_xlfn.IFS(AD97="",0,AD97&lt;0,"Negate Leave",AD97&gt;=0,AD97)</f>
        <v>17</v>
      </c>
    </row>
    <row r="98" spans="1:31" x14ac:dyDescent="0.3">
      <c r="A98" s="7">
        <v>5062</v>
      </c>
      <c r="B98" s="7" t="s">
        <v>281</v>
      </c>
      <c r="C98" s="7" t="str">
        <f t="shared" si="13"/>
        <v>Sanjay Naidu</v>
      </c>
      <c r="D98" s="7" t="str">
        <f t="shared" si="14"/>
        <v>Sanjay Naidu</v>
      </c>
      <c r="E98" s="7" t="s">
        <v>61</v>
      </c>
      <c r="F98" s="7" t="s">
        <v>133</v>
      </c>
      <c r="G98" s="7" t="s">
        <v>69</v>
      </c>
      <c r="H98" s="7" t="str">
        <f>_xlfn.XLOOKUP(G98,Lookup_Tables!$A$4:$A$9,Lookup_Tables!$C$4:$C$9,"Not Found",0)</f>
        <v>Vivek Malhotra</v>
      </c>
      <c r="I98" s="7" t="s">
        <v>175</v>
      </c>
      <c r="J98" s="7" t="s">
        <v>492</v>
      </c>
      <c r="K98" s="7" t="str">
        <f t="shared" si="15"/>
        <v>pooja.verma@company.com</v>
      </c>
      <c r="L98" s="7"/>
      <c r="M98" s="7" t="str">
        <f t="shared" si="12"/>
        <v/>
      </c>
      <c r="N98" s="7" t="str" cm="1">
        <f t="array" ref="N98">_xlfn.IFS(M98="","Incomplete",LEN(M98)&lt;10,"Invalid",AND(LEN(M98) =10,LEFT(M98,4) &lt;&gt;"+91-"),"+91-"&amp;M98,TRUE,M98)</f>
        <v>Incomplete</v>
      </c>
      <c r="O98" s="8" t="s">
        <v>493</v>
      </c>
      <c r="P98" s="14" t="s">
        <v>126</v>
      </c>
      <c r="Q98" s="14" t="str">
        <f t="shared" si="16"/>
        <v>N/A</v>
      </c>
      <c r="R98" s="14" t="str" cm="1">
        <f t="array" ref="R98">_xlfn.IFS(OR(Q98="Missing",Q98="N/A",Q98="Still Employed"),Q98,ISNUMBER(SEARCH(",",Q98)),DATEVALUE(Q98),AND(ISNUMBER(SEARCH("-",Q98)),ISNUMBER(VALUE(LEFT(Q98,4)))),DATE(LEFT(Q98,4),MID(Q98,6,2),RIGHT(Q98,2)),ISNUMBER(SEARCH("-",Q98)),DATE(RIGHT(Q98,4),MID(Q98,4,2),LEFT(Q98,2)),ISNUMBER(SEARCH("/",Q98)),DATE(RIGHT(Q98,4),MID(Q98,4,2),LEFT(Q98,2)),TRUE,"Check Manually")</f>
        <v>N/A</v>
      </c>
      <c r="S98" s="31" t="str">
        <f t="shared" ca="1" si="20"/>
        <v>4 Years, 5 Months, 18 Days</v>
      </c>
      <c r="T98" s="31">
        <f t="shared" ca="1" si="21"/>
        <v>1631.2</v>
      </c>
      <c r="U98" s="31" t="str" cm="1">
        <f t="array" ref="U98">_xlfn.IFS(OR(R98="Missing",R98="N/A",R98="Still Employed"),"Unknown",ISNUMBER(R98),"Exited",TRUE,"Unknown")</f>
        <v>Unknown</v>
      </c>
      <c r="V98" s="31" t="str">
        <f t="shared" si="22"/>
        <v/>
      </c>
      <c r="W98" s="14" t="str">
        <f t="shared" si="23"/>
        <v>Active</v>
      </c>
      <c r="X98" s="19">
        <v>171669</v>
      </c>
      <c r="Y98" s="18" t="str">
        <f t="shared" si="17"/>
        <v>171669</v>
      </c>
      <c r="Z98" s="22" t="str" cm="1">
        <f t="array" ref="Z98">_xlfn.IFS(Y98="","0",LEFT(Y98,5)="",Y98,LEFT(Y98,1)="₹",REPLACE(Y98,1,1,""),LEFT(Y98,4)="Rs. ",REPLACE(Y98,1,4,""),TRUE,Y98)</f>
        <v>171669</v>
      </c>
      <c r="AA98" s="22" t="str">
        <f t="shared" si="18"/>
        <v>171669</v>
      </c>
      <c r="AB98" s="7" t="s">
        <v>144</v>
      </c>
      <c r="AC98" s="7" t="str">
        <f t="shared" si="19"/>
        <v>Poor</v>
      </c>
      <c r="AD98" s="7">
        <v>16</v>
      </c>
      <c r="AE98" cm="1">
        <f t="array" ref="AE98">_xlfn.IFS(AD98="",0,AD98&lt;0,"Negate Leave",AD98&gt;=0,AD98)</f>
        <v>16</v>
      </c>
    </row>
    <row r="99" spans="1:31" x14ac:dyDescent="0.3">
      <c r="A99" s="7">
        <v>5123</v>
      </c>
      <c r="B99" s="7" t="s">
        <v>491</v>
      </c>
      <c r="C99" s="7" t="str">
        <f t="shared" si="13"/>
        <v>Pooja Verma</v>
      </c>
      <c r="D99" s="7" t="str">
        <f t="shared" si="14"/>
        <v>Pooja Verma</v>
      </c>
      <c r="E99" s="7" t="s">
        <v>61</v>
      </c>
      <c r="F99" s="7" t="s">
        <v>389</v>
      </c>
      <c r="G99" s="7" t="s">
        <v>140</v>
      </c>
      <c r="H99" s="7" t="str">
        <f>_xlfn.XLOOKUP(G99,Lookup_Tables!$A$4:$A$9,Lookup_Tables!$C$4:$C$9,"Not Found",0)</f>
        <v>Sunita Rao</v>
      </c>
      <c r="I99" s="7" t="s">
        <v>110</v>
      </c>
      <c r="J99" s="7" t="s">
        <v>495</v>
      </c>
      <c r="K99" s="7" t="str">
        <f t="shared" si="15"/>
        <v>isha.iyer@company.com</v>
      </c>
      <c r="L99" s="7" t="s">
        <v>496</v>
      </c>
      <c r="M99" s="7" t="str">
        <f t="shared" si="12"/>
        <v>5872398026</v>
      </c>
      <c r="N99" s="7" t="str" cm="1">
        <f t="array" ref="N99">_xlfn.IFS(M99="","Incomplete",LEN(M99)&lt;10,"Invalid",AND(LEN(M99) =10,LEFT(M99,4) &lt;&gt;"+91-"),"+91-"&amp;M99,TRUE,M99)</f>
        <v>+91-5872398026</v>
      </c>
      <c r="O99" s="8" t="s">
        <v>407</v>
      </c>
      <c r="P99" s="14" t="s">
        <v>114</v>
      </c>
      <c r="Q99" s="14" t="str">
        <f t="shared" si="16"/>
        <v>Still Employed</v>
      </c>
      <c r="R99" s="14" t="str" cm="1">
        <f t="array" ref="R99">_xlfn.IFS(OR(Q99="Missing",Q99="N/A",Q99="Still Employed"),Q99,ISNUMBER(SEARCH(",",Q99)),DATEVALUE(Q99),AND(ISNUMBER(SEARCH("-",Q99)),ISNUMBER(VALUE(LEFT(Q99,4)))),DATE(LEFT(Q99,4),MID(Q99,6,2),RIGHT(Q99,2)),ISNUMBER(SEARCH("-",Q99)),DATE(RIGHT(Q99,4),MID(Q99,4,2),LEFT(Q99,2)),ISNUMBER(SEARCH("/",Q99)),DATE(RIGHT(Q99,4),MID(Q99,4,2),LEFT(Q99,2)),TRUE,"Check Manually")</f>
        <v>Still Employed</v>
      </c>
      <c r="S99" s="31" t="str">
        <f t="shared" ca="1" si="20"/>
        <v>7 Years, 10 Months, 4 Days</v>
      </c>
      <c r="T99" s="31">
        <f t="shared" ca="1" si="21"/>
        <v>2865.15</v>
      </c>
      <c r="U99" s="31" t="str" cm="1">
        <f t="array" ref="U99">_xlfn.IFS(OR(R99="Missing",R99="N/A",R99="Still Employed"),"Unknown",ISNUMBER(R99),"Exited",TRUE,"Unknown")</f>
        <v>Unknown</v>
      </c>
      <c r="V99" s="31" t="str">
        <f t="shared" si="22"/>
        <v/>
      </c>
      <c r="W99" s="14" t="str">
        <f t="shared" si="23"/>
        <v>Active</v>
      </c>
      <c r="X99" s="19" t="s">
        <v>497</v>
      </c>
      <c r="Y99" s="18" t="str">
        <f t="shared" si="17"/>
        <v>Rs. 103,930</v>
      </c>
      <c r="Z99" s="22" t="str" cm="1">
        <f t="array" ref="Z99">_xlfn.IFS(Y99="","0",LEFT(Y99,5)="",Y99,LEFT(Y99,1)="₹",REPLACE(Y99,1,1,""),LEFT(Y99,4)="Rs. ",REPLACE(Y99,1,4,""),TRUE,Y99)</f>
        <v>103,930</v>
      </c>
      <c r="AA99" s="22" t="str">
        <f t="shared" si="18"/>
        <v>103930</v>
      </c>
      <c r="AB99" s="7" t="s">
        <v>89</v>
      </c>
      <c r="AC99" s="7" t="str">
        <f t="shared" si="19"/>
        <v>Below Average</v>
      </c>
      <c r="AD99" s="7">
        <v>-1</v>
      </c>
      <c r="AE99" t="str" cm="1">
        <f t="array" ref="AE99">_xlfn.IFS(AD99="",0,AD99&lt;0,"Negate Leave",AD99&gt;=0,AD99)</f>
        <v>Negate Leave</v>
      </c>
    </row>
    <row r="100" spans="1:31" x14ac:dyDescent="0.3">
      <c r="A100" s="7">
        <v>5174</v>
      </c>
      <c r="B100" s="7" t="s">
        <v>494</v>
      </c>
      <c r="C100" s="7" t="str">
        <f t="shared" si="13"/>
        <v>Isha Iyer</v>
      </c>
      <c r="D100" s="7" t="str">
        <f t="shared" si="14"/>
        <v>Isha Iyer</v>
      </c>
      <c r="E100" s="7" t="s">
        <v>84</v>
      </c>
      <c r="F100" s="7" t="s">
        <v>389</v>
      </c>
      <c r="G100" s="7" t="s">
        <v>140</v>
      </c>
      <c r="H100" s="7" t="str">
        <f>_xlfn.XLOOKUP(G100,Lookup_Tables!$A$4:$A$9,Lookup_Tables!$C$4:$C$9,"Not Found",0)</f>
        <v>Sunita Rao</v>
      </c>
      <c r="I100" s="7" t="s">
        <v>77</v>
      </c>
      <c r="J100" s="7" t="s">
        <v>499</v>
      </c>
      <c r="K100" s="7" t="str">
        <f t="shared" si="15"/>
        <v>simran.iyer@company.com</v>
      </c>
      <c r="L100" s="7" t="s">
        <v>500</v>
      </c>
      <c r="M100" s="7" t="str">
        <f t="shared" si="12"/>
        <v>8799268767</v>
      </c>
      <c r="N100" s="7" t="str" cm="1">
        <f t="array" ref="N100">_xlfn.IFS(M100="","Incomplete",LEN(M100)&lt;10,"Invalid",AND(LEN(M100) =10,LEFT(M100,4) &lt;&gt;"+91-"),"+91-"&amp;M100,TRUE,M100)</f>
        <v>+91-8799268767</v>
      </c>
      <c r="O100" s="8" t="s">
        <v>501</v>
      </c>
      <c r="P100" s="14" t="s">
        <v>502</v>
      </c>
      <c r="Q100" s="14" t="str">
        <f t="shared" si="16"/>
        <v>2025-06-30</v>
      </c>
      <c r="R100" s="14" cm="1">
        <f t="array" ref="R100">_xlfn.IFS(OR(Q100="Missing",Q100="N/A",Q100="Still Employed"),Q100,ISNUMBER(SEARCH(",",Q100)),DATEVALUE(Q100),AND(ISNUMBER(SEARCH("-",Q100)),ISNUMBER(VALUE(LEFT(Q100,4)))),DATE(LEFT(Q100,4),MID(Q100,6,2),RIGHT(Q100,2)),ISNUMBER(SEARCH("-",Q100)),DATE(RIGHT(Q100,4),MID(Q100,4,2),LEFT(Q100,2)),ISNUMBER(SEARCH("/",Q100)),DATE(RIGHT(Q100,4),MID(Q100,4,2),LEFT(Q100,2)),TRUE,"Check Manually")</f>
        <v>45838</v>
      </c>
      <c r="S100" s="31" t="str">
        <f t="shared" ca="1" si="20"/>
        <v>1 Years, 3 Months, 15 Days</v>
      </c>
      <c r="T100" s="31">
        <f t="shared" ca="1" si="21"/>
        <v>471.57</v>
      </c>
      <c r="U100" s="31" t="str" cm="1">
        <f t="array" ref="U100">_xlfn.IFS(OR(R100="Missing",R100="N/A",R100="Still Employed"),"Unknown",ISNUMBER(R100),"Exited",TRUE,"Unknown")</f>
        <v>Exited</v>
      </c>
      <c r="V100" s="31">
        <f t="shared" si="22"/>
        <v>2025</v>
      </c>
      <c r="W100" s="14" t="str">
        <f t="shared" si="23"/>
        <v>Exited</v>
      </c>
      <c r="X100" s="19">
        <v>110055</v>
      </c>
      <c r="Y100" s="18" t="str">
        <f t="shared" si="17"/>
        <v>110055</v>
      </c>
      <c r="Z100" s="22" t="str" cm="1">
        <f t="array" ref="Z100">_xlfn.IFS(Y100="","0",LEFT(Y100,5)="",Y100,LEFT(Y100,1)="₹",REPLACE(Y100,1,1,""),LEFT(Y100,4)="Rs. ",REPLACE(Y100,1,4,""),TRUE,Y100)</f>
        <v>110055</v>
      </c>
      <c r="AA100" s="22" t="str">
        <f t="shared" si="18"/>
        <v>110055</v>
      </c>
      <c r="AB100" s="7" t="s">
        <v>89</v>
      </c>
      <c r="AC100" s="7" t="str">
        <f t="shared" si="19"/>
        <v>Below Average</v>
      </c>
      <c r="AD100" s="7">
        <v>20</v>
      </c>
      <c r="AE100" cm="1">
        <f t="array" ref="AE100">_xlfn.IFS(AD100="",0,AD100&lt;0,"Negate Leave",AD100&gt;=0,AD100)</f>
        <v>20</v>
      </c>
    </row>
    <row r="101" spans="1:31" x14ac:dyDescent="0.3">
      <c r="A101" s="7">
        <v>5220</v>
      </c>
      <c r="B101" s="7" t="s">
        <v>498</v>
      </c>
      <c r="C101" s="7" t="str">
        <f t="shared" si="13"/>
        <v>Simran Iyer</v>
      </c>
      <c r="D101" s="7" t="str">
        <f t="shared" si="14"/>
        <v>Simran Iyer</v>
      </c>
      <c r="E101" s="7" t="s">
        <v>61</v>
      </c>
      <c r="F101" s="7" t="s">
        <v>122</v>
      </c>
      <c r="G101" s="7" t="s">
        <v>91</v>
      </c>
      <c r="H101" s="7" t="str">
        <f>_xlfn.XLOOKUP(G101,Lookup_Tables!$A$4:$A$9,Lookup_Tables!$C$4:$C$9,"Not Found",0)</f>
        <v>Rajiv Kapoor</v>
      </c>
      <c r="I101" s="7" t="s">
        <v>70</v>
      </c>
      <c r="J101" s="7" t="s">
        <v>504</v>
      </c>
      <c r="K101" s="7" t="str">
        <f t="shared" si="15"/>
        <v>varun.kulkarni@company.com</v>
      </c>
      <c r="L101" s="7" t="s">
        <v>505</v>
      </c>
      <c r="M101" s="7" t="str">
        <f t="shared" si="12"/>
        <v>+91-8778006394</v>
      </c>
      <c r="N101" s="7" t="str" cm="1">
        <f t="array" ref="N101">_xlfn.IFS(M101="","Incomplete",LEN(M101)&lt;10,"Invalid",AND(LEN(M101) =10,LEFT(M101,4) &lt;&gt;"+91-"),"+91-"&amp;M101,TRUE,M101)</f>
        <v>+91-8778006394</v>
      </c>
      <c r="O101" s="8" t="s">
        <v>506</v>
      </c>
      <c r="P101" s="14" t="s">
        <v>507</v>
      </c>
      <c r="Q101" s="14" t="str">
        <f t="shared" si="16"/>
        <v>13/12/2024</v>
      </c>
      <c r="R101" s="14" cm="1">
        <f t="array" ref="R101">_xlfn.IFS(OR(Q101="Missing",Q101="N/A",Q101="Still Employed"),Q101,ISNUMBER(SEARCH(",",Q101)),DATEVALUE(Q101),AND(ISNUMBER(SEARCH("-",Q101)),ISNUMBER(VALUE(LEFT(Q101,4)))),DATE(LEFT(Q101,4),MID(Q101,6,2),RIGHT(Q101,2)),ISNUMBER(SEARCH("-",Q101)),DATE(RIGHT(Q101,4),MID(Q101,4,2),LEFT(Q101,2)),ISNUMBER(SEARCH("/",Q101)),DATE(RIGHT(Q101,4),MID(Q101,4,2),LEFT(Q101,2)),TRUE,"Check Manually")</f>
        <v>45639</v>
      </c>
      <c r="S101" s="31" t="str">
        <f t="shared" ca="1" si="20"/>
        <v>4 Years, 8 Months, 3 Days</v>
      </c>
      <c r="T101" s="31">
        <f t="shared" ca="1" si="21"/>
        <v>1707.52</v>
      </c>
      <c r="U101" s="31" t="str" cm="1">
        <f t="array" ref="U101">_xlfn.IFS(OR(R101="Missing",R101="N/A",R101="Still Employed"),"Unknown",ISNUMBER(R101),"Exited",TRUE,"Unknown")</f>
        <v>Exited</v>
      </c>
      <c r="V101" s="31">
        <f t="shared" si="22"/>
        <v>2024</v>
      </c>
      <c r="W101" s="14" t="str">
        <f t="shared" si="23"/>
        <v>Exited</v>
      </c>
      <c r="X101" s="19">
        <v>85315</v>
      </c>
      <c r="Y101" s="18" t="str">
        <f t="shared" si="17"/>
        <v>85315</v>
      </c>
      <c r="Z101" s="22" t="str" cm="1">
        <f t="array" ref="Z101">_xlfn.IFS(Y101="","0",LEFT(Y101,5)="",Y101,LEFT(Y101,1)="₹",REPLACE(Y101,1,1,""),LEFT(Y101,4)="Rs. ",REPLACE(Y101,1,4,""),TRUE,Y101)</f>
        <v>85315</v>
      </c>
      <c r="AA101" s="22" t="str">
        <f t="shared" si="18"/>
        <v>85315</v>
      </c>
      <c r="AB101" s="7" t="s">
        <v>144</v>
      </c>
      <c r="AC101" s="7" t="str">
        <f t="shared" si="19"/>
        <v>Poor</v>
      </c>
      <c r="AD101" s="7">
        <v>2</v>
      </c>
      <c r="AE101" cm="1">
        <f t="array" ref="AE101">_xlfn.IFS(AD101="",0,AD101&lt;0,"Negate Leave",AD101&gt;=0,AD101)</f>
        <v>2</v>
      </c>
    </row>
    <row r="102" spans="1:31" x14ac:dyDescent="0.3">
      <c r="A102" s="7">
        <v>5048</v>
      </c>
      <c r="B102" s="7" t="s">
        <v>503</v>
      </c>
      <c r="C102" s="7" t="str">
        <f t="shared" si="13"/>
        <v>Varun Kulkarni</v>
      </c>
      <c r="D102" s="7" t="str">
        <f t="shared" si="14"/>
        <v>Varun Kulkarni</v>
      </c>
      <c r="E102" s="7" t="s">
        <v>61</v>
      </c>
      <c r="F102" s="7" t="s">
        <v>389</v>
      </c>
      <c r="G102" s="7" t="s">
        <v>140</v>
      </c>
      <c r="H102" s="7" t="str">
        <f>_xlfn.XLOOKUP(G102,Lookup_Tables!$A$4:$A$9,Lookup_Tables!$C$4:$C$9,"Not Found",0)</f>
        <v>Sunita Rao</v>
      </c>
      <c r="I102" s="7" t="s">
        <v>62</v>
      </c>
      <c r="J102" s="7" t="s">
        <v>509</v>
      </c>
      <c r="K102" s="7" t="str">
        <f t="shared" si="15"/>
        <v>vikram.saxena@company.com</v>
      </c>
      <c r="L102" s="7"/>
      <c r="M102" s="7" t="str">
        <f t="shared" si="12"/>
        <v/>
      </c>
      <c r="N102" s="7" t="str" cm="1">
        <f t="array" ref="N102">_xlfn.IFS(M102="","Incomplete",LEN(M102)&lt;10,"Invalid",AND(LEN(M102) =10,LEFT(M102,4) &lt;&gt;"+91-"),"+91-"&amp;M102,TRUE,M102)</f>
        <v>Incomplete</v>
      </c>
      <c r="O102" s="8" t="s">
        <v>510</v>
      </c>
      <c r="P102" s="14" t="s">
        <v>114</v>
      </c>
      <c r="Q102" s="14" t="str">
        <f t="shared" si="16"/>
        <v>Still Employed</v>
      </c>
      <c r="R102" s="14" t="str" cm="1">
        <f t="array" ref="R102">_xlfn.IFS(OR(Q102="Missing",Q102="N/A",Q102="Still Employed"),Q102,ISNUMBER(SEARCH(",",Q102)),DATEVALUE(Q102),AND(ISNUMBER(SEARCH("-",Q102)),ISNUMBER(VALUE(LEFT(Q102,4)))),DATE(LEFT(Q102,4),MID(Q102,6,2),RIGHT(Q102,2)),ISNUMBER(SEARCH("-",Q102)),DATE(RIGHT(Q102,4),MID(Q102,4,2),LEFT(Q102,2)),ISNUMBER(SEARCH("/",Q102)),DATE(RIGHT(Q102,4),MID(Q102,4,2),LEFT(Q102,2)),TRUE,"Check Manually")</f>
        <v>Still Employed</v>
      </c>
      <c r="S102" s="31" t="str">
        <f t="shared" ca="1" si="20"/>
        <v>7 Years, 4 Months, 24 Days</v>
      </c>
      <c r="T102" s="31">
        <f t="shared" ca="1" si="21"/>
        <v>2702.51</v>
      </c>
      <c r="U102" s="31" t="str" cm="1">
        <f t="array" ref="U102">_xlfn.IFS(OR(R102="Missing",R102="N/A",R102="Still Employed"),"Unknown",ISNUMBER(R102),"Exited",TRUE,"Unknown")</f>
        <v>Unknown</v>
      </c>
      <c r="V102" s="31" t="str">
        <f t="shared" si="22"/>
        <v/>
      </c>
      <c r="W102" s="14" t="str">
        <f t="shared" si="23"/>
        <v>Active</v>
      </c>
      <c r="X102" s="19" t="s">
        <v>511</v>
      </c>
      <c r="Y102" s="18" t="str">
        <f t="shared" si="17"/>
        <v>Rs. 132,621</v>
      </c>
      <c r="Z102" s="22" t="str" cm="1">
        <f t="array" ref="Z102">_xlfn.IFS(Y102="","0",LEFT(Y102,5)="",Y102,LEFT(Y102,1)="₹",REPLACE(Y102,1,1,""),LEFT(Y102,4)="Rs. ",REPLACE(Y102,1,4,""),TRUE,Y102)</f>
        <v>132,621</v>
      </c>
      <c r="AA102" s="22" t="str">
        <f t="shared" si="18"/>
        <v>132621</v>
      </c>
      <c r="AB102" s="7" t="s">
        <v>127</v>
      </c>
      <c r="AC102" s="7" t="str">
        <f t="shared" si="19"/>
        <v>Good</v>
      </c>
      <c r="AD102" s="7">
        <v>4</v>
      </c>
      <c r="AE102" cm="1">
        <f t="array" ref="AE102">_xlfn.IFS(AD102="",0,AD102&lt;0,"Negate Leave",AD102&gt;=0,AD102)</f>
        <v>4</v>
      </c>
    </row>
    <row r="103" spans="1:31" x14ac:dyDescent="0.3">
      <c r="A103" s="7">
        <v>5002</v>
      </c>
      <c r="B103" s="7" t="s">
        <v>508</v>
      </c>
      <c r="C103" s="7" t="str">
        <f t="shared" si="13"/>
        <v>Vikram Saxena</v>
      </c>
      <c r="D103" s="7" t="str">
        <f t="shared" si="14"/>
        <v>Vikram Saxena</v>
      </c>
      <c r="E103" s="7" t="s">
        <v>68</v>
      </c>
      <c r="F103" s="7" t="s">
        <v>389</v>
      </c>
      <c r="G103" s="7" t="s">
        <v>140</v>
      </c>
      <c r="H103" s="7" t="str">
        <f>_xlfn.XLOOKUP(G103,Lookup_Tables!$A$4:$A$9,Lookup_Tables!$C$4:$C$9,"Not Found",0)</f>
        <v>Sunita Rao</v>
      </c>
      <c r="I103" s="7" t="s">
        <v>175</v>
      </c>
      <c r="J103" s="7" t="s">
        <v>513</v>
      </c>
      <c r="K103" s="7" t="str">
        <f t="shared" si="15"/>
        <v>arjun.iyer@company.com</v>
      </c>
      <c r="L103" s="7"/>
      <c r="M103" s="7" t="str">
        <f t="shared" si="12"/>
        <v/>
      </c>
      <c r="N103" s="7" t="str" cm="1">
        <f t="array" ref="N103">_xlfn.IFS(M103="","Incomplete",LEN(M103)&lt;10,"Invalid",AND(LEN(M103) =10,LEFT(M103,4) &lt;&gt;"+91-"),"+91-"&amp;M103,TRUE,M103)</f>
        <v>Incomplete</v>
      </c>
      <c r="O103" s="8" t="s">
        <v>514</v>
      </c>
      <c r="P103" s="14" t="s">
        <v>126</v>
      </c>
      <c r="Q103" s="14" t="str">
        <f t="shared" si="16"/>
        <v>N/A</v>
      </c>
      <c r="R103" s="14" t="str" cm="1">
        <f t="array" ref="R103">_xlfn.IFS(OR(Q103="Missing",Q103="N/A",Q103="Still Employed"),Q103,ISNUMBER(SEARCH(",",Q103)),DATEVALUE(Q103),AND(ISNUMBER(SEARCH("-",Q103)),ISNUMBER(VALUE(LEFT(Q103,4)))),DATE(LEFT(Q103,4),MID(Q103,6,2),RIGHT(Q103,2)),ISNUMBER(SEARCH("-",Q103)),DATE(RIGHT(Q103,4),MID(Q103,4,2),LEFT(Q103,2)),ISNUMBER(SEARCH("/",Q103)),DATE(RIGHT(Q103,4),MID(Q103,4,2),LEFT(Q103,2)),TRUE,"Check Manually")</f>
        <v>N/A</v>
      </c>
      <c r="S103" s="31" t="str">
        <f t="shared" ca="1" si="20"/>
        <v>7 Years, 1 Months, 19 Days</v>
      </c>
      <c r="T103" s="31">
        <f t="shared" ca="1" si="21"/>
        <v>2606.19</v>
      </c>
      <c r="U103" s="31" t="str" cm="1">
        <f t="array" ref="U103">_xlfn.IFS(OR(R103="Missing",R103="N/A",R103="Still Employed"),"Unknown",ISNUMBER(R103),"Exited",TRUE,"Unknown")</f>
        <v>Unknown</v>
      </c>
      <c r="V103" s="31" t="str">
        <f t="shared" si="22"/>
        <v/>
      </c>
      <c r="W103" s="14" t="str">
        <f t="shared" si="23"/>
        <v>Active</v>
      </c>
      <c r="X103" s="19"/>
      <c r="Y103" s="18" t="str">
        <f t="shared" si="17"/>
        <v/>
      </c>
      <c r="Z103" s="22" t="str" cm="1">
        <f t="array" ref="Z103">_xlfn.IFS(Y103="","0",LEFT(Y103,5)="",Y103,LEFT(Y103,1)="₹",REPLACE(Y103,1,1,""),LEFT(Y103,4)="Rs. ",REPLACE(Y103,1,4,""),TRUE,Y103)</f>
        <v>0</v>
      </c>
      <c r="AA103" s="22" t="str">
        <f t="shared" si="18"/>
        <v>0</v>
      </c>
      <c r="AB103" s="7" t="s">
        <v>51</v>
      </c>
      <c r="AC103" s="7" t="str">
        <f t="shared" si="19"/>
        <v>Excellent</v>
      </c>
      <c r="AD103" s="7">
        <v>12</v>
      </c>
      <c r="AE103" cm="1">
        <f t="array" ref="AE103">_xlfn.IFS(AD103="",0,AD103&lt;0,"Negate Leave",AD103&gt;=0,AD103)</f>
        <v>12</v>
      </c>
    </row>
    <row r="104" spans="1:31" x14ac:dyDescent="0.3">
      <c r="A104" s="7">
        <v>5259</v>
      </c>
      <c r="B104" s="7" t="s">
        <v>512</v>
      </c>
      <c r="C104" s="7" t="str">
        <f t="shared" si="13"/>
        <v>Arjun Iyer</v>
      </c>
      <c r="D104" s="7" t="str">
        <f t="shared" si="14"/>
        <v>Arjun Iyer</v>
      </c>
      <c r="E104" s="7" t="s">
        <v>68</v>
      </c>
      <c r="F104" s="7" t="s">
        <v>133</v>
      </c>
      <c r="G104" s="7" t="s">
        <v>69</v>
      </c>
      <c r="H104" s="7" t="str">
        <f>_xlfn.XLOOKUP(G104,Lookup_Tables!$A$4:$A$9,Lookup_Tables!$C$4:$C$9,"Not Found",0)</f>
        <v>Vivek Malhotra</v>
      </c>
      <c r="I104" s="7" t="s">
        <v>110</v>
      </c>
      <c r="J104" s="7" t="s">
        <v>516</v>
      </c>
      <c r="K104" s="7" t="str">
        <f t="shared" si="15"/>
        <v xml:space="preserve">meenal.naidu@company.com </v>
      </c>
      <c r="L104" s="7" t="s">
        <v>517</v>
      </c>
      <c r="M104" s="7" t="str">
        <f t="shared" si="12"/>
        <v>20290115</v>
      </c>
      <c r="N104" s="7" t="str" cm="1">
        <f t="array" ref="N104">_xlfn.IFS(M104="","Incomplete",LEN(M104)&lt;10,"Invalid",AND(LEN(M104) =10,LEFT(M104,4) &lt;&gt;"+91-"),"+91-"&amp;M104,TRUE,M104)</f>
        <v>Invalid</v>
      </c>
      <c r="O104" s="8" t="s">
        <v>518</v>
      </c>
      <c r="P104" s="14" t="s">
        <v>502</v>
      </c>
      <c r="Q104" s="14" t="str">
        <f t="shared" si="16"/>
        <v>2025-06-30</v>
      </c>
      <c r="R104" s="14" cm="1">
        <f t="array" ref="R104">_xlfn.IFS(OR(Q104="Missing",Q104="N/A",Q104="Still Employed"),Q104,ISNUMBER(SEARCH(",",Q104)),DATEVALUE(Q104),AND(ISNUMBER(SEARCH("-",Q104)),ISNUMBER(VALUE(LEFT(Q104,4)))),DATE(LEFT(Q104,4),MID(Q104,6,2),RIGHT(Q104,2)),ISNUMBER(SEARCH("-",Q104)),DATE(RIGHT(Q104,4),MID(Q104,4,2),LEFT(Q104,2)),ISNUMBER(SEARCH("/",Q104)),DATE(RIGHT(Q104,4),MID(Q104,4,2),LEFT(Q104,2)),TRUE,"Check Manually")</f>
        <v>45838</v>
      </c>
      <c r="S104" s="31" t="str">
        <f t="shared" ca="1" si="20"/>
        <v>1 Years, 2 Months, 7 Days</v>
      </c>
      <c r="T104" s="31">
        <f t="shared" ca="1" si="21"/>
        <v>433.13</v>
      </c>
      <c r="U104" s="31" t="str" cm="1">
        <f t="array" ref="U104">_xlfn.IFS(OR(R104="Missing",R104="N/A",R104="Still Employed"),"Unknown",ISNUMBER(R104),"Exited",TRUE,"Unknown")</f>
        <v>Exited</v>
      </c>
      <c r="V104" s="31">
        <f t="shared" si="22"/>
        <v>2025</v>
      </c>
      <c r="W104" s="14" t="str">
        <f t="shared" si="23"/>
        <v>Exited</v>
      </c>
      <c r="X104" s="19" t="s">
        <v>519</v>
      </c>
      <c r="Y104" s="18" t="str">
        <f t="shared" si="17"/>
        <v>₹159,128</v>
      </c>
      <c r="Z104" s="22" t="str" cm="1">
        <f t="array" ref="Z104">_xlfn.IFS(Y104="","0",LEFT(Y104,5)="",Y104,LEFT(Y104,1)="₹",REPLACE(Y104,1,1,""),LEFT(Y104,4)="Rs. ",REPLACE(Y104,1,4,""),TRUE,Y104)</f>
        <v>159,128</v>
      </c>
      <c r="AA104" s="22" t="str">
        <f t="shared" si="18"/>
        <v>159128</v>
      </c>
      <c r="AB104" s="7" t="s">
        <v>95</v>
      </c>
      <c r="AC104" s="7" t="str">
        <f t="shared" si="19"/>
        <v>Average</v>
      </c>
      <c r="AD104" s="7">
        <v>19</v>
      </c>
      <c r="AE104" cm="1">
        <f t="array" ref="AE104">_xlfn.IFS(AD104="",0,AD104&lt;0,"Negate Leave",AD104&gt;=0,AD104)</f>
        <v>19</v>
      </c>
    </row>
    <row r="105" spans="1:31" x14ac:dyDescent="0.3">
      <c r="A105" s="7">
        <v>5207</v>
      </c>
      <c r="B105" s="7" t="s">
        <v>515</v>
      </c>
      <c r="C105" s="7" t="str">
        <f t="shared" si="13"/>
        <v>Meenal Naidu</v>
      </c>
      <c r="D105" s="7" t="str">
        <f t="shared" si="14"/>
        <v>Meenal Naidu</v>
      </c>
      <c r="E105" s="7" t="s">
        <v>61</v>
      </c>
      <c r="F105" s="7" t="s">
        <v>53</v>
      </c>
      <c r="G105" s="7" t="s">
        <v>54</v>
      </c>
      <c r="H105" s="7" t="str">
        <f>_xlfn.XLOOKUP(G105,Lookup_Tables!$A$4:$A$9,Lookup_Tables!$C$4:$C$9,"Not Found",0)</f>
        <v>Leela Iyer</v>
      </c>
      <c r="I105" s="7" t="s">
        <v>62</v>
      </c>
      <c r="J105" s="7" t="s">
        <v>521</v>
      </c>
      <c r="K105" s="7" t="str">
        <f t="shared" si="15"/>
        <v>vikram.kapoor@company.com</v>
      </c>
      <c r="L105" s="7" t="s">
        <v>522</v>
      </c>
      <c r="M105" s="7" t="str">
        <f t="shared" si="12"/>
        <v>4901161939</v>
      </c>
      <c r="N105" s="7" t="str" cm="1">
        <f t="array" ref="N105">_xlfn.IFS(M105="","Incomplete",LEN(M105)&lt;10,"Invalid",AND(LEN(M105) =10,LEFT(M105,4) &lt;&gt;"+91-"),"+91-"&amp;M105,TRUE,M105)</f>
        <v>+91-4901161939</v>
      </c>
      <c r="O105" s="8" t="s">
        <v>523</v>
      </c>
      <c r="P105" s="14"/>
      <c r="Q105" s="14" t="str">
        <f t="shared" si="16"/>
        <v>Missing</v>
      </c>
      <c r="R105" s="14" t="str" cm="1">
        <f t="array" ref="R105">_xlfn.IFS(OR(Q105="Missing",Q105="N/A",Q105="Still Employed"),Q105,ISNUMBER(SEARCH(",",Q105)),DATEVALUE(Q105),AND(ISNUMBER(SEARCH("-",Q105)),ISNUMBER(VALUE(LEFT(Q105,4)))),DATE(LEFT(Q105,4),MID(Q105,6,2),RIGHT(Q105,2)),ISNUMBER(SEARCH("-",Q105)),DATE(RIGHT(Q105,4),MID(Q105,4,2),LEFT(Q105,2)),ISNUMBER(SEARCH("/",Q105)),DATE(RIGHT(Q105,4),MID(Q105,4,2),LEFT(Q105,2)),TRUE,"Check Manually")</f>
        <v>Missing</v>
      </c>
      <c r="S105" s="31" t="str">
        <f t="shared" ca="1" si="20"/>
        <v>5 Years, 8 Months, 23 Days</v>
      </c>
      <c r="T105" s="31">
        <f t="shared" ca="1" si="21"/>
        <v>2092.77</v>
      </c>
      <c r="U105" s="31" t="str" cm="1">
        <f t="array" ref="U105">_xlfn.IFS(OR(R105="Missing",R105="N/A",R105="Still Employed"),"Unknown",ISNUMBER(R105),"Exited",TRUE,"Unknown")</f>
        <v>Unknown</v>
      </c>
      <c r="V105" s="31" t="str">
        <f t="shared" si="22"/>
        <v/>
      </c>
      <c r="W105" s="14" t="str">
        <f t="shared" si="23"/>
        <v>Active</v>
      </c>
      <c r="X105" s="19">
        <v>47296</v>
      </c>
      <c r="Y105" s="18" t="str">
        <f t="shared" si="17"/>
        <v>47296</v>
      </c>
      <c r="Z105" s="22" t="str" cm="1">
        <f t="array" ref="Z105">_xlfn.IFS(Y105="","0",LEFT(Y105,5)="",Y105,LEFT(Y105,1)="₹",REPLACE(Y105,1,1,""),LEFT(Y105,4)="Rs. ",REPLACE(Y105,1,4,""),TRUE,Y105)</f>
        <v>47296</v>
      </c>
      <c r="AA105" s="22" t="str">
        <f t="shared" si="18"/>
        <v>47296</v>
      </c>
      <c r="AB105" s="7" t="s">
        <v>127</v>
      </c>
      <c r="AC105" s="7" t="str">
        <f t="shared" si="19"/>
        <v>Good</v>
      </c>
      <c r="AD105" s="7">
        <v>15</v>
      </c>
      <c r="AE105" cm="1">
        <f t="array" ref="AE105">_xlfn.IFS(AD105="",0,AD105&lt;0,"Negate Leave",AD105&gt;=0,AD105)</f>
        <v>15</v>
      </c>
    </row>
    <row r="106" spans="1:31" x14ac:dyDescent="0.3">
      <c r="A106" s="7">
        <v>5231</v>
      </c>
      <c r="B106" s="7" t="s">
        <v>520</v>
      </c>
      <c r="C106" s="7" t="str">
        <f t="shared" si="13"/>
        <v>Vikram Kapoor</v>
      </c>
      <c r="D106" s="7" t="str">
        <f t="shared" si="14"/>
        <v>Vikram Kapoor</v>
      </c>
      <c r="E106" s="7" t="s">
        <v>68</v>
      </c>
      <c r="F106" s="7" t="s">
        <v>122</v>
      </c>
      <c r="G106" s="7" t="s">
        <v>91</v>
      </c>
      <c r="H106" s="7" t="str">
        <f>_xlfn.XLOOKUP(G106,Lookup_Tables!$A$4:$A$9,Lookup_Tables!$C$4:$C$9,"Not Found",0)</f>
        <v>Rajiv Kapoor</v>
      </c>
      <c r="I106" s="7" t="s">
        <v>47</v>
      </c>
      <c r="J106" s="7"/>
      <c r="K106" s="7" t="str">
        <f t="shared" si="15"/>
        <v>No Email ID</v>
      </c>
      <c r="L106" s="7" t="s">
        <v>525</v>
      </c>
      <c r="M106" s="7" t="str">
        <f t="shared" si="12"/>
        <v>8694927774</v>
      </c>
      <c r="N106" s="7" t="str" cm="1">
        <f t="array" ref="N106">_xlfn.IFS(M106="","Incomplete",LEN(M106)&lt;10,"Invalid",AND(LEN(M106) =10,LEFT(M106,4) &lt;&gt;"+91-"),"+91-"&amp;M106,TRUE,M106)</f>
        <v>+91-8694927774</v>
      </c>
      <c r="O106" s="8" t="s">
        <v>526</v>
      </c>
      <c r="P106" s="14"/>
      <c r="Q106" s="14" t="str">
        <f t="shared" si="16"/>
        <v>Missing</v>
      </c>
      <c r="R106" s="14" t="str" cm="1">
        <f t="array" ref="R106">_xlfn.IFS(OR(Q106="Missing",Q106="N/A",Q106="Still Employed"),Q106,ISNUMBER(SEARCH(",",Q106)),DATEVALUE(Q106),AND(ISNUMBER(SEARCH("-",Q106)),ISNUMBER(VALUE(LEFT(Q106,4)))),DATE(LEFT(Q106,4),MID(Q106,6,2),RIGHT(Q106,2)),ISNUMBER(SEARCH("-",Q106)),DATE(RIGHT(Q106,4),MID(Q106,4,2),LEFT(Q106,2)),ISNUMBER(SEARCH("/",Q106)),DATE(RIGHT(Q106,4),MID(Q106,4,2),LEFT(Q106,2)),TRUE,"Check Manually")</f>
        <v>Missing</v>
      </c>
      <c r="S106" s="31" t="str">
        <f t="shared" ca="1" si="20"/>
        <v>6 Years, 0 Months, 24 Days</v>
      </c>
      <c r="T106" s="31">
        <f t="shared" ca="1" si="21"/>
        <v>2215.5</v>
      </c>
      <c r="U106" s="31" t="str" cm="1">
        <f t="array" ref="U106">_xlfn.IFS(OR(R106="Missing",R106="N/A",R106="Still Employed"),"Unknown",ISNUMBER(R106),"Exited",TRUE,"Unknown")</f>
        <v>Unknown</v>
      </c>
      <c r="V106" s="31" t="str">
        <f t="shared" si="22"/>
        <v/>
      </c>
      <c r="W106" s="14" t="str">
        <f t="shared" si="23"/>
        <v>Active</v>
      </c>
      <c r="X106" s="19" t="s">
        <v>527</v>
      </c>
      <c r="Y106" s="18" t="str">
        <f t="shared" si="17"/>
        <v>Rs. 110,083</v>
      </c>
      <c r="Z106" s="22" t="str" cm="1">
        <f t="array" ref="Z106">_xlfn.IFS(Y106="","0",LEFT(Y106,5)="",Y106,LEFT(Y106,1)="₹",REPLACE(Y106,1,1,""),LEFT(Y106,4)="Rs. ",REPLACE(Y106,1,4,""),TRUE,Y106)</f>
        <v>110,083</v>
      </c>
      <c r="AA106" s="22" t="str">
        <f t="shared" si="18"/>
        <v>110083</v>
      </c>
      <c r="AB106" s="7" t="s">
        <v>144</v>
      </c>
      <c r="AC106" s="7" t="str">
        <f t="shared" si="19"/>
        <v>Poor</v>
      </c>
      <c r="AD106" s="7">
        <v>17</v>
      </c>
      <c r="AE106" cm="1">
        <f t="array" ref="AE106">_xlfn.IFS(AD106="",0,AD106&lt;0,"Negate Leave",AD106&gt;=0,AD106)</f>
        <v>17</v>
      </c>
    </row>
    <row r="107" spans="1:31" x14ac:dyDescent="0.3">
      <c r="A107" s="7">
        <v>5277</v>
      </c>
      <c r="B107" s="7" t="s">
        <v>524</v>
      </c>
      <c r="C107" s="7" t="str">
        <f t="shared" si="13"/>
        <v>Pooja Chopra</v>
      </c>
      <c r="D107" s="7" t="str">
        <f t="shared" si="14"/>
        <v>Pooja Chopra</v>
      </c>
      <c r="E107" s="7" t="s">
        <v>61</v>
      </c>
      <c r="F107" s="7" t="s">
        <v>151</v>
      </c>
      <c r="G107" s="7" t="s">
        <v>76</v>
      </c>
      <c r="H107" s="7" t="str">
        <f>_xlfn.XLOOKUP(G107,Lookup_Tables!$A$4:$A$9,Lookup_Tables!$C$4:$C$9,"Not Found",0)</f>
        <v>Ananya Sen</v>
      </c>
      <c r="I107" s="7" t="s">
        <v>70</v>
      </c>
      <c r="J107" s="7" t="s">
        <v>529</v>
      </c>
      <c r="K107" s="7" t="str">
        <f t="shared" si="15"/>
        <v>rajesh.reddy@company.com</v>
      </c>
      <c r="L107" s="7" t="s">
        <v>530</v>
      </c>
      <c r="M107" s="7" t="str">
        <f t="shared" si="12"/>
        <v>8800215810</v>
      </c>
      <c r="N107" s="7" t="str" cm="1">
        <f t="array" ref="N107">_xlfn.IFS(M107="","Incomplete",LEN(M107)&lt;10,"Invalid",AND(LEN(M107) =10,LEFT(M107,4) &lt;&gt;"+91-"),"+91-"&amp;M107,TRUE,M107)</f>
        <v>+91-8800215810</v>
      </c>
      <c r="O107" s="8" t="s">
        <v>531</v>
      </c>
      <c r="P107" s="14"/>
      <c r="Q107" s="14" t="str">
        <f t="shared" si="16"/>
        <v>Missing</v>
      </c>
      <c r="R107" s="14" t="str" cm="1">
        <f t="array" ref="R107">_xlfn.IFS(OR(Q107="Missing",Q107="N/A",Q107="Still Employed"),Q107,ISNUMBER(SEARCH(",",Q107)),DATEVALUE(Q107),AND(ISNUMBER(SEARCH("-",Q107)),ISNUMBER(VALUE(LEFT(Q107,4)))),DATE(LEFT(Q107,4),MID(Q107,6,2),RIGHT(Q107,2)),ISNUMBER(SEARCH("-",Q107)),DATE(RIGHT(Q107,4),MID(Q107,4,2),LEFT(Q107,2)),ISNUMBER(SEARCH("/",Q107)),DATE(RIGHT(Q107,4),MID(Q107,4,2),LEFT(Q107,2)),TRUE,"Check Manually")</f>
        <v>Missing</v>
      </c>
      <c r="S107" s="31" t="str">
        <f t="shared" ca="1" si="20"/>
        <v>3 Years, 2 Months, 28 Days</v>
      </c>
      <c r="T107" s="31">
        <f t="shared" ca="1" si="21"/>
        <v>1184.6300000000001</v>
      </c>
      <c r="U107" s="31" t="str" cm="1">
        <f t="array" ref="U107">_xlfn.IFS(OR(R107="Missing",R107="N/A",R107="Still Employed"),"Unknown",ISNUMBER(R107),"Exited",TRUE,"Unknown")</f>
        <v>Unknown</v>
      </c>
      <c r="V107" s="31" t="str">
        <f t="shared" si="22"/>
        <v/>
      </c>
      <c r="W107" s="14" t="str">
        <f t="shared" si="23"/>
        <v>Active</v>
      </c>
      <c r="X107" s="19">
        <v>128998</v>
      </c>
      <c r="Y107" s="18" t="str">
        <f t="shared" si="17"/>
        <v>128998</v>
      </c>
      <c r="Z107" s="22" t="str" cm="1">
        <f t="array" ref="Z107">_xlfn.IFS(Y107="","0",LEFT(Y107,5)="",Y107,LEFT(Y107,1)="₹",REPLACE(Y107,1,1,""),LEFT(Y107,4)="Rs. ",REPLACE(Y107,1,4,""),TRUE,Y107)</f>
        <v>128998</v>
      </c>
      <c r="AA107" s="22" t="str">
        <f t="shared" si="18"/>
        <v>128998</v>
      </c>
      <c r="AB107" s="7" t="s">
        <v>89</v>
      </c>
      <c r="AC107" s="7" t="str">
        <f t="shared" si="19"/>
        <v>Below Average</v>
      </c>
      <c r="AD107" s="7"/>
      <c r="AE107" cm="1">
        <f t="array" ref="AE107">_xlfn.IFS(AD107="",0,AD107&lt;0,"Negate Leave",AD107&gt;=0,AD107)</f>
        <v>0</v>
      </c>
    </row>
    <row r="108" spans="1:31" x14ac:dyDescent="0.3">
      <c r="A108" s="7">
        <v>5041</v>
      </c>
      <c r="B108" s="7" t="s">
        <v>528</v>
      </c>
      <c r="C108" s="7" t="str">
        <f t="shared" si="13"/>
        <v>Rajesh  Reddy</v>
      </c>
      <c r="D108" s="7" t="str">
        <f t="shared" si="14"/>
        <v>Rajesh Reddy</v>
      </c>
      <c r="E108" s="7" t="s">
        <v>68</v>
      </c>
      <c r="F108" s="7" t="s">
        <v>389</v>
      </c>
      <c r="G108" s="7" t="s">
        <v>140</v>
      </c>
      <c r="H108" s="7" t="str">
        <f>_xlfn.XLOOKUP(G108,Lookup_Tables!$A$4:$A$9,Lookup_Tables!$C$4:$C$9,"Not Found",0)</f>
        <v>Sunita Rao</v>
      </c>
      <c r="I108" s="7" t="s">
        <v>175</v>
      </c>
      <c r="J108" s="7" t="s">
        <v>337</v>
      </c>
      <c r="K108" s="7" t="str">
        <f t="shared" si="15"/>
        <v>yash.mehta@company.com</v>
      </c>
      <c r="L108" s="7" t="s">
        <v>533</v>
      </c>
      <c r="M108" s="7" t="str">
        <f t="shared" si="12"/>
        <v>9397846950</v>
      </c>
      <c r="N108" s="7" t="str" cm="1">
        <f t="array" ref="N108">_xlfn.IFS(M108="","Incomplete",LEN(M108)&lt;10,"Invalid",AND(LEN(M108) =10,LEFT(M108,4) &lt;&gt;"+91-"),"+91-"&amp;M108,TRUE,M108)</f>
        <v>+91-9397846950</v>
      </c>
      <c r="O108" s="8" t="s">
        <v>534</v>
      </c>
      <c r="P108" s="14"/>
      <c r="Q108" s="14" t="str">
        <f t="shared" si="16"/>
        <v>Missing</v>
      </c>
      <c r="R108" s="14" t="str" cm="1">
        <f t="array" ref="R108">_xlfn.IFS(OR(Q108="Missing",Q108="N/A",Q108="Still Employed"),Q108,ISNUMBER(SEARCH(",",Q108)),DATEVALUE(Q108),AND(ISNUMBER(SEARCH("-",Q108)),ISNUMBER(VALUE(LEFT(Q108,4)))),DATE(LEFT(Q108,4),MID(Q108,6,2),RIGHT(Q108,2)),ISNUMBER(SEARCH("-",Q108)),DATE(RIGHT(Q108,4),MID(Q108,4,2),LEFT(Q108,2)),ISNUMBER(SEARCH("/",Q108)),DATE(RIGHT(Q108,4),MID(Q108,4,2),LEFT(Q108,2)),TRUE,"Check Manually")</f>
        <v>Missing</v>
      </c>
      <c r="S108" s="31" t="str">
        <f t="shared" ca="1" si="20"/>
        <v>6 Years, 3 Months, 29 Days</v>
      </c>
      <c r="T108" s="31">
        <f t="shared" ca="1" si="21"/>
        <v>2311.8200000000002</v>
      </c>
      <c r="U108" s="31" t="str" cm="1">
        <f t="array" ref="U108">_xlfn.IFS(OR(R108="Missing",R108="N/A",R108="Still Employed"),"Unknown",ISNUMBER(R108),"Exited",TRUE,"Unknown")</f>
        <v>Unknown</v>
      </c>
      <c r="V108" s="31" t="str">
        <f t="shared" si="22"/>
        <v/>
      </c>
      <c r="W108" s="14" t="str">
        <f t="shared" si="23"/>
        <v>Active</v>
      </c>
      <c r="X108" s="19"/>
      <c r="Y108" s="18" t="str">
        <f t="shared" si="17"/>
        <v/>
      </c>
      <c r="Z108" s="22" t="str" cm="1">
        <f t="array" ref="Z108">_xlfn.IFS(Y108="","0",LEFT(Y108,5)="",Y108,LEFT(Y108,1)="₹",REPLACE(Y108,1,1,""),LEFT(Y108,4)="Rs. ",REPLACE(Y108,1,4,""),TRUE,Y108)</f>
        <v>0</v>
      </c>
      <c r="AA108" s="22" t="str">
        <f t="shared" si="18"/>
        <v>0</v>
      </c>
      <c r="AB108" s="7" t="s">
        <v>95</v>
      </c>
      <c r="AC108" s="7" t="str">
        <f t="shared" si="19"/>
        <v>Average</v>
      </c>
      <c r="AD108" s="7">
        <v>25</v>
      </c>
      <c r="AE108" cm="1">
        <f t="array" ref="AE108">_xlfn.IFS(AD108="",0,AD108&lt;0,"Negate Leave",AD108&gt;=0,AD108)</f>
        <v>25</v>
      </c>
    </row>
    <row r="109" spans="1:31" x14ac:dyDescent="0.3">
      <c r="A109" s="7">
        <v>5095</v>
      </c>
      <c r="B109" s="7" t="s">
        <v>532</v>
      </c>
      <c r="C109" s="7" t="str">
        <f t="shared" si="13"/>
        <v>Yash  Mehta</v>
      </c>
      <c r="D109" s="7" t="str">
        <f t="shared" si="14"/>
        <v>Yash Mehta</v>
      </c>
      <c r="E109" s="7" t="s">
        <v>61</v>
      </c>
      <c r="F109" s="7" t="s">
        <v>53</v>
      </c>
      <c r="G109" s="7" t="s">
        <v>54</v>
      </c>
      <c r="H109" s="7" t="str">
        <f>_xlfn.XLOOKUP(G109,Lookup_Tables!$A$4:$A$9,Lookup_Tables!$C$4:$C$9,"Not Found",0)</f>
        <v>Leela Iyer</v>
      </c>
      <c r="I109" s="7" t="s">
        <v>55</v>
      </c>
      <c r="J109" s="7" t="s">
        <v>536</v>
      </c>
      <c r="K109" s="7" t="str">
        <f t="shared" si="15"/>
        <v>ritu.kulkarni@company.com</v>
      </c>
      <c r="L109" s="7" t="s">
        <v>537</v>
      </c>
      <c r="M109" s="7" t="str">
        <f t="shared" si="12"/>
        <v>8755191889</v>
      </c>
      <c r="N109" s="7" t="str" cm="1">
        <f t="array" ref="N109">_xlfn.IFS(M109="","Incomplete",LEN(M109)&lt;10,"Invalid",AND(LEN(M109) =10,LEFT(M109,4) &lt;&gt;"+91-"),"+91-"&amp;M109,TRUE,M109)</f>
        <v>+91-8755191889</v>
      </c>
      <c r="O109" s="8" t="s">
        <v>538</v>
      </c>
      <c r="P109" s="14" t="s">
        <v>114</v>
      </c>
      <c r="Q109" s="14" t="str">
        <f t="shared" si="16"/>
        <v>Still Employed</v>
      </c>
      <c r="R109" s="14" t="str" cm="1">
        <f t="array" ref="R109">_xlfn.IFS(OR(Q109="Missing",Q109="N/A",Q109="Still Employed"),Q109,ISNUMBER(SEARCH(",",Q109)),DATEVALUE(Q109),AND(ISNUMBER(SEARCH("-",Q109)),ISNUMBER(VALUE(LEFT(Q109,4)))),DATE(LEFT(Q109,4),MID(Q109,6,2),RIGHT(Q109,2)),ISNUMBER(SEARCH("-",Q109)),DATE(RIGHT(Q109,4),MID(Q109,4,2),LEFT(Q109,2)),ISNUMBER(SEARCH("/",Q109)),DATE(RIGHT(Q109,4),MID(Q109,4,2),LEFT(Q109,2)),TRUE,"Check Manually")</f>
        <v>Still Employed</v>
      </c>
      <c r="S109" s="31" t="str">
        <f t="shared" ca="1" si="20"/>
        <v>6 Years, 5 Months, 16 Days</v>
      </c>
      <c r="T109" s="31">
        <f t="shared" ca="1" si="21"/>
        <v>2359.6999999999998</v>
      </c>
      <c r="U109" s="31" t="str" cm="1">
        <f t="array" ref="U109">_xlfn.IFS(OR(R109="Missing",R109="N/A",R109="Still Employed"),"Unknown",ISNUMBER(R109),"Exited",TRUE,"Unknown")</f>
        <v>Unknown</v>
      </c>
      <c r="V109" s="31" t="str">
        <f t="shared" si="22"/>
        <v/>
      </c>
      <c r="W109" s="14" t="str">
        <f t="shared" si="23"/>
        <v>Active</v>
      </c>
      <c r="X109" s="19" t="s">
        <v>539</v>
      </c>
      <c r="Y109" s="18" t="str">
        <f t="shared" si="17"/>
        <v>₹64,236</v>
      </c>
      <c r="Z109" s="22" t="str" cm="1">
        <f t="array" ref="Z109">_xlfn.IFS(Y109="","0",LEFT(Y109,5)="",Y109,LEFT(Y109,1)="₹",REPLACE(Y109,1,1,""),LEFT(Y109,4)="Rs. ",REPLACE(Y109,1,4,""),TRUE,Y109)</f>
        <v>64,236</v>
      </c>
      <c r="AA109" s="22" t="str">
        <f t="shared" si="18"/>
        <v>64236</v>
      </c>
      <c r="AB109" s="7" t="s">
        <v>89</v>
      </c>
      <c r="AC109" s="7" t="str">
        <f t="shared" si="19"/>
        <v>Below Average</v>
      </c>
      <c r="AD109" s="7">
        <v>24</v>
      </c>
      <c r="AE109" cm="1">
        <f t="array" ref="AE109">_xlfn.IFS(AD109="",0,AD109&lt;0,"Negate Leave",AD109&gt;=0,AD109)</f>
        <v>24</v>
      </c>
    </row>
    <row r="110" spans="1:31" x14ac:dyDescent="0.3">
      <c r="A110" s="7">
        <v>5324</v>
      </c>
      <c r="B110" s="7" t="s">
        <v>535</v>
      </c>
      <c r="C110" s="7" t="str">
        <f t="shared" si="13"/>
        <v>Ritu Kulkarni</v>
      </c>
      <c r="D110" s="7" t="str">
        <f t="shared" si="14"/>
        <v>Ritu Kulkarni</v>
      </c>
      <c r="E110" s="7" t="s">
        <v>61</v>
      </c>
      <c r="F110" s="7" t="s">
        <v>219</v>
      </c>
      <c r="G110" s="7" t="s">
        <v>46</v>
      </c>
      <c r="H110" s="7" t="str">
        <f>_xlfn.XLOOKUP(G110,Lookup_Tables!$A$4:$A$9,Lookup_Tables!$C$4:$C$9,"Not Found",0)</f>
        <v>Faisal Ahmed</v>
      </c>
      <c r="I110" s="7" t="s">
        <v>55</v>
      </c>
      <c r="J110" s="7" t="s">
        <v>541</v>
      </c>
      <c r="K110" s="7" t="str">
        <f t="shared" si="15"/>
        <v>amitgupta@company.com</v>
      </c>
      <c r="L110" s="7" t="s">
        <v>542</v>
      </c>
      <c r="M110" s="7" t="str">
        <f t="shared" si="12"/>
        <v>2462858365</v>
      </c>
      <c r="N110" s="7" t="str" cm="1">
        <f t="array" ref="N110">_xlfn.IFS(M110="","Incomplete",LEN(M110)&lt;10,"Invalid",AND(LEN(M110) =10,LEFT(M110,4) &lt;&gt;"+91-"),"+91-"&amp;M110,TRUE,M110)</f>
        <v>+91-2462858365</v>
      </c>
      <c r="O110" s="8" t="s">
        <v>543</v>
      </c>
      <c r="P110" s="14"/>
      <c r="Q110" s="14" t="str">
        <f t="shared" si="16"/>
        <v>Missing</v>
      </c>
      <c r="R110" s="14" t="str" cm="1">
        <f t="array" ref="R110">_xlfn.IFS(OR(Q110="Missing",Q110="N/A",Q110="Still Employed"),Q110,ISNUMBER(SEARCH(",",Q110)),DATEVALUE(Q110),AND(ISNUMBER(SEARCH("-",Q110)),ISNUMBER(VALUE(LEFT(Q110,4)))),DATE(LEFT(Q110,4),MID(Q110,6,2),RIGHT(Q110,2)),ISNUMBER(SEARCH("-",Q110)),DATE(RIGHT(Q110,4),MID(Q110,4,2),LEFT(Q110,2)),ISNUMBER(SEARCH("/",Q110)),DATE(RIGHT(Q110,4),MID(Q110,4,2),LEFT(Q110,2)),TRUE,"Check Manually")</f>
        <v>Missing</v>
      </c>
      <c r="S110" s="31" t="str">
        <f t="shared" ca="1" si="20"/>
        <v>2 Years, 5 Months, 20 Days</v>
      </c>
      <c r="T110" s="31">
        <f t="shared" ca="1" si="21"/>
        <v>902.7</v>
      </c>
      <c r="U110" s="31" t="str" cm="1">
        <f t="array" ref="U110">_xlfn.IFS(OR(R110="Missing",R110="N/A",R110="Still Employed"),"Unknown",ISNUMBER(R110),"Exited",TRUE,"Unknown")</f>
        <v>Unknown</v>
      </c>
      <c r="V110" s="31" t="str">
        <f t="shared" si="22"/>
        <v/>
      </c>
      <c r="W110" s="14" t="str">
        <f t="shared" si="23"/>
        <v>Active</v>
      </c>
      <c r="X110" s="19">
        <v>70073</v>
      </c>
      <c r="Y110" s="18" t="str">
        <f t="shared" si="17"/>
        <v>70073</v>
      </c>
      <c r="Z110" s="22" t="str" cm="1">
        <f t="array" ref="Z110">_xlfn.IFS(Y110="","0",LEFT(Y110,5)="",Y110,LEFT(Y110,1)="₹",REPLACE(Y110,1,1,""),LEFT(Y110,4)="Rs. ",REPLACE(Y110,1,4,""),TRUE,Y110)</f>
        <v>70073</v>
      </c>
      <c r="AA110" s="22" t="str">
        <f t="shared" si="18"/>
        <v>70073</v>
      </c>
      <c r="AB110" s="7" t="s">
        <v>95</v>
      </c>
      <c r="AC110" s="7" t="str">
        <f t="shared" si="19"/>
        <v>Average</v>
      </c>
      <c r="AD110" s="7">
        <v>11</v>
      </c>
      <c r="AE110" cm="1">
        <f t="array" ref="AE110">_xlfn.IFS(AD110="",0,AD110&lt;0,"Negate Leave",AD110&gt;=0,AD110)</f>
        <v>11</v>
      </c>
    </row>
    <row r="111" spans="1:31" x14ac:dyDescent="0.3">
      <c r="A111" s="7">
        <v>5271</v>
      </c>
      <c r="B111" s="7" t="s">
        <v>540</v>
      </c>
      <c r="C111" s="7" t="str">
        <f t="shared" si="13"/>
        <v>Amit Gupta</v>
      </c>
      <c r="D111" s="7" t="str">
        <f t="shared" si="14"/>
        <v>Amit Gupta</v>
      </c>
      <c r="E111" s="7" t="s">
        <v>61</v>
      </c>
      <c r="F111" s="7" t="s">
        <v>53</v>
      </c>
      <c r="G111" s="7" t="s">
        <v>54</v>
      </c>
      <c r="H111" s="7" t="str">
        <f>_xlfn.XLOOKUP(G111,Lookup_Tables!$A$4:$A$9,Lookup_Tables!$C$4:$C$9,"Not Found",0)</f>
        <v>Leela Iyer</v>
      </c>
      <c r="I111" s="7" t="s">
        <v>85</v>
      </c>
      <c r="J111" s="7" t="s">
        <v>545</v>
      </c>
      <c r="K111" s="7" t="str">
        <f t="shared" si="15"/>
        <v>rajesh.verma@company.com</v>
      </c>
      <c r="L111" s="7" t="s">
        <v>546</v>
      </c>
      <c r="M111" s="7" t="str">
        <f t="shared" si="12"/>
        <v>+91-1577128038</v>
      </c>
      <c r="N111" s="7" t="str" cm="1">
        <f t="array" ref="N111">_xlfn.IFS(M111="","Incomplete",LEN(M111)&lt;10,"Invalid",AND(LEN(M111) =10,LEFT(M111,4) &lt;&gt;"+91-"),"+91-"&amp;M111,TRUE,M111)</f>
        <v>+91-1577128038</v>
      </c>
      <c r="O111" s="8" t="s">
        <v>547</v>
      </c>
      <c r="P111" s="14" t="s">
        <v>114</v>
      </c>
      <c r="Q111" s="14" t="str">
        <f t="shared" si="16"/>
        <v>Still Employed</v>
      </c>
      <c r="R111" s="14" t="str" cm="1">
        <f t="array" ref="R111">_xlfn.IFS(OR(Q111="Missing",Q111="N/A",Q111="Still Employed"),Q111,ISNUMBER(SEARCH(",",Q111)),DATEVALUE(Q111),AND(ISNUMBER(SEARCH("-",Q111)),ISNUMBER(VALUE(LEFT(Q111,4)))),DATE(LEFT(Q111,4),MID(Q111,6,2),RIGHT(Q111,2)),ISNUMBER(SEARCH("-",Q111)),DATE(RIGHT(Q111,4),MID(Q111,4,2),LEFT(Q111,2)),ISNUMBER(SEARCH("/",Q111)),DATE(RIGHT(Q111,4),MID(Q111,4,2),LEFT(Q111,2)),TRUE,"Check Manually")</f>
        <v>Still Employed</v>
      </c>
      <c r="S111" s="31" t="str">
        <f t="shared" ca="1" si="20"/>
        <v>6 Years, 9 Months, 21 Days</v>
      </c>
      <c r="T111" s="31">
        <f t="shared" ca="1" si="21"/>
        <v>2486.46</v>
      </c>
      <c r="U111" s="31" t="str" cm="1">
        <f t="array" ref="U111">_xlfn.IFS(OR(R111="Missing",R111="N/A",R111="Still Employed"),"Unknown",ISNUMBER(R111),"Exited",TRUE,"Unknown")</f>
        <v>Unknown</v>
      </c>
      <c r="V111" s="31" t="str">
        <f t="shared" si="22"/>
        <v/>
      </c>
      <c r="W111" s="14" t="str">
        <f t="shared" si="23"/>
        <v>Active</v>
      </c>
      <c r="X111" s="19" t="s">
        <v>548</v>
      </c>
      <c r="Y111" s="18" t="str">
        <f t="shared" si="17"/>
        <v>Rs. 112,739</v>
      </c>
      <c r="Z111" s="22" t="str" cm="1">
        <f t="array" ref="Z111">_xlfn.IFS(Y111="","0",LEFT(Y111,5)="",Y111,LEFT(Y111,1)="₹",REPLACE(Y111,1,1,""),LEFT(Y111,4)="Rs. ",REPLACE(Y111,1,4,""),TRUE,Y111)</f>
        <v>112,739</v>
      </c>
      <c r="AA111" s="22" t="str">
        <f t="shared" si="18"/>
        <v>112739</v>
      </c>
      <c r="AB111" s="7" t="s">
        <v>95</v>
      </c>
      <c r="AC111" s="7" t="str">
        <f t="shared" si="19"/>
        <v>Average</v>
      </c>
      <c r="AD111" s="7">
        <v>8</v>
      </c>
      <c r="AE111" cm="1">
        <f t="array" ref="AE111">_xlfn.IFS(AD111="",0,AD111&lt;0,"Negate Leave",AD111&gt;=0,AD111)</f>
        <v>8</v>
      </c>
    </row>
    <row r="112" spans="1:31" x14ac:dyDescent="0.3">
      <c r="A112" s="7">
        <v>5074</v>
      </c>
      <c r="B112" s="7" t="s">
        <v>544</v>
      </c>
      <c r="C112" s="7" t="str">
        <f t="shared" si="13"/>
        <v>Rajesh Verma</v>
      </c>
      <c r="D112" s="7" t="str">
        <f t="shared" si="14"/>
        <v>Rajesh Verma</v>
      </c>
      <c r="E112" s="7" t="s">
        <v>68</v>
      </c>
      <c r="F112" s="7" t="s">
        <v>122</v>
      </c>
      <c r="G112" s="7" t="s">
        <v>91</v>
      </c>
      <c r="H112" s="7" t="str">
        <f>_xlfn.XLOOKUP(G112,Lookup_Tables!$A$4:$A$9,Lookup_Tables!$C$4:$C$9,"Not Found",0)</f>
        <v>Rajiv Kapoor</v>
      </c>
      <c r="I112" s="7" t="s">
        <v>62</v>
      </c>
      <c r="J112" s="7" t="s">
        <v>550</v>
      </c>
      <c r="K112" s="7" t="str">
        <f t="shared" si="15"/>
        <v>yash.gupta@company.com</v>
      </c>
      <c r="L112" s="7" t="s">
        <v>551</v>
      </c>
      <c r="M112" s="7" t="str">
        <f t="shared" si="12"/>
        <v>1624682457</v>
      </c>
      <c r="N112" s="7" t="str" cm="1">
        <f t="array" ref="N112">_xlfn.IFS(M112="","Incomplete",LEN(M112)&lt;10,"Invalid",AND(LEN(M112) =10,LEFT(M112,4) &lt;&gt;"+91-"),"+91-"&amp;M112,TRUE,M112)</f>
        <v>+91-1624682457</v>
      </c>
      <c r="O112" s="8" t="s">
        <v>552</v>
      </c>
      <c r="P112" s="14" t="s">
        <v>108</v>
      </c>
      <c r="Q112" s="14" t="str">
        <f t="shared" si="16"/>
        <v>30/06/2025</v>
      </c>
      <c r="R112" s="14" cm="1">
        <f t="array" ref="R112">_xlfn.IFS(OR(Q112="Missing",Q112="N/A",Q112="Still Employed"),Q112,ISNUMBER(SEARCH(",",Q112)),DATEVALUE(Q112),AND(ISNUMBER(SEARCH("-",Q112)),ISNUMBER(VALUE(LEFT(Q112,4)))),DATE(LEFT(Q112,4),MID(Q112,6,2),RIGHT(Q112,2)),ISNUMBER(SEARCH("-",Q112)),DATE(RIGHT(Q112,4),MID(Q112,4,2),LEFT(Q112,2)),ISNUMBER(SEARCH("/",Q112)),DATE(RIGHT(Q112,4),MID(Q112,4,2),LEFT(Q112,2)),TRUE,"Check Manually")</f>
        <v>45838</v>
      </c>
      <c r="S112" s="31" t="str">
        <f t="shared" ca="1" si="20"/>
        <v>2 Years, 1 Months, 5 Days</v>
      </c>
      <c r="T112" s="31">
        <f t="shared" ca="1" si="21"/>
        <v>765.94</v>
      </c>
      <c r="U112" s="31" t="str" cm="1">
        <f t="array" ref="U112">_xlfn.IFS(OR(R112="Missing",R112="N/A",R112="Still Employed"),"Unknown",ISNUMBER(R112),"Exited",TRUE,"Unknown")</f>
        <v>Exited</v>
      </c>
      <c r="V112" s="31">
        <f t="shared" si="22"/>
        <v>2025</v>
      </c>
      <c r="W112" s="14" t="str">
        <f t="shared" si="23"/>
        <v>Exited</v>
      </c>
      <c r="X112" s="19">
        <v>133593</v>
      </c>
      <c r="Y112" s="18" t="str">
        <f t="shared" si="17"/>
        <v>133593</v>
      </c>
      <c r="Z112" s="22" t="str" cm="1">
        <f t="array" ref="Z112">_xlfn.IFS(Y112="","0",LEFT(Y112,5)="",Y112,LEFT(Y112,1)="₹",REPLACE(Y112,1,1,""),LEFT(Y112,4)="Rs. ",REPLACE(Y112,1,4,""),TRUE,Y112)</f>
        <v>133593</v>
      </c>
      <c r="AA112" s="22" t="str">
        <f t="shared" si="18"/>
        <v>133593</v>
      </c>
      <c r="AB112" s="7" t="s">
        <v>144</v>
      </c>
      <c r="AC112" s="7" t="str">
        <f t="shared" si="19"/>
        <v>Poor</v>
      </c>
      <c r="AD112" s="7">
        <v>16</v>
      </c>
      <c r="AE112" cm="1">
        <f t="array" ref="AE112">_xlfn.IFS(AD112="",0,AD112&lt;0,"Negate Leave",AD112&gt;=0,AD112)</f>
        <v>16</v>
      </c>
    </row>
    <row r="113" spans="1:31" x14ac:dyDescent="0.3">
      <c r="A113" s="7">
        <v>5247</v>
      </c>
      <c r="B113" s="7" t="s">
        <v>549</v>
      </c>
      <c r="C113" s="7" t="str">
        <f t="shared" si="13"/>
        <v>YASH GUPTA</v>
      </c>
      <c r="D113" s="7" t="str">
        <f t="shared" si="14"/>
        <v>Yash Gupta</v>
      </c>
      <c r="E113" s="7" t="s">
        <v>68</v>
      </c>
      <c r="F113" s="7" t="s">
        <v>219</v>
      </c>
      <c r="G113" s="7" t="s">
        <v>46</v>
      </c>
      <c r="H113" s="7" t="str">
        <f>_xlfn.XLOOKUP(G113,Lookup_Tables!$A$4:$A$9,Lookup_Tables!$C$4:$C$9,"Not Found",0)</f>
        <v>Faisal Ahmed</v>
      </c>
      <c r="I113" s="7" t="s">
        <v>55</v>
      </c>
      <c r="J113" s="7" t="s">
        <v>554</v>
      </c>
      <c r="K113" s="7" t="str">
        <f t="shared" si="15"/>
        <v>isha.rao@company.com</v>
      </c>
      <c r="L113" s="7" t="s">
        <v>555</v>
      </c>
      <c r="M113" s="7" t="str">
        <f t="shared" si="12"/>
        <v>8794898573</v>
      </c>
      <c r="N113" s="7" t="str" cm="1">
        <f t="array" ref="N113">_xlfn.IFS(M113="","Incomplete",LEN(M113)&lt;10,"Invalid",AND(LEN(M113) =10,LEFT(M113,4) &lt;&gt;"+91-"),"+91-"&amp;M113,TRUE,M113)</f>
        <v>+91-8794898573</v>
      </c>
      <c r="O113" s="8" t="s">
        <v>556</v>
      </c>
      <c r="P113" s="14" t="s">
        <v>114</v>
      </c>
      <c r="Q113" s="14" t="str">
        <f t="shared" si="16"/>
        <v>Still Employed</v>
      </c>
      <c r="R113" s="14" t="str" cm="1">
        <f t="array" ref="R113">_xlfn.IFS(OR(Q113="Missing",Q113="N/A",Q113="Still Employed"),Q113,ISNUMBER(SEARCH(",",Q113)),DATEVALUE(Q113),AND(ISNUMBER(SEARCH("-",Q113)),ISNUMBER(VALUE(LEFT(Q113,4)))),DATE(LEFT(Q113,4),MID(Q113,6,2),RIGHT(Q113,2)),ISNUMBER(SEARCH("-",Q113)),DATE(RIGHT(Q113,4),MID(Q113,4,2),LEFT(Q113,2)),ISNUMBER(SEARCH("/",Q113)),DATE(RIGHT(Q113,4),MID(Q113,4,2),LEFT(Q113,2)),TRUE,"Check Manually")</f>
        <v>Still Employed</v>
      </c>
      <c r="S113" s="31" t="str">
        <f t="shared" ca="1" si="20"/>
        <v>4 Years, 11 Months, 10 Days</v>
      </c>
      <c r="T113" s="31">
        <f t="shared" ca="1" si="21"/>
        <v>1805.8400000000001</v>
      </c>
      <c r="U113" s="31" t="str" cm="1">
        <f t="array" ref="U113">_xlfn.IFS(OR(R113="Missing",R113="N/A",R113="Still Employed"),"Unknown",ISNUMBER(R113),"Exited",TRUE,"Unknown")</f>
        <v>Unknown</v>
      </c>
      <c r="V113" s="31" t="str">
        <f t="shared" si="22"/>
        <v/>
      </c>
      <c r="W113" s="14" t="str">
        <f t="shared" si="23"/>
        <v>Active</v>
      </c>
      <c r="X113" s="19">
        <v>55491</v>
      </c>
      <c r="Y113" s="18" t="str">
        <f t="shared" si="17"/>
        <v>55491</v>
      </c>
      <c r="Z113" s="22" t="str" cm="1">
        <f t="array" ref="Z113">_xlfn.IFS(Y113="","0",LEFT(Y113,5)="",Y113,LEFT(Y113,1)="₹",REPLACE(Y113,1,1,""),LEFT(Y113,4)="Rs. ",REPLACE(Y113,1,4,""),TRUE,Y113)</f>
        <v>55491</v>
      </c>
      <c r="AA113" s="22" t="str">
        <f t="shared" si="18"/>
        <v>55491</v>
      </c>
      <c r="AB113" s="7" t="s">
        <v>51</v>
      </c>
      <c r="AC113" s="7" t="str">
        <f t="shared" si="19"/>
        <v>Excellent</v>
      </c>
      <c r="AD113" s="7">
        <v>19</v>
      </c>
      <c r="AE113" cm="1">
        <f t="array" ref="AE113">_xlfn.IFS(AD113="",0,AD113&lt;0,"Negate Leave",AD113&gt;=0,AD113)</f>
        <v>19</v>
      </c>
    </row>
    <row r="114" spans="1:31" x14ac:dyDescent="0.3">
      <c r="A114" s="7">
        <v>5276</v>
      </c>
      <c r="B114" s="7" t="s">
        <v>553</v>
      </c>
      <c r="C114" s="7" t="str">
        <f t="shared" si="13"/>
        <v>ISHA RAO</v>
      </c>
      <c r="D114" s="7" t="str">
        <f t="shared" si="14"/>
        <v>Isha Rao</v>
      </c>
      <c r="E114" s="7" t="s">
        <v>68</v>
      </c>
      <c r="F114" s="7" t="s">
        <v>151</v>
      </c>
      <c r="G114" s="7" t="s">
        <v>76</v>
      </c>
      <c r="H114" s="7" t="str">
        <f>_xlfn.XLOOKUP(G114,Lookup_Tables!$A$4:$A$9,Lookup_Tables!$C$4:$C$9,"Not Found",0)</f>
        <v>Ananya Sen</v>
      </c>
      <c r="I114" s="7" t="s">
        <v>47</v>
      </c>
      <c r="J114" s="7"/>
      <c r="K114" s="7" t="str">
        <f t="shared" si="15"/>
        <v>No Email ID</v>
      </c>
      <c r="L114" s="7" t="s">
        <v>558</v>
      </c>
      <c r="M114" s="7" t="str">
        <f t="shared" si="12"/>
        <v>6148265000</v>
      </c>
      <c r="N114" s="7" t="str" cm="1">
        <f t="array" ref="N114">_xlfn.IFS(M114="","Incomplete",LEN(M114)&lt;10,"Invalid",AND(LEN(M114) =10,LEFT(M114,4) &lt;&gt;"+91-"),"+91-"&amp;M114,TRUE,M114)</f>
        <v>+91-6148265000</v>
      </c>
      <c r="O114" s="8" t="s">
        <v>559</v>
      </c>
      <c r="P114" s="14" t="s">
        <v>108</v>
      </c>
      <c r="Q114" s="14" t="str">
        <f t="shared" si="16"/>
        <v>30/06/2025</v>
      </c>
      <c r="R114" s="14" cm="1">
        <f t="array" ref="R114">_xlfn.IFS(OR(Q114="Missing",Q114="N/A",Q114="Still Employed"),Q114,ISNUMBER(SEARCH(",",Q114)),DATEVALUE(Q114),AND(ISNUMBER(SEARCH("-",Q114)),ISNUMBER(VALUE(LEFT(Q114,4)))),DATE(LEFT(Q114,4),MID(Q114,6,2),RIGHT(Q114,2)),ISNUMBER(SEARCH("-",Q114)),DATE(RIGHT(Q114,4),MID(Q114,4,2),LEFT(Q114,2)),ISNUMBER(SEARCH("/",Q114)),DATE(RIGHT(Q114,4),MID(Q114,4,2),LEFT(Q114,2)),TRUE,"Check Manually")</f>
        <v>45838</v>
      </c>
      <c r="S114" s="31" t="str">
        <f t="shared" ca="1" si="20"/>
        <v>1 Years, 8 Months, 17 Days</v>
      </c>
      <c r="T114" s="31">
        <f t="shared" ca="1" si="21"/>
        <v>625.77</v>
      </c>
      <c r="U114" s="31" t="str" cm="1">
        <f t="array" ref="U114">_xlfn.IFS(OR(R114="Missing",R114="N/A",R114="Still Employed"),"Unknown",ISNUMBER(R114),"Exited",TRUE,"Unknown")</f>
        <v>Exited</v>
      </c>
      <c r="V114" s="31">
        <f t="shared" si="22"/>
        <v>2025</v>
      </c>
      <c r="W114" s="14" t="str">
        <f t="shared" si="23"/>
        <v>Exited</v>
      </c>
      <c r="X114" s="19">
        <v>141186</v>
      </c>
      <c r="Y114" s="18" t="str">
        <f t="shared" si="17"/>
        <v>141186</v>
      </c>
      <c r="Z114" s="22" t="str" cm="1">
        <f t="array" ref="Z114">_xlfn.IFS(Y114="","0",LEFT(Y114,5)="",Y114,LEFT(Y114,1)="₹",REPLACE(Y114,1,1,""),LEFT(Y114,4)="Rs. ",REPLACE(Y114,1,4,""),TRUE,Y114)</f>
        <v>141186</v>
      </c>
      <c r="AA114" s="22" t="str">
        <f t="shared" si="18"/>
        <v>141186</v>
      </c>
      <c r="AB114" s="7" t="s">
        <v>127</v>
      </c>
      <c r="AC114" s="7" t="str">
        <f t="shared" si="19"/>
        <v>Good</v>
      </c>
      <c r="AD114" s="7">
        <v>20</v>
      </c>
      <c r="AE114" cm="1">
        <f t="array" ref="AE114">_xlfn.IFS(AD114="",0,AD114&lt;0,"Negate Leave",AD114&gt;=0,AD114)</f>
        <v>20</v>
      </c>
    </row>
    <row r="115" spans="1:31" x14ac:dyDescent="0.3">
      <c r="A115" s="7">
        <v>5202</v>
      </c>
      <c r="B115" s="7" t="s">
        <v>557</v>
      </c>
      <c r="C115" s="7" t="str">
        <f t="shared" si="13"/>
        <v>Sneha Reddy</v>
      </c>
      <c r="D115" s="7" t="str">
        <f t="shared" si="14"/>
        <v>Sneha Reddy</v>
      </c>
      <c r="E115" s="7" t="s">
        <v>68</v>
      </c>
      <c r="F115" s="7" t="s">
        <v>219</v>
      </c>
      <c r="G115" s="7" t="s">
        <v>46</v>
      </c>
      <c r="H115" s="7" t="str">
        <f>_xlfn.XLOOKUP(G115,Lookup_Tables!$A$4:$A$9,Lookup_Tables!$C$4:$C$9,"Not Found",0)</f>
        <v>Faisal Ahmed</v>
      </c>
      <c r="I115" s="7" t="s">
        <v>70</v>
      </c>
      <c r="J115" s="7"/>
      <c r="K115" s="7" t="str">
        <f t="shared" si="15"/>
        <v>No Email ID</v>
      </c>
      <c r="L115" s="7" t="s">
        <v>561</v>
      </c>
      <c r="M115" s="7" t="str">
        <f t="shared" si="12"/>
        <v>+91-3069303130</v>
      </c>
      <c r="N115" s="7" t="str" cm="1">
        <f t="array" ref="N115">_xlfn.IFS(M115="","Incomplete",LEN(M115)&lt;10,"Invalid",AND(LEN(M115) =10,LEFT(M115,4) &lt;&gt;"+91-"),"+91-"&amp;M115,TRUE,M115)</f>
        <v>+91-3069303130</v>
      </c>
      <c r="O115" s="8" t="s">
        <v>263</v>
      </c>
      <c r="P115" s="14"/>
      <c r="Q115" s="14" t="str">
        <f t="shared" si="16"/>
        <v>Missing</v>
      </c>
      <c r="R115" s="14" t="str" cm="1">
        <f t="array" ref="R115">_xlfn.IFS(OR(Q115="Missing",Q115="N/A",Q115="Still Employed"),Q115,ISNUMBER(SEARCH(",",Q115)),DATEVALUE(Q115),AND(ISNUMBER(SEARCH("-",Q115)),ISNUMBER(VALUE(LEFT(Q115,4)))),DATE(LEFT(Q115,4),MID(Q115,6,2),RIGHT(Q115,2)),ISNUMBER(SEARCH("-",Q115)),DATE(RIGHT(Q115,4),MID(Q115,4,2),LEFT(Q115,2)),ISNUMBER(SEARCH("/",Q115)),DATE(RIGHT(Q115,4),MID(Q115,4,2),LEFT(Q115,2)),TRUE,"Check Manually")</f>
        <v>Missing</v>
      </c>
      <c r="S115" s="31" t="str">
        <f t="shared" ca="1" si="20"/>
        <v>3 Years, 3 Months, 4 Days</v>
      </c>
      <c r="T115" s="31">
        <f t="shared" ca="1" si="21"/>
        <v>1191.07</v>
      </c>
      <c r="U115" s="31" t="str" cm="1">
        <f t="array" ref="U115">_xlfn.IFS(OR(R115="Missing",R115="N/A",R115="Still Employed"),"Unknown",ISNUMBER(R115),"Exited",TRUE,"Unknown")</f>
        <v>Unknown</v>
      </c>
      <c r="V115" s="31" t="str">
        <f t="shared" si="22"/>
        <v/>
      </c>
      <c r="W115" s="14" t="str">
        <f t="shared" si="23"/>
        <v>Active</v>
      </c>
      <c r="X115" s="19"/>
      <c r="Y115" s="18" t="str">
        <f t="shared" si="17"/>
        <v/>
      </c>
      <c r="Z115" s="22" t="str" cm="1">
        <f t="array" ref="Z115">_xlfn.IFS(Y115="","0",LEFT(Y115,5)="",Y115,LEFT(Y115,1)="₹",REPLACE(Y115,1,1,""),LEFT(Y115,4)="Rs. ",REPLACE(Y115,1,4,""),TRUE,Y115)</f>
        <v>0</v>
      </c>
      <c r="AA115" s="22" t="str">
        <f t="shared" si="18"/>
        <v>0</v>
      </c>
      <c r="AB115" s="7"/>
      <c r="AC115" s="7" t="str">
        <f t="shared" si="19"/>
        <v>Not Rated</v>
      </c>
      <c r="AD115" s="7">
        <v>4</v>
      </c>
      <c r="AE115" cm="1">
        <f t="array" ref="AE115">_xlfn.IFS(AD115="",0,AD115&lt;0,"Negate Leave",AD115&gt;=0,AD115)</f>
        <v>4</v>
      </c>
    </row>
    <row r="116" spans="1:31" x14ac:dyDescent="0.3">
      <c r="A116" s="7">
        <v>5154</v>
      </c>
      <c r="B116" s="7" t="s">
        <v>560</v>
      </c>
      <c r="C116" s="7" t="str">
        <f t="shared" si="13"/>
        <v>Kirti Naidu</v>
      </c>
      <c r="D116" s="7" t="str">
        <f t="shared" si="14"/>
        <v>Kirti Naidu</v>
      </c>
      <c r="E116" s="7" t="s">
        <v>68</v>
      </c>
      <c r="F116" s="7" t="s">
        <v>122</v>
      </c>
      <c r="G116" s="7" t="s">
        <v>91</v>
      </c>
      <c r="H116" s="7" t="str">
        <f>_xlfn.XLOOKUP(G116,Lookup_Tables!$A$4:$A$9,Lookup_Tables!$C$4:$C$9,"Not Found",0)</f>
        <v>Rajiv Kapoor</v>
      </c>
      <c r="I116" s="7" t="s">
        <v>110</v>
      </c>
      <c r="J116" s="7" t="s">
        <v>563</v>
      </c>
      <c r="K116" s="7" t="str">
        <f t="shared" si="15"/>
        <v>simran.shah@company.com</v>
      </c>
      <c r="L116" s="7" t="s">
        <v>564</v>
      </c>
      <c r="M116" s="7" t="str">
        <f t="shared" si="12"/>
        <v>6017553715</v>
      </c>
      <c r="N116" s="7" t="str" cm="1">
        <f t="array" ref="N116">_xlfn.IFS(M116="","Incomplete",LEN(M116)&lt;10,"Invalid",AND(LEN(M116) =10,LEFT(M116,4) &lt;&gt;"+91-"),"+91-"&amp;M116,TRUE,M116)</f>
        <v>+91-6017553715</v>
      </c>
      <c r="O116" s="8" t="s">
        <v>565</v>
      </c>
      <c r="P116" s="14" t="s">
        <v>566</v>
      </c>
      <c r="Q116" s="14" t="str">
        <f t="shared" si="16"/>
        <v>2021-06-27</v>
      </c>
      <c r="R116" s="14" cm="1">
        <f t="array" ref="R116">_xlfn.IFS(OR(Q116="Missing",Q116="N/A",Q116="Still Employed"),Q116,ISNUMBER(SEARCH(",",Q116)),DATEVALUE(Q116),AND(ISNUMBER(SEARCH("-",Q116)),ISNUMBER(VALUE(LEFT(Q116,4)))),DATE(LEFT(Q116,4),MID(Q116,6,2),RIGHT(Q116,2)),ISNUMBER(SEARCH("-",Q116)),DATE(RIGHT(Q116,4),MID(Q116,4,2),LEFT(Q116,2)),ISNUMBER(SEARCH("/",Q116)),DATE(RIGHT(Q116,4),MID(Q116,4,2),LEFT(Q116,2)),TRUE,"Check Manually")</f>
        <v>44374</v>
      </c>
      <c r="S116" s="31" t="str">
        <f t="shared" ca="1" si="20"/>
        <v>1 Years, 8 Months, 22 Days</v>
      </c>
      <c r="T116" s="31">
        <f t="shared" ca="1" si="21"/>
        <v>630.77</v>
      </c>
      <c r="U116" s="31" t="str" cm="1">
        <f t="array" ref="U116">_xlfn.IFS(OR(R116="Missing",R116="N/A",R116="Still Employed"),"Unknown",ISNUMBER(R116),"Exited",TRUE,"Unknown")</f>
        <v>Exited</v>
      </c>
      <c r="V116" s="31">
        <f t="shared" si="22"/>
        <v>2021</v>
      </c>
      <c r="W116" s="14" t="str">
        <f t="shared" si="23"/>
        <v>Exited</v>
      </c>
      <c r="X116" s="19"/>
      <c r="Y116" s="18" t="str">
        <f t="shared" si="17"/>
        <v/>
      </c>
      <c r="Z116" s="22" t="str" cm="1">
        <f t="array" ref="Z116">_xlfn.IFS(Y116="","0",LEFT(Y116,5)="",Y116,LEFT(Y116,1)="₹",REPLACE(Y116,1,1,""),LEFT(Y116,4)="Rs. ",REPLACE(Y116,1,4,""),TRUE,Y116)</f>
        <v>0</v>
      </c>
      <c r="AA116" s="22" t="str">
        <f t="shared" si="18"/>
        <v>0</v>
      </c>
      <c r="AB116" s="7" t="s">
        <v>51</v>
      </c>
      <c r="AC116" s="7" t="str">
        <f t="shared" si="19"/>
        <v>Excellent</v>
      </c>
      <c r="AD116" s="7">
        <v>11</v>
      </c>
      <c r="AE116" cm="1">
        <f t="array" ref="AE116">_xlfn.IFS(AD116="",0,AD116&lt;0,"Negate Leave",AD116&gt;=0,AD116)</f>
        <v>11</v>
      </c>
    </row>
    <row r="117" spans="1:31" x14ac:dyDescent="0.3">
      <c r="A117" s="7">
        <v>5073</v>
      </c>
      <c r="B117" s="7" t="s">
        <v>562</v>
      </c>
      <c r="C117" s="7" t="str">
        <f t="shared" si="13"/>
        <v>SIMRAN SHAH</v>
      </c>
      <c r="D117" s="7" t="str">
        <f t="shared" si="14"/>
        <v>Simran Shah</v>
      </c>
      <c r="E117" s="7" t="s">
        <v>68</v>
      </c>
      <c r="F117" s="7" t="s">
        <v>53</v>
      </c>
      <c r="G117" s="7" t="s">
        <v>54</v>
      </c>
      <c r="H117" s="7" t="str">
        <f>_xlfn.XLOOKUP(G117,Lookup_Tables!$A$4:$A$9,Lookup_Tables!$C$4:$C$9,"Not Found",0)</f>
        <v>Leela Iyer</v>
      </c>
      <c r="I117" s="7" t="s">
        <v>85</v>
      </c>
      <c r="J117" s="7" t="s">
        <v>513</v>
      </c>
      <c r="K117" s="7" t="str">
        <f t="shared" si="15"/>
        <v>arjun.iyer@company.com</v>
      </c>
      <c r="L117" s="7" t="s">
        <v>567</v>
      </c>
      <c r="M117" s="7" t="str">
        <f t="shared" si="12"/>
        <v>2420556073</v>
      </c>
      <c r="N117" s="7" t="str" cm="1">
        <f t="array" ref="N117">_xlfn.IFS(M117="","Incomplete",LEN(M117)&lt;10,"Invalid",AND(LEN(M117) =10,LEFT(M117,4) &lt;&gt;"+91-"),"+91-"&amp;M117,TRUE,M117)</f>
        <v>+91-2420556073</v>
      </c>
      <c r="O117" s="8" t="s">
        <v>568</v>
      </c>
      <c r="P117" s="14" t="s">
        <v>114</v>
      </c>
      <c r="Q117" s="14" t="str">
        <f t="shared" si="16"/>
        <v>Still Employed</v>
      </c>
      <c r="R117" s="14" t="str" cm="1">
        <f t="array" ref="R117">_xlfn.IFS(OR(Q117="Missing",Q117="N/A",Q117="Still Employed"),Q117,ISNUMBER(SEARCH(",",Q117)),DATEVALUE(Q117),AND(ISNUMBER(SEARCH("-",Q117)),ISNUMBER(VALUE(LEFT(Q117,4)))),DATE(LEFT(Q117,4),MID(Q117,6,2),RIGHT(Q117,2)),ISNUMBER(SEARCH("-",Q117)),DATE(RIGHT(Q117,4),MID(Q117,4,2),LEFT(Q117,2)),ISNUMBER(SEARCH("/",Q117)),DATE(RIGHT(Q117,4),MID(Q117,4,2),LEFT(Q117,2)),TRUE,"Check Manually")</f>
        <v>Still Employed</v>
      </c>
      <c r="S117" s="31" t="str">
        <f t="shared" ca="1" si="20"/>
        <v>5 Years, 3 Months, 24 Days</v>
      </c>
      <c r="T117" s="31">
        <f t="shared" ca="1" si="21"/>
        <v>1941.57</v>
      </c>
      <c r="U117" s="31" t="str" cm="1">
        <f t="array" ref="U117">_xlfn.IFS(OR(R117="Missing",R117="N/A",R117="Still Employed"),"Unknown",ISNUMBER(R117),"Exited",TRUE,"Unknown")</f>
        <v>Unknown</v>
      </c>
      <c r="V117" s="31" t="str">
        <f t="shared" si="22"/>
        <v/>
      </c>
      <c r="W117" s="14" t="str">
        <f t="shared" si="23"/>
        <v>Active</v>
      </c>
      <c r="X117" s="19">
        <v>109020</v>
      </c>
      <c r="Y117" s="18" t="str">
        <f t="shared" si="17"/>
        <v>109020</v>
      </c>
      <c r="Z117" s="22" t="str" cm="1">
        <f t="array" ref="Z117">_xlfn.IFS(Y117="","0",LEFT(Y117,5)="",Y117,LEFT(Y117,1)="₹",REPLACE(Y117,1,1,""),LEFT(Y117,4)="Rs. ",REPLACE(Y117,1,4,""),TRUE,Y117)</f>
        <v>109020</v>
      </c>
      <c r="AA117" s="22" t="str">
        <f t="shared" si="18"/>
        <v>109020</v>
      </c>
      <c r="AB117" s="7" t="s">
        <v>51</v>
      </c>
      <c r="AC117" s="7" t="str">
        <f t="shared" si="19"/>
        <v>Excellent</v>
      </c>
      <c r="AD117" s="7">
        <v>0</v>
      </c>
      <c r="AE117" cm="1">
        <f t="array" ref="AE117">_xlfn.IFS(AD117="",0,AD117&lt;0,"Negate Leave",AD117&gt;=0,AD117)</f>
        <v>0</v>
      </c>
    </row>
    <row r="118" spans="1:31" x14ac:dyDescent="0.3">
      <c r="A118" s="7">
        <v>5094</v>
      </c>
      <c r="B118" s="7" t="s">
        <v>512</v>
      </c>
      <c r="C118" s="7" t="str">
        <f t="shared" si="13"/>
        <v>Arjun Iyer</v>
      </c>
      <c r="D118" s="7" t="str">
        <f t="shared" si="14"/>
        <v>Arjun Iyer</v>
      </c>
      <c r="E118" s="7" t="s">
        <v>68</v>
      </c>
      <c r="F118" s="7" t="s">
        <v>219</v>
      </c>
      <c r="G118" s="7" t="s">
        <v>46</v>
      </c>
      <c r="H118" s="7" t="str">
        <f>_xlfn.XLOOKUP(G118,Lookup_Tables!$A$4:$A$9,Lookup_Tables!$C$4:$C$9,"Not Found",0)</f>
        <v>Faisal Ahmed</v>
      </c>
      <c r="I118" s="7" t="s">
        <v>85</v>
      </c>
      <c r="J118" s="7" t="s">
        <v>570</v>
      </c>
      <c r="K118" s="7" t="str">
        <f t="shared" si="15"/>
        <v>rohan.pillai@company.com</v>
      </c>
      <c r="L118" s="7"/>
      <c r="M118" s="7" t="str">
        <f t="shared" si="12"/>
        <v/>
      </c>
      <c r="N118" s="7" t="str" cm="1">
        <f t="array" ref="N118">_xlfn.IFS(M118="","Incomplete",LEN(M118)&lt;10,"Invalid",AND(LEN(M118) =10,LEFT(M118,4) &lt;&gt;"+91-"),"+91-"&amp;M118,TRUE,M118)</f>
        <v>Incomplete</v>
      </c>
      <c r="O118" s="8" t="s">
        <v>571</v>
      </c>
      <c r="P118" s="14"/>
      <c r="Q118" s="14" t="str">
        <f t="shared" si="16"/>
        <v>Missing</v>
      </c>
      <c r="R118" s="14" t="str" cm="1">
        <f t="array" ref="R118">_xlfn.IFS(OR(Q118="Missing",Q118="N/A",Q118="Still Employed"),Q118,ISNUMBER(SEARCH(",",Q118)),DATEVALUE(Q118),AND(ISNUMBER(SEARCH("-",Q118)),ISNUMBER(VALUE(LEFT(Q118,4)))),DATE(LEFT(Q118,4),MID(Q118,6,2),RIGHT(Q118,2)),ISNUMBER(SEARCH("-",Q118)),DATE(RIGHT(Q118,4),MID(Q118,4,2),LEFT(Q118,2)),ISNUMBER(SEARCH("/",Q118)),DATE(RIGHT(Q118,4),MID(Q118,4,2),LEFT(Q118,2)),TRUE,"Check Manually")</f>
        <v>Missing</v>
      </c>
      <c r="S118" s="31" t="str">
        <f t="shared" ca="1" si="20"/>
        <v>2 Years, 3 Months, 18 Days</v>
      </c>
      <c r="T118" s="31">
        <f t="shared" ca="1" si="21"/>
        <v>839.82</v>
      </c>
      <c r="U118" s="31" t="str" cm="1">
        <f t="array" ref="U118">_xlfn.IFS(OR(R118="Missing",R118="N/A",R118="Still Employed"),"Unknown",ISNUMBER(R118),"Exited",TRUE,"Unknown")</f>
        <v>Unknown</v>
      </c>
      <c r="V118" s="31" t="str">
        <f t="shared" si="22"/>
        <v/>
      </c>
      <c r="W118" s="14" t="str">
        <f t="shared" si="23"/>
        <v>Active</v>
      </c>
      <c r="X118" s="19">
        <v>117753</v>
      </c>
      <c r="Y118" s="18" t="str">
        <f t="shared" si="17"/>
        <v>117753</v>
      </c>
      <c r="Z118" s="22" t="str" cm="1">
        <f t="array" ref="Z118">_xlfn.IFS(Y118="","0",LEFT(Y118,5)="",Y118,LEFT(Y118,1)="₹",REPLACE(Y118,1,1,""),LEFT(Y118,4)="Rs. ",REPLACE(Y118,1,4,""),TRUE,Y118)</f>
        <v>117753</v>
      </c>
      <c r="AA118" s="22" t="str">
        <f t="shared" si="18"/>
        <v>117753</v>
      </c>
      <c r="AB118" s="7" t="s">
        <v>51</v>
      </c>
      <c r="AC118" s="7" t="str">
        <f t="shared" si="19"/>
        <v>Excellent</v>
      </c>
      <c r="AD118" s="7">
        <v>22</v>
      </c>
      <c r="AE118" cm="1">
        <f t="array" ref="AE118">_xlfn.IFS(AD118="",0,AD118&lt;0,"Negate Leave",AD118&gt;=0,AD118)</f>
        <v>22</v>
      </c>
    </row>
    <row r="119" spans="1:31" x14ac:dyDescent="0.3">
      <c r="A119" s="7">
        <v>5151</v>
      </c>
      <c r="B119" s="7" t="s">
        <v>569</v>
      </c>
      <c r="C119" s="7" t="str">
        <f t="shared" si="13"/>
        <v>Rohan Pillai</v>
      </c>
      <c r="D119" s="7" t="str">
        <f t="shared" si="14"/>
        <v>Rohan Pillai</v>
      </c>
      <c r="E119" s="7" t="s">
        <v>84</v>
      </c>
      <c r="F119" s="7" t="s">
        <v>151</v>
      </c>
      <c r="G119" s="7" t="s">
        <v>76</v>
      </c>
      <c r="H119" s="7" t="str">
        <f>_xlfn.XLOOKUP(G119,Lookup_Tables!$A$4:$A$9,Lookup_Tables!$C$4:$C$9,"Not Found",0)</f>
        <v>Ananya Sen</v>
      </c>
      <c r="I119" s="7" t="s">
        <v>62</v>
      </c>
      <c r="J119" s="7" t="s">
        <v>573</v>
      </c>
      <c r="K119" s="7" t="str">
        <f t="shared" si="15"/>
        <v>arjun.verma@company.com</v>
      </c>
      <c r="L119" s="7" t="s">
        <v>574</v>
      </c>
      <c r="M119" s="7" t="str">
        <f t="shared" si="12"/>
        <v>4259472487</v>
      </c>
      <c r="N119" s="7" t="str" cm="1">
        <f t="array" ref="N119">_xlfn.IFS(M119="","Incomplete",LEN(M119)&lt;10,"Invalid",AND(LEN(M119) =10,LEFT(M119,4) &lt;&gt;"+91-"),"+91-"&amp;M119,TRUE,M119)</f>
        <v>+91-4259472487</v>
      </c>
      <c r="O119" s="8" t="s">
        <v>575</v>
      </c>
      <c r="P119" s="14" t="s">
        <v>114</v>
      </c>
      <c r="Q119" s="14" t="str">
        <f t="shared" si="16"/>
        <v>Still Employed</v>
      </c>
      <c r="R119" s="14" t="str" cm="1">
        <f t="array" ref="R119">_xlfn.IFS(OR(Q119="Missing",Q119="N/A",Q119="Still Employed"),Q119,ISNUMBER(SEARCH(",",Q119)),DATEVALUE(Q119),AND(ISNUMBER(SEARCH("-",Q119)),ISNUMBER(VALUE(LEFT(Q119,4)))),DATE(LEFT(Q119,4),MID(Q119,6,2),RIGHT(Q119,2)),ISNUMBER(SEARCH("-",Q119)),DATE(RIGHT(Q119,4),MID(Q119,4,2),LEFT(Q119,2)),ISNUMBER(SEARCH("/",Q119)),DATE(RIGHT(Q119,4),MID(Q119,4,2),LEFT(Q119,2)),TRUE,"Check Manually")</f>
        <v>Still Employed</v>
      </c>
      <c r="S119" s="31" t="str">
        <f t="shared" ca="1" si="20"/>
        <v>6 Years, 8 Months, 13 Days</v>
      </c>
      <c r="T119" s="31">
        <f t="shared" ca="1" si="21"/>
        <v>2448.02</v>
      </c>
      <c r="U119" s="31" t="str" cm="1">
        <f t="array" ref="U119">_xlfn.IFS(OR(R119="Missing",R119="N/A",R119="Still Employed"),"Unknown",ISNUMBER(R119),"Exited",TRUE,"Unknown")</f>
        <v>Unknown</v>
      </c>
      <c r="V119" s="31" t="str">
        <f t="shared" si="22"/>
        <v/>
      </c>
      <c r="W119" s="14" t="str">
        <f t="shared" si="23"/>
        <v>Active</v>
      </c>
      <c r="X119" s="19" t="s">
        <v>576</v>
      </c>
      <c r="Y119" s="18" t="str">
        <f t="shared" si="17"/>
        <v>₹92,967</v>
      </c>
      <c r="Z119" s="22" t="str" cm="1">
        <f t="array" ref="Z119">_xlfn.IFS(Y119="","0",LEFT(Y119,5)="",Y119,LEFT(Y119,1)="₹",REPLACE(Y119,1,1,""),LEFT(Y119,4)="Rs. ",REPLACE(Y119,1,4,""),TRUE,Y119)</f>
        <v>92,967</v>
      </c>
      <c r="AA119" s="22" t="str">
        <f t="shared" si="18"/>
        <v>92967</v>
      </c>
      <c r="AB119" s="7" t="s">
        <v>144</v>
      </c>
      <c r="AC119" s="7" t="str">
        <f t="shared" si="19"/>
        <v>Poor</v>
      </c>
      <c r="AD119" s="7">
        <v>8</v>
      </c>
      <c r="AE119" cm="1">
        <f t="array" ref="AE119">_xlfn.IFS(AD119="",0,AD119&lt;0,"Negate Leave",AD119&gt;=0,AD119)</f>
        <v>8</v>
      </c>
    </row>
    <row r="120" spans="1:31" x14ac:dyDescent="0.3">
      <c r="A120" s="7">
        <v>5042</v>
      </c>
      <c r="B120" s="7" t="s">
        <v>572</v>
      </c>
      <c r="C120" s="7" t="str">
        <f t="shared" si="13"/>
        <v>Arjun Verma</v>
      </c>
      <c r="D120" s="7" t="str">
        <f t="shared" si="14"/>
        <v>Arjun Verma</v>
      </c>
      <c r="E120" s="7" t="s">
        <v>61</v>
      </c>
      <c r="F120" s="7" t="s">
        <v>122</v>
      </c>
      <c r="G120" s="7" t="s">
        <v>91</v>
      </c>
      <c r="H120" s="7" t="str">
        <f>_xlfn.XLOOKUP(G120,Lookup_Tables!$A$4:$A$9,Lookup_Tables!$C$4:$C$9,"Not Found",0)</f>
        <v>Rajiv Kapoor</v>
      </c>
      <c r="I120" s="7" t="s">
        <v>55</v>
      </c>
      <c r="J120" s="7" t="s">
        <v>578</v>
      </c>
      <c r="K120" s="7" t="str">
        <f t="shared" si="15"/>
        <v>karthik.kulkarni@company.com</v>
      </c>
      <c r="L120" s="7" t="s">
        <v>579</v>
      </c>
      <c r="M120" s="7" t="str">
        <f t="shared" si="12"/>
        <v>+91-8229523013</v>
      </c>
      <c r="N120" s="7" t="str" cm="1">
        <f t="array" ref="N120">_xlfn.IFS(M120="","Incomplete",LEN(M120)&lt;10,"Invalid",AND(LEN(M120) =10,LEFT(M120,4) &lt;&gt;"+91-"),"+91-"&amp;M120,TRUE,M120)</f>
        <v>+91-8229523013</v>
      </c>
      <c r="O120" s="8" t="s">
        <v>580</v>
      </c>
      <c r="P120" s="14" t="s">
        <v>114</v>
      </c>
      <c r="Q120" s="14" t="str">
        <f t="shared" si="16"/>
        <v>Still Employed</v>
      </c>
      <c r="R120" s="14" t="str" cm="1">
        <f t="array" ref="R120">_xlfn.IFS(OR(Q120="Missing",Q120="N/A",Q120="Still Employed"),Q120,ISNUMBER(SEARCH(",",Q120)),DATEVALUE(Q120),AND(ISNUMBER(SEARCH("-",Q120)),ISNUMBER(VALUE(LEFT(Q120,4)))),DATE(LEFT(Q120,4),MID(Q120,6,2),RIGHT(Q120,2)),ISNUMBER(SEARCH("-",Q120)),DATE(RIGHT(Q120,4),MID(Q120,4,2),LEFT(Q120,2)),ISNUMBER(SEARCH("/",Q120)),DATE(RIGHT(Q120,4),MID(Q120,4,2),LEFT(Q120,2)),TRUE,"Check Manually")</f>
        <v>Still Employed</v>
      </c>
      <c r="S120" s="31" t="str">
        <f t="shared" ca="1" si="20"/>
        <v>6 Years, 5 Months, 22 Days</v>
      </c>
      <c r="T120" s="31">
        <f t="shared" ca="1" si="21"/>
        <v>2365.6999999999998</v>
      </c>
      <c r="U120" s="31" t="str" cm="1">
        <f t="array" ref="U120">_xlfn.IFS(OR(R120="Missing",R120="N/A",R120="Still Employed"),"Unknown",ISNUMBER(R120),"Exited",TRUE,"Unknown")</f>
        <v>Unknown</v>
      </c>
      <c r="V120" s="31" t="str">
        <f t="shared" si="22"/>
        <v/>
      </c>
      <c r="W120" s="14" t="str">
        <f t="shared" si="23"/>
        <v>Active</v>
      </c>
      <c r="X120" s="19">
        <v>73081</v>
      </c>
      <c r="Y120" s="18" t="str">
        <f t="shared" si="17"/>
        <v>73081</v>
      </c>
      <c r="Z120" s="22" t="str" cm="1">
        <f t="array" ref="Z120">_xlfn.IFS(Y120="","0",LEFT(Y120,5)="",Y120,LEFT(Y120,1)="₹",REPLACE(Y120,1,1,""),LEFT(Y120,4)="Rs. ",REPLACE(Y120,1,4,""),TRUE,Y120)</f>
        <v>73081</v>
      </c>
      <c r="AA120" s="22" t="str">
        <f t="shared" si="18"/>
        <v>73081</v>
      </c>
      <c r="AB120" s="7" t="s">
        <v>95</v>
      </c>
      <c r="AC120" s="7" t="str">
        <f t="shared" si="19"/>
        <v>Average</v>
      </c>
      <c r="AD120" s="7">
        <v>20</v>
      </c>
      <c r="AE120" cm="1">
        <f t="array" ref="AE120">_xlfn.IFS(AD120="",0,AD120&lt;0,"Negate Leave",AD120&gt;=0,AD120)</f>
        <v>20</v>
      </c>
    </row>
    <row r="121" spans="1:31" x14ac:dyDescent="0.3">
      <c r="A121" s="7">
        <v>5244</v>
      </c>
      <c r="B121" s="7" t="s">
        <v>577</v>
      </c>
      <c r="C121" s="7" t="str">
        <f t="shared" si="13"/>
        <v>Karthik Kulkarni</v>
      </c>
      <c r="D121" s="7" t="str">
        <f t="shared" si="14"/>
        <v>Karthik Kulkarni</v>
      </c>
      <c r="E121" s="7" t="s">
        <v>61</v>
      </c>
      <c r="F121" s="7" t="s">
        <v>219</v>
      </c>
      <c r="G121" s="7" t="s">
        <v>46</v>
      </c>
      <c r="H121" s="7" t="str">
        <f>_xlfn.XLOOKUP(G121,Lookup_Tables!$A$4:$A$9,Lookup_Tables!$C$4:$C$9,"Not Found",0)</f>
        <v>Faisal Ahmed</v>
      </c>
      <c r="I121" s="7" t="s">
        <v>70</v>
      </c>
      <c r="J121" s="7" t="s">
        <v>582</v>
      </c>
      <c r="K121" s="7" t="str">
        <f t="shared" si="15"/>
        <v>manish.menon@company.com</v>
      </c>
      <c r="L121" s="7"/>
      <c r="M121" s="7" t="str">
        <f t="shared" si="12"/>
        <v/>
      </c>
      <c r="N121" s="7" t="str" cm="1">
        <f t="array" ref="N121">_xlfn.IFS(M121="","Incomplete",LEN(M121)&lt;10,"Invalid",AND(LEN(M121) =10,LEFT(M121,4) &lt;&gt;"+91-"),"+91-"&amp;M121,TRUE,M121)</f>
        <v>Incomplete</v>
      </c>
      <c r="O121" s="8" t="s">
        <v>583</v>
      </c>
      <c r="P121" s="14" t="s">
        <v>584</v>
      </c>
      <c r="Q121" s="14" t="str">
        <f t="shared" si="16"/>
        <v>Apr 29, 2024</v>
      </c>
      <c r="R121" s="14" cm="1">
        <f t="array" ref="R121">_xlfn.IFS(OR(Q121="Missing",Q121="N/A",Q121="Still Employed"),Q121,ISNUMBER(SEARCH(",",Q121)),DATEVALUE(Q121),AND(ISNUMBER(SEARCH("-",Q121)),ISNUMBER(VALUE(LEFT(Q121,4)))),DATE(LEFT(Q121,4),MID(Q121,6,2),RIGHT(Q121,2)),ISNUMBER(SEARCH("-",Q121)),DATE(RIGHT(Q121,4),MID(Q121,4,2),LEFT(Q121,2)),ISNUMBER(SEARCH("/",Q121)),DATE(RIGHT(Q121,4),MID(Q121,4,2),LEFT(Q121,2)),TRUE,"Check Manually")</f>
        <v>45411</v>
      </c>
      <c r="S121" s="31" t="str">
        <f t="shared" ca="1" si="20"/>
        <v>1 Years, 9 Months, 7 Days</v>
      </c>
      <c r="T121" s="31">
        <f t="shared" ca="1" si="21"/>
        <v>646.21</v>
      </c>
      <c r="U121" s="31" t="str" cm="1">
        <f t="array" ref="U121">_xlfn.IFS(OR(R121="Missing",R121="N/A",R121="Still Employed"),"Unknown",ISNUMBER(R121),"Exited",TRUE,"Unknown")</f>
        <v>Exited</v>
      </c>
      <c r="V121" s="31">
        <f t="shared" si="22"/>
        <v>2024</v>
      </c>
      <c r="W121" s="14" t="str">
        <f t="shared" si="23"/>
        <v>Exited</v>
      </c>
      <c r="X121" s="19"/>
      <c r="Y121" s="18" t="str">
        <f t="shared" si="17"/>
        <v/>
      </c>
      <c r="Z121" s="22" t="str" cm="1">
        <f t="array" ref="Z121">_xlfn.IFS(Y121="","0",LEFT(Y121,5)="",Y121,LEFT(Y121,1)="₹",REPLACE(Y121,1,1,""),LEFT(Y121,4)="Rs. ",REPLACE(Y121,1,4,""),TRUE,Y121)</f>
        <v>0</v>
      </c>
      <c r="AA121" s="22" t="str">
        <f t="shared" si="18"/>
        <v>0</v>
      </c>
      <c r="AB121" s="7" t="s">
        <v>144</v>
      </c>
      <c r="AC121" s="7" t="str">
        <f t="shared" si="19"/>
        <v>Poor</v>
      </c>
      <c r="AD121" s="7">
        <v>24</v>
      </c>
      <c r="AE121" cm="1">
        <f t="array" ref="AE121">_xlfn.IFS(AD121="",0,AD121&lt;0,"Negate Leave",AD121&gt;=0,AD121)</f>
        <v>24</v>
      </c>
    </row>
    <row r="122" spans="1:31" x14ac:dyDescent="0.3">
      <c r="A122" s="7">
        <v>5139</v>
      </c>
      <c r="B122" s="7" t="s">
        <v>581</v>
      </c>
      <c r="C122" s="7" t="str">
        <f t="shared" si="13"/>
        <v>Manish Menon</v>
      </c>
      <c r="D122" s="7" t="str">
        <f t="shared" si="14"/>
        <v>Manish Menon</v>
      </c>
      <c r="E122" s="7" t="s">
        <v>84</v>
      </c>
      <c r="F122" s="7" t="s">
        <v>53</v>
      </c>
      <c r="G122" s="7" t="s">
        <v>54</v>
      </c>
      <c r="H122" s="7" t="str">
        <f>_xlfn.XLOOKUP(G122,Lookup_Tables!$A$4:$A$9,Lookup_Tables!$C$4:$C$9,"Not Found",0)</f>
        <v>Leela Iyer</v>
      </c>
      <c r="I122" s="7" t="s">
        <v>175</v>
      </c>
      <c r="J122" s="7" t="s">
        <v>586</v>
      </c>
      <c r="K122" s="7" t="str">
        <f t="shared" si="15"/>
        <v>amit.agarwal@company.com</v>
      </c>
      <c r="L122" s="7" t="s">
        <v>587</v>
      </c>
      <c r="M122" s="7" t="str">
        <f t="shared" si="12"/>
        <v>+91-3857792553</v>
      </c>
      <c r="N122" s="7" t="str" cm="1">
        <f t="array" ref="N122">_xlfn.IFS(M122="","Incomplete",LEN(M122)&lt;10,"Invalid",AND(LEN(M122) =10,LEFT(M122,4) &lt;&gt;"+91-"),"+91-"&amp;M122,TRUE,M122)</f>
        <v>+91-3857792553</v>
      </c>
      <c r="O122" s="8" t="s">
        <v>588</v>
      </c>
      <c r="P122" s="14" t="s">
        <v>108</v>
      </c>
      <c r="Q122" s="14" t="str">
        <f t="shared" si="16"/>
        <v>30/06/2025</v>
      </c>
      <c r="R122" s="14" cm="1">
        <f t="array" ref="R122">_xlfn.IFS(OR(Q122="Missing",Q122="N/A",Q122="Still Employed"),Q122,ISNUMBER(SEARCH(",",Q122)),DATEVALUE(Q122),AND(ISNUMBER(SEARCH("-",Q122)),ISNUMBER(VALUE(LEFT(Q122,4)))),DATE(LEFT(Q122,4),MID(Q122,6,2),RIGHT(Q122,2)),ISNUMBER(SEARCH("-",Q122)),DATE(RIGHT(Q122,4),MID(Q122,4,2),LEFT(Q122,2)),ISNUMBER(SEARCH("/",Q122)),DATE(RIGHT(Q122,4),MID(Q122,4,2),LEFT(Q122,2)),TRUE,"Check Manually")</f>
        <v>45838</v>
      </c>
      <c r="S122" s="31" t="str">
        <f t="shared" ca="1" si="20"/>
        <v>4 Years, 8 Months, 16 Days</v>
      </c>
      <c r="T122" s="31">
        <f t="shared" ca="1" si="21"/>
        <v>1720.52</v>
      </c>
      <c r="U122" s="31" t="str" cm="1">
        <f t="array" ref="U122">_xlfn.IFS(OR(R122="Missing",R122="N/A",R122="Still Employed"),"Unknown",ISNUMBER(R122),"Exited",TRUE,"Unknown")</f>
        <v>Exited</v>
      </c>
      <c r="V122" s="31">
        <f t="shared" si="22"/>
        <v>2025</v>
      </c>
      <c r="W122" s="14" t="str">
        <f t="shared" si="23"/>
        <v>Exited</v>
      </c>
      <c r="X122" s="19" t="s">
        <v>589</v>
      </c>
      <c r="Y122" s="18" t="str">
        <f t="shared" si="17"/>
        <v>Rs. 176,452</v>
      </c>
      <c r="Z122" s="22" t="str" cm="1">
        <f t="array" ref="Z122">_xlfn.IFS(Y122="","0",LEFT(Y122,5)="",Y122,LEFT(Y122,1)="₹",REPLACE(Y122,1,1,""),LEFT(Y122,4)="Rs. ",REPLACE(Y122,1,4,""),TRUE,Y122)</f>
        <v>176,452</v>
      </c>
      <c r="AA122" s="22" t="str">
        <f t="shared" si="18"/>
        <v>176452</v>
      </c>
      <c r="AB122" s="7" t="s">
        <v>144</v>
      </c>
      <c r="AC122" s="7" t="str">
        <f t="shared" si="19"/>
        <v>Poor</v>
      </c>
      <c r="AD122" s="7">
        <v>-3</v>
      </c>
      <c r="AE122" t="str" cm="1">
        <f t="array" ref="AE122">_xlfn.IFS(AD122="",0,AD122&lt;0,"Negate Leave",AD122&gt;=0,AD122)</f>
        <v>Negate Leave</v>
      </c>
    </row>
    <row r="123" spans="1:31" x14ac:dyDescent="0.3">
      <c r="A123" s="7">
        <v>5128</v>
      </c>
      <c r="B123" s="7" t="s">
        <v>585</v>
      </c>
      <c r="C123" s="7" t="str">
        <f t="shared" si="13"/>
        <v>Amit Agarwal</v>
      </c>
      <c r="D123" s="7" t="str">
        <f t="shared" si="14"/>
        <v>Amit Agarwal</v>
      </c>
      <c r="E123" s="7" t="s">
        <v>84</v>
      </c>
      <c r="F123" s="7" t="s">
        <v>53</v>
      </c>
      <c r="G123" s="7" t="s">
        <v>54</v>
      </c>
      <c r="H123" s="7" t="str">
        <f>_xlfn.XLOOKUP(G123,Lookup_Tables!$A$4:$A$9,Lookup_Tables!$C$4:$C$9,"Not Found",0)</f>
        <v>Leela Iyer</v>
      </c>
      <c r="I123" s="7" t="s">
        <v>55</v>
      </c>
      <c r="J123" s="7" t="s">
        <v>591</v>
      </c>
      <c r="K123" s="7" t="str">
        <f t="shared" si="15"/>
        <v xml:space="preserve">sanjay.pillai@company.com </v>
      </c>
      <c r="L123" s="7" t="s">
        <v>592</v>
      </c>
      <c r="M123" s="7" t="str">
        <f t="shared" si="12"/>
        <v>+91-7025674625</v>
      </c>
      <c r="N123" s="7" t="str" cm="1">
        <f t="array" ref="N123">_xlfn.IFS(M123="","Incomplete",LEN(M123)&lt;10,"Invalid",AND(LEN(M123) =10,LEFT(M123,4) &lt;&gt;"+91-"),"+91-"&amp;M123,TRUE,M123)</f>
        <v>+91-7025674625</v>
      </c>
      <c r="O123" s="8" t="s">
        <v>593</v>
      </c>
      <c r="P123" s="14"/>
      <c r="Q123" s="14" t="str">
        <f t="shared" si="16"/>
        <v>Missing</v>
      </c>
      <c r="R123" s="14" t="str" cm="1">
        <f t="array" ref="R123">_xlfn.IFS(OR(Q123="Missing",Q123="N/A",Q123="Still Employed"),Q123,ISNUMBER(SEARCH(",",Q123)),DATEVALUE(Q123),AND(ISNUMBER(SEARCH("-",Q123)),ISNUMBER(VALUE(LEFT(Q123,4)))),DATE(LEFT(Q123,4),MID(Q123,6,2),RIGHT(Q123,2)),ISNUMBER(SEARCH("-",Q123)),DATE(RIGHT(Q123,4),MID(Q123,4,2),LEFT(Q123,2)),ISNUMBER(SEARCH("/",Q123)),DATE(RIGHT(Q123,4),MID(Q123,4,2),LEFT(Q123,2)),TRUE,"Check Manually")</f>
        <v>Missing</v>
      </c>
      <c r="S123" s="31" t="str">
        <f t="shared" ca="1" si="20"/>
        <v>5 Years, 11 Months, 23 Days</v>
      </c>
      <c r="T123" s="31">
        <f t="shared" ca="1" si="21"/>
        <v>2184.09</v>
      </c>
      <c r="U123" s="31" t="str" cm="1">
        <f t="array" ref="U123">_xlfn.IFS(OR(R123="Missing",R123="N/A",R123="Still Employed"),"Unknown",ISNUMBER(R123),"Exited",TRUE,"Unknown")</f>
        <v>Unknown</v>
      </c>
      <c r="V123" s="31" t="str">
        <f t="shared" si="22"/>
        <v/>
      </c>
      <c r="W123" s="14" t="str">
        <f t="shared" si="23"/>
        <v>Active</v>
      </c>
      <c r="X123" s="19" t="s">
        <v>594</v>
      </c>
      <c r="Y123" s="18" t="str">
        <f t="shared" si="17"/>
        <v>₹83,764</v>
      </c>
      <c r="Z123" s="22" t="str" cm="1">
        <f t="array" ref="Z123">_xlfn.IFS(Y123="","0",LEFT(Y123,5)="",Y123,LEFT(Y123,1)="₹",REPLACE(Y123,1,1,""),LEFT(Y123,4)="Rs. ",REPLACE(Y123,1,4,""),TRUE,Y123)</f>
        <v>83,764</v>
      </c>
      <c r="AA123" s="22" t="str">
        <f t="shared" si="18"/>
        <v>83764</v>
      </c>
      <c r="AB123" s="7" t="s">
        <v>89</v>
      </c>
      <c r="AC123" s="7" t="str">
        <f t="shared" si="19"/>
        <v>Below Average</v>
      </c>
      <c r="AD123" s="7">
        <v>-2</v>
      </c>
      <c r="AE123" t="str" cm="1">
        <f t="array" ref="AE123">_xlfn.IFS(AD123="",0,AD123&lt;0,"Negate Leave",AD123&gt;=0,AD123)</f>
        <v>Negate Leave</v>
      </c>
    </row>
    <row r="124" spans="1:31" x14ac:dyDescent="0.3">
      <c r="A124" s="7">
        <v>5211</v>
      </c>
      <c r="B124" s="7" t="s">
        <v>590</v>
      </c>
      <c r="C124" s="7" t="str">
        <f t="shared" si="13"/>
        <v>Sanjay  Pillai</v>
      </c>
      <c r="D124" s="7" t="str">
        <f t="shared" si="14"/>
        <v>Sanjay Pillai</v>
      </c>
      <c r="E124" s="7" t="s">
        <v>68</v>
      </c>
      <c r="F124" s="7" t="s">
        <v>53</v>
      </c>
      <c r="G124" s="7" t="s">
        <v>54</v>
      </c>
      <c r="H124" s="7" t="str">
        <f>_xlfn.XLOOKUP(G124,Lookup_Tables!$A$4:$A$9,Lookup_Tables!$C$4:$C$9,"Not Found",0)</f>
        <v>Leela Iyer</v>
      </c>
      <c r="I124" s="7" t="s">
        <v>70</v>
      </c>
      <c r="J124" s="7"/>
      <c r="K124" s="7" t="str">
        <f t="shared" si="15"/>
        <v>No Email ID</v>
      </c>
      <c r="L124" s="7" t="s">
        <v>595</v>
      </c>
      <c r="M124" s="7" t="str">
        <f t="shared" si="12"/>
        <v>2082486176</v>
      </c>
      <c r="N124" s="7" t="str" cm="1">
        <f t="array" ref="N124">_xlfn.IFS(M124="","Incomplete",LEN(M124)&lt;10,"Invalid",AND(LEN(M124) =10,LEFT(M124,4) &lt;&gt;"+91-"),"+91-"&amp;M124,TRUE,M124)</f>
        <v>+91-2082486176</v>
      </c>
      <c r="O124" s="8" t="s">
        <v>596</v>
      </c>
      <c r="P124" s="14"/>
      <c r="Q124" s="14" t="str">
        <f t="shared" si="16"/>
        <v>Missing</v>
      </c>
      <c r="R124" s="14" t="str" cm="1">
        <f t="array" ref="R124">_xlfn.IFS(OR(Q124="Missing",Q124="N/A",Q124="Still Employed"),Q124,ISNUMBER(SEARCH(",",Q124)),DATEVALUE(Q124),AND(ISNUMBER(SEARCH("-",Q124)),ISNUMBER(VALUE(LEFT(Q124,4)))),DATE(LEFT(Q124,4),MID(Q124,6,2),RIGHT(Q124,2)),ISNUMBER(SEARCH("-",Q124)),DATE(RIGHT(Q124,4),MID(Q124,4,2),LEFT(Q124,2)),ISNUMBER(SEARCH("/",Q124)),DATE(RIGHT(Q124,4),MID(Q124,4,2),LEFT(Q124,2)),TRUE,"Check Manually")</f>
        <v>Missing</v>
      </c>
      <c r="S124" s="31" t="str">
        <f t="shared" ca="1" si="20"/>
        <v>6 Years, 10 Months, 28 Days</v>
      </c>
      <c r="T124" s="31">
        <f t="shared" ca="1" si="21"/>
        <v>2523.9</v>
      </c>
      <c r="U124" s="31" t="str" cm="1">
        <f t="array" ref="U124">_xlfn.IFS(OR(R124="Missing",R124="N/A",R124="Still Employed"),"Unknown",ISNUMBER(R124),"Exited",TRUE,"Unknown")</f>
        <v>Unknown</v>
      </c>
      <c r="V124" s="31" t="str">
        <f t="shared" si="22"/>
        <v/>
      </c>
      <c r="W124" s="14" t="str">
        <f t="shared" si="23"/>
        <v>Active</v>
      </c>
      <c r="X124" s="19">
        <v>141476</v>
      </c>
      <c r="Y124" s="18" t="str">
        <f t="shared" si="17"/>
        <v>141476</v>
      </c>
      <c r="Z124" s="22" t="str" cm="1">
        <f t="array" ref="Z124">_xlfn.IFS(Y124="","0",LEFT(Y124,5)="",Y124,LEFT(Y124,1)="₹",REPLACE(Y124,1,1,""),LEFT(Y124,4)="Rs. ",REPLACE(Y124,1,4,""),TRUE,Y124)</f>
        <v>141476</v>
      </c>
      <c r="AA124" s="22" t="str">
        <f t="shared" si="18"/>
        <v>141476</v>
      </c>
      <c r="AB124" s="7" t="s">
        <v>144</v>
      </c>
      <c r="AC124" s="7" t="str">
        <f t="shared" si="19"/>
        <v>Poor</v>
      </c>
      <c r="AD124" s="7">
        <v>-2</v>
      </c>
      <c r="AE124" t="str" cm="1">
        <f t="array" ref="AE124">_xlfn.IFS(AD124="",0,AD124&lt;0,"Negate Leave",AD124&gt;=0,AD124)</f>
        <v>Negate Leave</v>
      </c>
    </row>
    <row r="125" spans="1:31" x14ac:dyDescent="0.3">
      <c r="A125" s="7">
        <v>5315</v>
      </c>
      <c r="B125" s="7" t="s">
        <v>577</v>
      </c>
      <c r="C125" s="7" t="str">
        <f t="shared" si="13"/>
        <v>Karthik Kulkarni</v>
      </c>
      <c r="D125" s="7" t="str">
        <f t="shared" si="14"/>
        <v>Karthik Kulkarni</v>
      </c>
      <c r="E125" s="7" t="s">
        <v>68</v>
      </c>
      <c r="F125" s="7" t="s">
        <v>219</v>
      </c>
      <c r="G125" s="7" t="s">
        <v>46</v>
      </c>
      <c r="H125" s="7" t="str">
        <f>_xlfn.XLOOKUP(G125,Lookup_Tables!$A$4:$A$9,Lookup_Tables!$C$4:$C$9,"Not Found",0)</f>
        <v>Faisal Ahmed</v>
      </c>
      <c r="I125" s="7" t="s">
        <v>77</v>
      </c>
      <c r="J125" s="7" t="s">
        <v>598</v>
      </c>
      <c r="K125" s="7" t="str">
        <f t="shared" si="15"/>
        <v>yash.joshi@company.com</v>
      </c>
      <c r="L125" s="7" t="s">
        <v>599</v>
      </c>
      <c r="M125" s="7" t="str">
        <f t="shared" si="12"/>
        <v>3363387500</v>
      </c>
      <c r="N125" s="7" t="str" cm="1">
        <f t="array" ref="N125">_xlfn.IFS(M125="","Incomplete",LEN(M125)&lt;10,"Invalid",AND(LEN(M125) =10,LEFT(M125,4) &lt;&gt;"+91-"),"+91-"&amp;M125,TRUE,M125)</f>
        <v>+91-3363387500</v>
      </c>
      <c r="O125" s="8" t="s">
        <v>600</v>
      </c>
      <c r="P125" s="14" t="s">
        <v>126</v>
      </c>
      <c r="Q125" s="14" t="str">
        <f t="shared" si="16"/>
        <v>N/A</v>
      </c>
      <c r="R125" s="14" t="str" cm="1">
        <f t="array" ref="R125">_xlfn.IFS(OR(Q125="Missing",Q125="N/A",Q125="Still Employed"),Q125,ISNUMBER(SEARCH(",",Q125)),DATEVALUE(Q125),AND(ISNUMBER(SEARCH("-",Q125)),ISNUMBER(VALUE(LEFT(Q125,4)))),DATE(LEFT(Q125,4),MID(Q125,6,2),RIGHT(Q125,2)),ISNUMBER(SEARCH("-",Q125)),DATE(RIGHT(Q125,4),MID(Q125,4,2),LEFT(Q125,2)),ISNUMBER(SEARCH("/",Q125)),DATE(RIGHT(Q125,4),MID(Q125,4,2),LEFT(Q125,2)),TRUE,"Check Manually")</f>
        <v>N/A</v>
      </c>
      <c r="S125" s="31" t="str">
        <f t="shared" ca="1" si="20"/>
        <v>6 Years, 0 Months, 20 Days</v>
      </c>
      <c r="T125" s="31">
        <f t="shared" ca="1" si="21"/>
        <v>2211.5</v>
      </c>
      <c r="U125" s="31" t="str" cm="1">
        <f t="array" ref="U125">_xlfn.IFS(OR(R125="Missing",R125="N/A",R125="Still Employed"),"Unknown",ISNUMBER(R125),"Exited",TRUE,"Unknown")</f>
        <v>Unknown</v>
      </c>
      <c r="V125" s="31" t="str">
        <f t="shared" si="22"/>
        <v/>
      </c>
      <c r="W125" s="14" t="str">
        <f t="shared" si="23"/>
        <v>Active</v>
      </c>
      <c r="X125" s="19">
        <v>121419</v>
      </c>
      <c r="Y125" s="18" t="str">
        <f t="shared" si="17"/>
        <v>121419</v>
      </c>
      <c r="Z125" s="22" t="str" cm="1">
        <f t="array" ref="Z125">_xlfn.IFS(Y125="","0",LEFT(Y125,5)="",Y125,LEFT(Y125,1)="₹",REPLACE(Y125,1,1,""),LEFT(Y125,4)="Rs. ",REPLACE(Y125,1,4,""),TRUE,Y125)</f>
        <v>121419</v>
      </c>
      <c r="AA125" s="22" t="str">
        <f t="shared" si="18"/>
        <v>121419</v>
      </c>
      <c r="AB125" s="7" t="s">
        <v>127</v>
      </c>
      <c r="AC125" s="7" t="str">
        <f t="shared" si="19"/>
        <v>Good</v>
      </c>
      <c r="AD125" s="7">
        <v>8</v>
      </c>
      <c r="AE125" cm="1">
        <f t="array" ref="AE125">_xlfn.IFS(AD125="",0,AD125&lt;0,"Negate Leave",AD125&gt;=0,AD125)</f>
        <v>8</v>
      </c>
    </row>
    <row r="126" spans="1:31" x14ac:dyDescent="0.3">
      <c r="A126" s="7">
        <v>5008</v>
      </c>
      <c r="B126" s="7" t="s">
        <v>597</v>
      </c>
      <c r="C126" s="7" t="str">
        <f t="shared" si="13"/>
        <v>YASH JOSHI</v>
      </c>
      <c r="D126" s="7" t="str">
        <f t="shared" si="14"/>
        <v>Yash Joshi</v>
      </c>
      <c r="E126" s="7" t="s">
        <v>61</v>
      </c>
      <c r="F126" s="7" t="s">
        <v>53</v>
      </c>
      <c r="G126" s="7" t="s">
        <v>54</v>
      </c>
      <c r="H126" s="7" t="str">
        <f>_xlfn.XLOOKUP(G126,Lookup_Tables!$A$4:$A$9,Lookup_Tables!$C$4:$C$9,"Not Found",0)</f>
        <v>Leela Iyer</v>
      </c>
      <c r="I126" s="7" t="s">
        <v>55</v>
      </c>
      <c r="J126" s="7" t="s">
        <v>602</v>
      </c>
      <c r="K126" s="7" t="str">
        <f t="shared" si="15"/>
        <v>priya.bose@company.com</v>
      </c>
      <c r="L126" s="7" t="s">
        <v>603</v>
      </c>
      <c r="M126" s="7" t="str">
        <f t="shared" si="12"/>
        <v>+91-4870438374</v>
      </c>
      <c r="N126" s="7" t="str" cm="1">
        <f t="array" ref="N126">_xlfn.IFS(M126="","Incomplete",LEN(M126)&lt;10,"Invalid",AND(LEN(M126) =10,LEFT(M126,4) &lt;&gt;"+91-"),"+91-"&amp;M126,TRUE,M126)</f>
        <v>+91-4870438374</v>
      </c>
      <c r="O126" s="8" t="s">
        <v>604</v>
      </c>
      <c r="P126" s="14" t="s">
        <v>114</v>
      </c>
      <c r="Q126" s="14" t="str">
        <f t="shared" si="16"/>
        <v>Still Employed</v>
      </c>
      <c r="R126" s="14" t="str" cm="1">
        <f t="array" ref="R126">_xlfn.IFS(OR(Q126="Missing",Q126="N/A",Q126="Still Employed"),Q126,ISNUMBER(SEARCH(",",Q126)),DATEVALUE(Q126),AND(ISNUMBER(SEARCH("-",Q126)),ISNUMBER(VALUE(LEFT(Q126,4)))),DATE(LEFT(Q126,4),MID(Q126,6,2),RIGHT(Q126,2)),ISNUMBER(SEARCH("-",Q126)),DATE(RIGHT(Q126,4),MID(Q126,4,2),LEFT(Q126,2)),ISNUMBER(SEARCH("/",Q126)),DATE(RIGHT(Q126,4),MID(Q126,4,2),LEFT(Q126,2)),TRUE,"Check Manually")</f>
        <v>Still Employed</v>
      </c>
      <c r="S126" s="31" t="str">
        <f t="shared" ca="1" si="20"/>
        <v>5 Years, 6 Months, 15 Days</v>
      </c>
      <c r="T126" s="31">
        <f t="shared" ca="1" si="21"/>
        <v>2023.89</v>
      </c>
      <c r="U126" s="31" t="str" cm="1">
        <f t="array" ref="U126">_xlfn.IFS(OR(R126="Missing",R126="N/A",R126="Still Employed"),"Unknown",ISNUMBER(R126),"Exited",TRUE,"Unknown")</f>
        <v>Unknown</v>
      </c>
      <c r="V126" s="31" t="str">
        <f t="shared" si="22"/>
        <v/>
      </c>
      <c r="W126" s="14" t="str">
        <f t="shared" si="23"/>
        <v>Active</v>
      </c>
      <c r="X126" s="19">
        <v>123992</v>
      </c>
      <c r="Y126" s="18" t="str">
        <f t="shared" si="17"/>
        <v>123992</v>
      </c>
      <c r="Z126" s="22" t="str" cm="1">
        <f t="array" ref="Z126">_xlfn.IFS(Y126="","0",LEFT(Y126,5)="",Y126,LEFT(Y126,1)="₹",REPLACE(Y126,1,1,""),LEFT(Y126,4)="Rs. ",REPLACE(Y126,1,4,""),TRUE,Y126)</f>
        <v>123992</v>
      </c>
      <c r="AA126" s="22" t="str">
        <f t="shared" si="18"/>
        <v>123992</v>
      </c>
      <c r="AB126" s="7" t="s">
        <v>51</v>
      </c>
      <c r="AC126" s="7" t="str">
        <f t="shared" si="19"/>
        <v>Excellent</v>
      </c>
      <c r="AD126" s="7">
        <v>22</v>
      </c>
      <c r="AE126" cm="1">
        <f t="array" ref="AE126">_xlfn.IFS(AD126="",0,AD126&lt;0,"Negate Leave",AD126&gt;=0,AD126)</f>
        <v>22</v>
      </c>
    </row>
    <row r="127" spans="1:31" x14ac:dyDescent="0.3">
      <c r="A127" s="7">
        <v>5289</v>
      </c>
      <c r="B127" s="7" t="s">
        <v>601</v>
      </c>
      <c r="C127" s="7" t="str">
        <f t="shared" si="13"/>
        <v>priya bose</v>
      </c>
      <c r="D127" s="7" t="str">
        <f t="shared" si="14"/>
        <v>Priya Bose</v>
      </c>
      <c r="E127" s="7" t="s">
        <v>68</v>
      </c>
      <c r="F127" s="7" t="s">
        <v>219</v>
      </c>
      <c r="G127" s="7" t="s">
        <v>46</v>
      </c>
      <c r="H127" s="7" t="str">
        <f>_xlfn.XLOOKUP(G127,Lookup_Tables!$A$4:$A$9,Lookup_Tables!$C$4:$C$9,"Not Found",0)</f>
        <v>Faisal Ahmed</v>
      </c>
      <c r="I127" s="7" t="s">
        <v>175</v>
      </c>
      <c r="J127" s="7" t="s">
        <v>606</v>
      </c>
      <c r="K127" s="7" t="str">
        <f t="shared" si="15"/>
        <v>aarav.trivedi@company.com</v>
      </c>
      <c r="L127" s="7" t="s">
        <v>607</v>
      </c>
      <c r="M127" s="7" t="str">
        <f t="shared" si="12"/>
        <v>2948470052</v>
      </c>
      <c r="N127" s="7" t="str" cm="1">
        <f t="array" ref="N127">_xlfn.IFS(M127="","Incomplete",LEN(M127)&lt;10,"Invalid",AND(LEN(M127) =10,LEFT(M127,4) &lt;&gt;"+91-"),"+91-"&amp;M127,TRUE,M127)</f>
        <v>+91-2948470052</v>
      </c>
      <c r="O127" s="8" t="s">
        <v>608</v>
      </c>
      <c r="P127" s="14"/>
      <c r="Q127" s="14" t="str">
        <f t="shared" si="16"/>
        <v>Missing</v>
      </c>
      <c r="R127" s="14" t="str" cm="1">
        <f t="array" ref="R127">_xlfn.IFS(OR(Q127="Missing",Q127="N/A",Q127="Still Employed"),Q127,ISNUMBER(SEARCH(",",Q127)),DATEVALUE(Q127),AND(ISNUMBER(SEARCH("-",Q127)),ISNUMBER(VALUE(LEFT(Q127,4)))),DATE(LEFT(Q127,4),MID(Q127,6,2),RIGHT(Q127,2)),ISNUMBER(SEARCH("-",Q127)),DATE(RIGHT(Q127,4),MID(Q127,4,2),LEFT(Q127,2)),ISNUMBER(SEARCH("/",Q127)),DATE(RIGHT(Q127,4),MID(Q127,4,2),LEFT(Q127,2)),TRUE,"Check Manually")</f>
        <v>Missing</v>
      </c>
      <c r="S127" s="31" t="str">
        <f t="shared" ca="1" si="20"/>
        <v>7 Years, 3 Months, 22 Days</v>
      </c>
      <c r="T127" s="31">
        <f t="shared" ca="1" si="21"/>
        <v>2670.07</v>
      </c>
      <c r="U127" s="31" t="str" cm="1">
        <f t="array" ref="U127">_xlfn.IFS(OR(R127="Missing",R127="N/A",R127="Still Employed"),"Unknown",ISNUMBER(R127),"Exited",TRUE,"Unknown")</f>
        <v>Unknown</v>
      </c>
      <c r="V127" s="31" t="str">
        <f t="shared" si="22"/>
        <v/>
      </c>
      <c r="W127" s="14" t="str">
        <f t="shared" si="23"/>
        <v>Active</v>
      </c>
      <c r="X127" s="19" t="s">
        <v>609</v>
      </c>
      <c r="Y127" s="18" t="str">
        <f t="shared" si="17"/>
        <v>Rs. 74,385</v>
      </c>
      <c r="Z127" s="22" t="str" cm="1">
        <f t="array" ref="Z127">_xlfn.IFS(Y127="","0",LEFT(Y127,5)="",Y127,LEFT(Y127,1)="₹",REPLACE(Y127,1,1,""),LEFT(Y127,4)="Rs. ",REPLACE(Y127,1,4,""),TRUE,Y127)</f>
        <v>74,385</v>
      </c>
      <c r="AA127" s="22" t="str">
        <f t="shared" si="18"/>
        <v>74385</v>
      </c>
      <c r="AB127" s="7" t="s">
        <v>51</v>
      </c>
      <c r="AC127" s="7" t="str">
        <f t="shared" si="19"/>
        <v>Excellent</v>
      </c>
      <c r="AD127" s="7">
        <v>-2</v>
      </c>
      <c r="AE127" t="str" cm="1">
        <f t="array" ref="AE127">_xlfn.IFS(AD127="",0,AD127&lt;0,"Negate Leave",AD127&gt;=0,AD127)</f>
        <v>Negate Leave</v>
      </c>
    </row>
    <row r="128" spans="1:31" x14ac:dyDescent="0.3">
      <c r="A128" s="7">
        <v>5107</v>
      </c>
      <c r="B128" s="7" t="s">
        <v>605</v>
      </c>
      <c r="C128" s="7" t="str">
        <f t="shared" si="13"/>
        <v>Aarav  Trivedi</v>
      </c>
      <c r="D128" s="7" t="str">
        <f t="shared" si="14"/>
        <v>Aarav Trivedi</v>
      </c>
      <c r="E128" s="7" t="s">
        <v>61</v>
      </c>
      <c r="F128" s="7" t="s">
        <v>122</v>
      </c>
      <c r="G128" s="7" t="s">
        <v>91</v>
      </c>
      <c r="H128" s="7" t="str">
        <f>_xlfn.XLOOKUP(G128,Lookup_Tables!$A$4:$A$9,Lookup_Tables!$C$4:$C$9,"Not Found",0)</f>
        <v>Rajiv Kapoor</v>
      </c>
      <c r="I128" s="7" t="s">
        <v>110</v>
      </c>
      <c r="J128" s="7" t="s">
        <v>611</v>
      </c>
      <c r="K128" s="7" t="str">
        <f t="shared" si="15"/>
        <v>sanjay.kapoor@company.com</v>
      </c>
      <c r="L128" s="7" t="s">
        <v>612</v>
      </c>
      <c r="M128" s="7" t="str">
        <f t="shared" ref="M128:M190" si="24">SUBSTITUTE(L128," ","")</f>
        <v>8507882057</v>
      </c>
      <c r="N128" s="7" t="str" cm="1">
        <f t="array" ref="N128">_xlfn.IFS(M128="","Incomplete",LEN(M128)&lt;10,"Invalid",AND(LEN(M128) =10,LEFT(M128,4) &lt;&gt;"+91-"),"+91-"&amp;M128,TRUE,M128)</f>
        <v>+91-8507882057</v>
      </c>
      <c r="O128" s="8" t="s">
        <v>613</v>
      </c>
      <c r="P128" s="14"/>
      <c r="Q128" s="14" t="str">
        <f t="shared" si="16"/>
        <v>Missing</v>
      </c>
      <c r="R128" s="14" t="str" cm="1">
        <f t="array" ref="R128">_xlfn.IFS(OR(Q128="Missing",Q128="N/A",Q128="Still Employed"),Q128,ISNUMBER(SEARCH(",",Q128)),DATEVALUE(Q128),AND(ISNUMBER(SEARCH("-",Q128)),ISNUMBER(VALUE(LEFT(Q128,4)))),DATE(LEFT(Q128,4),MID(Q128,6,2),RIGHT(Q128,2)),ISNUMBER(SEARCH("-",Q128)),DATE(RIGHT(Q128,4),MID(Q128,4,2),LEFT(Q128,2)),ISNUMBER(SEARCH("/",Q128)),DATE(RIGHT(Q128,4),MID(Q128,4,2),LEFT(Q128,2)),TRUE,"Check Manually")</f>
        <v>Missing</v>
      </c>
      <c r="S128" s="31" t="str">
        <f t="shared" ca="1" si="20"/>
        <v>4 Years, 5 Months, 21 Days</v>
      </c>
      <c r="T128" s="31">
        <f t="shared" ca="1" si="21"/>
        <v>1634.2</v>
      </c>
      <c r="U128" s="31" t="str" cm="1">
        <f t="array" ref="U128">_xlfn.IFS(OR(R128="Missing",R128="N/A",R128="Still Employed"),"Unknown",ISNUMBER(R128),"Exited",TRUE,"Unknown")</f>
        <v>Unknown</v>
      </c>
      <c r="V128" s="31" t="str">
        <f t="shared" si="22"/>
        <v/>
      </c>
      <c r="W128" s="14" t="str">
        <f t="shared" si="23"/>
        <v>Active</v>
      </c>
      <c r="X128" s="19">
        <v>153133</v>
      </c>
      <c r="Y128" s="18" t="str">
        <f t="shared" si="17"/>
        <v>153133</v>
      </c>
      <c r="Z128" s="22" t="str" cm="1">
        <f t="array" ref="Z128">_xlfn.IFS(Y128="","0",LEFT(Y128,5)="",Y128,LEFT(Y128,1)="₹",REPLACE(Y128,1,1,""),LEFT(Y128,4)="Rs. ",REPLACE(Y128,1,4,""),TRUE,Y128)</f>
        <v>153133</v>
      </c>
      <c r="AA128" s="22" t="str">
        <f t="shared" si="18"/>
        <v>153133</v>
      </c>
      <c r="AB128" s="7" t="s">
        <v>95</v>
      </c>
      <c r="AC128" s="7" t="str">
        <f t="shared" si="19"/>
        <v>Average</v>
      </c>
      <c r="AD128" s="7">
        <v>-3</v>
      </c>
      <c r="AE128" t="str" cm="1">
        <f t="array" ref="AE128">_xlfn.IFS(AD128="",0,AD128&lt;0,"Negate Leave",AD128&gt;=0,AD128)</f>
        <v>Negate Leave</v>
      </c>
    </row>
    <row r="129" spans="1:31" x14ac:dyDescent="0.3">
      <c r="A129" s="7">
        <v>5275</v>
      </c>
      <c r="B129" s="7" t="s">
        <v>610</v>
      </c>
      <c r="C129" s="7" t="str">
        <f t="shared" ref="C129:C191" si="25">IF(ISNUMBER(SEARCH(",",B129)), TRIM(MID(B129,FIND(",",B129)+1,LEN(B129))&amp;" "&amp;LEFT(B129,FIND(",",B129)-1)), B129)</f>
        <v>sanjay kapoor</v>
      </c>
      <c r="D129" s="7" t="str">
        <f t="shared" ref="D129:D191" si="26">PROPER(TRIM(C129))</f>
        <v>Sanjay Kapoor</v>
      </c>
      <c r="E129" s="7" t="s">
        <v>61</v>
      </c>
      <c r="F129" s="7" t="s">
        <v>53</v>
      </c>
      <c r="G129" s="7" t="s">
        <v>54</v>
      </c>
      <c r="H129" s="7" t="str">
        <f>_xlfn.XLOOKUP(G129,Lookup_Tables!$A$4:$A$9,Lookup_Tables!$C$4:$C$9,"Not Found",0)</f>
        <v>Leela Iyer</v>
      </c>
      <c r="I129" s="7" t="s">
        <v>175</v>
      </c>
      <c r="J129" s="7" t="s">
        <v>615</v>
      </c>
      <c r="K129" s="7" t="str">
        <f t="shared" ref="K129:K191" si="27">IF(J129="","No Email ID",SUBSTITUTE(J129,"companycom","company.com"))</f>
        <v>rajesh.rao@company.com</v>
      </c>
      <c r="L129" s="7" t="s">
        <v>616</v>
      </c>
      <c r="M129" s="7" t="str">
        <f t="shared" si="24"/>
        <v>9363857849</v>
      </c>
      <c r="N129" s="7" t="str" cm="1">
        <f t="array" ref="N129">_xlfn.IFS(M129="","Incomplete",LEN(M129)&lt;10,"Invalid",AND(LEN(M129) =10,LEFT(M129,4) &lt;&gt;"+91-"),"+91-"&amp;M129,TRUE,M129)</f>
        <v>+91-9363857849</v>
      </c>
      <c r="O129" s="8" t="s">
        <v>617</v>
      </c>
      <c r="P129" s="14"/>
      <c r="Q129" s="14" t="str">
        <f t="shared" si="16"/>
        <v>Missing</v>
      </c>
      <c r="R129" s="14" t="str" cm="1">
        <f t="array" ref="R129">_xlfn.IFS(OR(Q129="Missing",Q129="N/A",Q129="Still Employed"),Q129,ISNUMBER(SEARCH(",",Q129)),DATEVALUE(Q129),AND(ISNUMBER(SEARCH("-",Q129)),ISNUMBER(VALUE(LEFT(Q129,4)))),DATE(LEFT(Q129,4),MID(Q129,6,2),RIGHT(Q129,2)),ISNUMBER(SEARCH("-",Q129)),DATE(RIGHT(Q129,4),MID(Q129,4,2),LEFT(Q129,2)),ISNUMBER(SEARCH("/",Q129)),DATE(RIGHT(Q129,4),MID(Q129,4,2),LEFT(Q129,2)),TRUE,"Check Manually")</f>
        <v>Missing</v>
      </c>
      <c r="S129" s="31" t="str">
        <f t="shared" ca="1" si="20"/>
        <v>2 Years, 0 Months, 29 Days</v>
      </c>
      <c r="T129" s="31">
        <f t="shared" ca="1" si="21"/>
        <v>759.5</v>
      </c>
      <c r="U129" s="31" t="str" cm="1">
        <f t="array" ref="U129">_xlfn.IFS(OR(R129="Missing",R129="N/A",R129="Still Employed"),"Unknown",ISNUMBER(R129),"Exited",TRUE,"Unknown")</f>
        <v>Unknown</v>
      </c>
      <c r="V129" s="31" t="str">
        <f t="shared" si="22"/>
        <v/>
      </c>
      <c r="W129" s="14" t="str">
        <f t="shared" si="23"/>
        <v>Active</v>
      </c>
      <c r="X129" s="19" t="s">
        <v>618</v>
      </c>
      <c r="Y129" s="18" t="str">
        <f t="shared" ref="Y129:Y191" si="28">TRIM(X129)</f>
        <v>Rs. 58,028</v>
      </c>
      <c r="Z129" s="22" t="str" cm="1">
        <f t="array" ref="Z129">_xlfn.IFS(Y129="","0",LEFT(Y129,5)="",Y129,LEFT(Y129,1)="₹",REPLACE(Y129,1,1,""),LEFT(Y129,4)="Rs. ",REPLACE(Y129,1,4,""),TRUE,Y129)</f>
        <v>58,028</v>
      </c>
      <c r="AA129" s="22" t="str">
        <f t="shared" ref="AA129:AA191" si="29">SUBSTITUTE(Z129,",","")</f>
        <v>58028</v>
      </c>
      <c r="AB129" s="7" t="s">
        <v>144</v>
      </c>
      <c r="AC129" s="7" t="str">
        <f t="shared" ref="AC129:AC191" si="30">IF(AB129="","Not Rated",AB129)</f>
        <v>Poor</v>
      </c>
      <c r="AD129" s="7">
        <v>4</v>
      </c>
      <c r="AE129" cm="1">
        <f t="array" ref="AE129">_xlfn.IFS(AD129="",0,AD129&lt;0,"Negate Leave",AD129&gt;=0,AD129)</f>
        <v>4</v>
      </c>
    </row>
    <row r="130" spans="1:31" x14ac:dyDescent="0.3">
      <c r="A130" s="7">
        <v>5082</v>
      </c>
      <c r="B130" s="7" t="s">
        <v>614</v>
      </c>
      <c r="C130" s="7" t="str">
        <f t="shared" si="25"/>
        <v>RAJESH RAO</v>
      </c>
      <c r="D130" s="7" t="str">
        <f t="shared" si="26"/>
        <v>Rajesh Rao</v>
      </c>
      <c r="E130" s="7" t="s">
        <v>61</v>
      </c>
      <c r="F130" s="7" t="s">
        <v>122</v>
      </c>
      <c r="G130" s="7" t="s">
        <v>91</v>
      </c>
      <c r="H130" s="7" t="str">
        <f>_xlfn.XLOOKUP(G130,Lookup_Tables!$A$4:$A$9,Lookup_Tables!$C$4:$C$9,"Not Found",0)</f>
        <v>Rajiv Kapoor</v>
      </c>
      <c r="I130" s="7" t="s">
        <v>62</v>
      </c>
      <c r="J130" s="7" t="s">
        <v>224</v>
      </c>
      <c r="K130" s="7" t="str">
        <f t="shared" si="27"/>
        <v>rahul.bose@company.com</v>
      </c>
      <c r="L130" s="7" t="s">
        <v>619</v>
      </c>
      <c r="M130" s="7" t="str">
        <f t="shared" si="24"/>
        <v>+91-6092406123</v>
      </c>
      <c r="N130" s="7" t="str" cm="1">
        <f t="array" ref="N130">_xlfn.IFS(M130="","Incomplete",LEN(M130)&lt;10,"Invalid",AND(LEN(M130) =10,LEFT(M130,4) &lt;&gt;"+91-"),"+91-"&amp;M130,TRUE,M130)</f>
        <v>+91-6092406123</v>
      </c>
      <c r="O130" s="8" t="s">
        <v>620</v>
      </c>
      <c r="P130" s="14"/>
      <c r="Q130" s="14" t="str">
        <f t="shared" ref="Q130:Q193" si="31">IF(P130="","Missing",P130)</f>
        <v>Missing</v>
      </c>
      <c r="R130" s="14" t="str" cm="1">
        <f t="array" ref="R130">_xlfn.IFS(OR(Q130="Missing",Q130="N/A",Q130="Still Employed"),Q130,ISNUMBER(SEARCH(",",Q130)),DATEVALUE(Q130),AND(ISNUMBER(SEARCH("-",Q130)),ISNUMBER(VALUE(LEFT(Q130,4)))),DATE(LEFT(Q130,4),MID(Q130,6,2),RIGHT(Q130,2)),ISNUMBER(SEARCH("-",Q130)),DATE(RIGHT(Q130,4),MID(Q130,4,2),LEFT(Q130,2)),ISNUMBER(SEARCH("/",Q130)),DATE(RIGHT(Q130,4),MID(Q130,4,2),LEFT(Q130,2)),TRUE,"Check Manually")</f>
        <v>Missing</v>
      </c>
      <c r="S130" s="31" t="str">
        <f t="shared" ca="1" si="20"/>
        <v>4 Years, 0 Months, 7 Days</v>
      </c>
      <c r="T130" s="31">
        <f t="shared" ca="1" si="21"/>
        <v>1468</v>
      </c>
      <c r="U130" s="31" t="str" cm="1">
        <f t="array" ref="U130">_xlfn.IFS(OR(R130="Missing",R130="N/A",R130="Still Employed"),"Unknown",ISNUMBER(R130),"Exited",TRUE,"Unknown")</f>
        <v>Unknown</v>
      </c>
      <c r="V130" s="31" t="str">
        <f t="shared" si="22"/>
        <v/>
      </c>
      <c r="W130" s="14" t="str">
        <f t="shared" si="23"/>
        <v>Active</v>
      </c>
      <c r="X130" s="19" t="s">
        <v>621</v>
      </c>
      <c r="Y130" s="18" t="str">
        <f t="shared" si="28"/>
        <v>₹67,188</v>
      </c>
      <c r="Z130" s="22" t="str" cm="1">
        <f t="array" ref="Z130">_xlfn.IFS(Y130="","0",LEFT(Y130,5)="",Y130,LEFT(Y130,1)="₹",REPLACE(Y130,1,1,""),LEFT(Y130,4)="Rs. ",REPLACE(Y130,1,4,""),TRUE,Y130)</f>
        <v>67,188</v>
      </c>
      <c r="AA130" s="22" t="str">
        <f t="shared" si="29"/>
        <v>67188</v>
      </c>
      <c r="AB130" s="7" t="s">
        <v>144</v>
      </c>
      <c r="AC130" s="7" t="str">
        <f t="shared" si="30"/>
        <v>Poor</v>
      </c>
      <c r="AD130" s="7">
        <v>8</v>
      </c>
      <c r="AE130" cm="1">
        <f t="array" ref="AE130">_xlfn.IFS(AD130="",0,AD130&lt;0,"Negate Leave",AD130&gt;=0,AD130)</f>
        <v>8</v>
      </c>
    </row>
    <row r="131" spans="1:31" x14ac:dyDescent="0.3">
      <c r="A131" s="7">
        <v>5093</v>
      </c>
      <c r="B131" s="7" t="s">
        <v>223</v>
      </c>
      <c r="C131" s="7" t="str">
        <f t="shared" si="25"/>
        <v>Rahul Bose</v>
      </c>
      <c r="D131" s="7" t="str">
        <f t="shared" si="26"/>
        <v>Rahul Bose</v>
      </c>
      <c r="E131" s="7" t="s">
        <v>68</v>
      </c>
      <c r="F131" s="7" t="s">
        <v>53</v>
      </c>
      <c r="G131" s="7" t="s">
        <v>54</v>
      </c>
      <c r="H131" s="7" t="str">
        <f>_xlfn.XLOOKUP(G131,Lookup_Tables!$A$4:$A$9,Lookup_Tables!$C$4:$C$9,"Not Found",0)</f>
        <v>Leela Iyer</v>
      </c>
      <c r="I131" s="7" t="s">
        <v>62</v>
      </c>
      <c r="J131" s="7" t="s">
        <v>623</v>
      </c>
      <c r="K131" s="7" t="str">
        <f t="shared" si="27"/>
        <v>deepak.naidu@company.com</v>
      </c>
      <c r="L131" s="7" t="s">
        <v>624</v>
      </c>
      <c r="M131" s="7" t="str">
        <f t="shared" si="24"/>
        <v>9097394161</v>
      </c>
      <c r="N131" s="7" t="str" cm="1">
        <f t="array" ref="N131">_xlfn.IFS(M131="","Incomplete",LEN(M131)&lt;10,"Invalid",AND(LEN(M131) =10,LEFT(M131,4) &lt;&gt;"+91-"),"+91-"&amp;M131,TRUE,M131)</f>
        <v>+91-9097394161</v>
      </c>
      <c r="O131" s="8" t="s">
        <v>625</v>
      </c>
      <c r="P131" s="14"/>
      <c r="Q131" s="14" t="str">
        <f t="shared" si="31"/>
        <v>Missing</v>
      </c>
      <c r="R131" s="14" t="str" cm="1">
        <f t="array" ref="R131">_xlfn.IFS(OR(Q131="Missing",Q131="N/A",Q131="Still Employed"),Q131,ISNUMBER(SEARCH(",",Q131)),DATEVALUE(Q131),AND(ISNUMBER(SEARCH("-",Q131)),ISNUMBER(VALUE(LEFT(Q131,4)))),DATE(LEFT(Q131,4),MID(Q131,6,2),RIGHT(Q131,2)),ISNUMBER(SEARCH("-",Q131)),DATE(RIGHT(Q131,4),MID(Q131,4,2),LEFT(Q131,2)),ISNUMBER(SEARCH("/",Q131)),DATE(RIGHT(Q131,4),MID(Q131,4,2),LEFT(Q131,2)),TRUE,"Check Manually")</f>
        <v>Missing</v>
      </c>
      <c r="S131" s="31" t="str">
        <f t="shared" ref="S131:S194" ca="1" si="32">IF(OR(R131="Missing",R131="N/A",R131="Still Employed"),DATEDIF(O131,TODAY(),"y") &amp;" Years, " &amp;DATEDIF(O131,TODAY(),"ym") &amp; " Months, "&amp;DATEDIF(O131,TODAY(),"md") &amp;" Days",DATEDIF(O131,R131,"y") &amp;" Years, " &amp;DATEDIF(O131,R131,"ym") &amp; " Months, "&amp;DATEDIF(O131,R131,"md") &amp;" Days")</f>
        <v>2 Years, 10 Months, 6 Days</v>
      </c>
      <c r="T131" s="31">
        <f t="shared" ref="T131:T194" ca="1" si="33">VALUE(LEFT(S131,FIND(" Years",S131)-1))*365.25
+ VALUE(MID(S131,FIND(", ",S131)+2,FIND(" Months",S131)-FIND(", ",S131)-2))*30.44
+ VALUE(MID(S131,FIND("Months, ",S131)+8,FIND(" Days",S131)-FIND("Months, ",S131)-8))</f>
        <v>1040.9000000000001</v>
      </c>
      <c r="U131" s="31" t="str" cm="1">
        <f t="array" ref="U131">_xlfn.IFS(OR(R131="Missing",R131="N/A",R131="Still Employed"),"Unknown",ISNUMBER(R131),"Exited",TRUE,"Unknown")</f>
        <v>Unknown</v>
      </c>
      <c r="V131" s="31" t="str">
        <f t="shared" ref="V131:V194" si="34">IF(U131="Exited",YEAR(R131),"")</f>
        <v/>
      </c>
      <c r="W131" s="14" t="str">
        <f t="shared" ref="W131:W194" si="35">IF(OR(R131="Missing",R131="N/A",R131="Still Employed"),"Active","Exited")</f>
        <v>Active</v>
      </c>
      <c r="X131" s="19" t="s">
        <v>626</v>
      </c>
      <c r="Y131" s="18" t="str">
        <f t="shared" si="28"/>
        <v>Rs. 67,044</v>
      </c>
      <c r="Z131" s="22" t="str" cm="1">
        <f t="array" ref="Z131">_xlfn.IFS(Y131="","0",LEFT(Y131,5)="",Y131,LEFT(Y131,1)="₹",REPLACE(Y131,1,1,""),LEFT(Y131,4)="Rs. ",REPLACE(Y131,1,4,""),TRUE,Y131)</f>
        <v>67,044</v>
      </c>
      <c r="AA131" s="22" t="str">
        <f t="shared" si="29"/>
        <v>67044</v>
      </c>
      <c r="AB131" s="7" t="s">
        <v>95</v>
      </c>
      <c r="AC131" s="7" t="str">
        <f t="shared" si="30"/>
        <v>Average</v>
      </c>
      <c r="AD131" s="7">
        <v>22</v>
      </c>
      <c r="AE131" cm="1">
        <f t="array" ref="AE131">_xlfn.IFS(AD131="",0,AD131&lt;0,"Negate Leave",AD131&gt;=0,AD131)</f>
        <v>22</v>
      </c>
    </row>
    <row r="132" spans="1:31" x14ac:dyDescent="0.3">
      <c r="A132" s="7">
        <v>5336</v>
      </c>
      <c r="B132" s="7" t="s">
        <v>622</v>
      </c>
      <c r="C132" s="7" t="str">
        <f t="shared" si="25"/>
        <v>deepak naidu</v>
      </c>
      <c r="D132" s="7" t="str">
        <f t="shared" si="26"/>
        <v>Deepak Naidu</v>
      </c>
      <c r="E132" s="7" t="s">
        <v>68</v>
      </c>
      <c r="F132" s="7" t="s">
        <v>389</v>
      </c>
      <c r="G132" s="7" t="s">
        <v>140</v>
      </c>
      <c r="H132" s="7" t="str">
        <f>_xlfn.XLOOKUP(G132,Lookup_Tables!$A$4:$A$9,Lookup_Tables!$C$4:$C$9,"Not Found",0)</f>
        <v>Sunita Rao</v>
      </c>
      <c r="I132" s="7" t="s">
        <v>70</v>
      </c>
      <c r="J132" s="7"/>
      <c r="K132" s="7" t="str">
        <f t="shared" si="27"/>
        <v>No Email ID</v>
      </c>
      <c r="L132" s="7"/>
      <c r="M132" s="7" t="str">
        <f t="shared" si="24"/>
        <v/>
      </c>
      <c r="N132" s="7" t="str" cm="1">
        <f t="array" ref="N132">_xlfn.IFS(M132="","Incomplete",LEN(M132)&lt;10,"Invalid",AND(LEN(M132) =10,LEFT(M132,4) &lt;&gt;"+91-"),"+91-"&amp;M132,TRUE,M132)</f>
        <v>Incomplete</v>
      </c>
      <c r="O132" s="8" t="s">
        <v>628</v>
      </c>
      <c r="P132" s="14" t="s">
        <v>114</v>
      </c>
      <c r="Q132" s="14" t="str">
        <f t="shared" si="31"/>
        <v>Still Employed</v>
      </c>
      <c r="R132" s="14" t="str" cm="1">
        <f t="array" ref="R132">_xlfn.IFS(OR(Q132="Missing",Q132="N/A",Q132="Still Employed"),Q132,ISNUMBER(SEARCH(",",Q132)),DATEVALUE(Q132),AND(ISNUMBER(SEARCH("-",Q132)),ISNUMBER(VALUE(LEFT(Q132,4)))),DATE(LEFT(Q132,4),MID(Q132,6,2),RIGHT(Q132,2)),ISNUMBER(SEARCH("-",Q132)),DATE(RIGHT(Q132,4),MID(Q132,4,2),LEFT(Q132,2)),ISNUMBER(SEARCH("/",Q132)),DATE(RIGHT(Q132,4),MID(Q132,4,2),LEFT(Q132,2)),TRUE,"Check Manually")</f>
        <v>Still Employed</v>
      </c>
      <c r="S132" s="31" t="str">
        <f t="shared" ca="1" si="32"/>
        <v>3 Years, 1 Months, 11 Days</v>
      </c>
      <c r="T132" s="31">
        <f t="shared" ca="1" si="33"/>
        <v>1137.19</v>
      </c>
      <c r="U132" s="31" t="str" cm="1">
        <f t="array" ref="U132">_xlfn.IFS(OR(R132="Missing",R132="N/A",R132="Still Employed"),"Unknown",ISNUMBER(R132),"Exited",TRUE,"Unknown")</f>
        <v>Unknown</v>
      </c>
      <c r="V132" s="31" t="str">
        <f t="shared" si="34"/>
        <v/>
      </c>
      <c r="W132" s="14" t="str">
        <f t="shared" si="35"/>
        <v>Active</v>
      </c>
      <c r="X132" s="19">
        <v>73373</v>
      </c>
      <c r="Y132" s="18" t="str">
        <f t="shared" si="28"/>
        <v>73373</v>
      </c>
      <c r="Z132" s="22" t="str" cm="1">
        <f t="array" ref="Z132">_xlfn.IFS(Y132="","0",LEFT(Y132,5)="",Y132,LEFT(Y132,1)="₹",REPLACE(Y132,1,1,""),LEFT(Y132,4)="Rs. ",REPLACE(Y132,1,4,""),TRUE,Y132)</f>
        <v>73373</v>
      </c>
      <c r="AA132" s="22" t="str">
        <f t="shared" si="29"/>
        <v>73373</v>
      </c>
      <c r="AB132" s="7" t="s">
        <v>95</v>
      </c>
      <c r="AC132" s="7" t="str">
        <f t="shared" si="30"/>
        <v>Average</v>
      </c>
      <c r="AD132" s="7">
        <v>17</v>
      </c>
      <c r="AE132" cm="1">
        <f t="array" ref="AE132">_xlfn.IFS(AD132="",0,AD132&lt;0,"Negate Leave",AD132&gt;=0,AD132)</f>
        <v>17</v>
      </c>
    </row>
    <row r="133" spans="1:31" x14ac:dyDescent="0.3">
      <c r="A133" s="7">
        <v>5030</v>
      </c>
      <c r="B133" s="7" t="s">
        <v>627</v>
      </c>
      <c r="C133" s="7" t="str">
        <f t="shared" si="25"/>
        <v>KAVYA BOSE</v>
      </c>
      <c r="D133" s="7" t="str">
        <f t="shared" si="26"/>
        <v>Kavya Bose</v>
      </c>
      <c r="E133" s="7" t="s">
        <v>61</v>
      </c>
      <c r="F133" s="7" t="s">
        <v>151</v>
      </c>
      <c r="G133" s="7" t="s">
        <v>76</v>
      </c>
      <c r="H133" s="7" t="str">
        <f>_xlfn.XLOOKUP(G133,Lookup_Tables!$A$4:$A$9,Lookup_Tables!$C$4:$C$9,"Not Found",0)</f>
        <v>Ananya Sen</v>
      </c>
      <c r="I133" s="7" t="s">
        <v>62</v>
      </c>
      <c r="J133" s="7"/>
      <c r="K133" s="7" t="str">
        <f t="shared" si="27"/>
        <v>No Email ID</v>
      </c>
      <c r="L133" s="7" t="s">
        <v>630</v>
      </c>
      <c r="M133" s="7" t="str">
        <f t="shared" si="24"/>
        <v>4314453888</v>
      </c>
      <c r="N133" s="7" t="str" cm="1">
        <f t="array" ref="N133">_xlfn.IFS(M133="","Incomplete",LEN(M133)&lt;10,"Invalid",AND(LEN(M133) =10,LEFT(M133,4) &lt;&gt;"+91-"),"+91-"&amp;M133,TRUE,M133)</f>
        <v>+91-4314453888</v>
      </c>
      <c r="O133" s="8" t="s">
        <v>631</v>
      </c>
      <c r="P133" s="14"/>
      <c r="Q133" s="14" t="str">
        <f t="shared" si="31"/>
        <v>Missing</v>
      </c>
      <c r="R133" s="14" t="str" cm="1">
        <f t="array" ref="R133">_xlfn.IFS(OR(Q133="Missing",Q133="N/A",Q133="Still Employed"),Q133,ISNUMBER(SEARCH(",",Q133)),DATEVALUE(Q133),AND(ISNUMBER(SEARCH("-",Q133)),ISNUMBER(VALUE(LEFT(Q133,4)))),DATE(LEFT(Q133,4),MID(Q133,6,2),RIGHT(Q133,2)),ISNUMBER(SEARCH("-",Q133)),DATE(RIGHT(Q133,4),MID(Q133,4,2),LEFT(Q133,2)),ISNUMBER(SEARCH("/",Q133)),DATE(RIGHT(Q133,4),MID(Q133,4,2),LEFT(Q133,2)),TRUE,"Check Manually")</f>
        <v>Missing</v>
      </c>
      <c r="S133" s="31" t="str">
        <f t="shared" ca="1" si="32"/>
        <v>5 Years, 8 Months, 4 Days</v>
      </c>
      <c r="T133" s="31">
        <f t="shared" ca="1" si="33"/>
        <v>2073.77</v>
      </c>
      <c r="U133" s="31" t="str" cm="1">
        <f t="array" ref="U133">_xlfn.IFS(OR(R133="Missing",R133="N/A",R133="Still Employed"),"Unknown",ISNUMBER(R133),"Exited",TRUE,"Unknown")</f>
        <v>Unknown</v>
      </c>
      <c r="V133" s="31" t="str">
        <f t="shared" si="34"/>
        <v/>
      </c>
      <c r="W133" s="14" t="str">
        <f t="shared" si="35"/>
        <v>Active</v>
      </c>
      <c r="X133" s="19" t="s">
        <v>632</v>
      </c>
      <c r="Y133" s="18" t="str">
        <f t="shared" si="28"/>
        <v>Rs. 131,561</v>
      </c>
      <c r="Z133" s="22" t="str" cm="1">
        <f t="array" ref="Z133">_xlfn.IFS(Y133="","0",LEFT(Y133,5)="",Y133,LEFT(Y133,1)="₹",REPLACE(Y133,1,1,""),LEFT(Y133,4)="Rs. ",REPLACE(Y133,1,4,""),TRUE,Y133)</f>
        <v>131,561</v>
      </c>
      <c r="AA133" s="22" t="str">
        <f t="shared" si="29"/>
        <v>131561</v>
      </c>
      <c r="AB133" s="7" t="s">
        <v>95</v>
      </c>
      <c r="AC133" s="7" t="str">
        <f t="shared" si="30"/>
        <v>Average</v>
      </c>
      <c r="AD133" s="7">
        <v>24</v>
      </c>
      <c r="AE133" cm="1">
        <f t="array" ref="AE133">_xlfn.IFS(AD133="",0,AD133&lt;0,"Negate Leave",AD133&gt;=0,AD133)</f>
        <v>24</v>
      </c>
    </row>
    <row r="134" spans="1:31" x14ac:dyDescent="0.3">
      <c r="A134" s="7">
        <v>5196</v>
      </c>
      <c r="B134" s="7" t="s">
        <v>629</v>
      </c>
      <c r="C134" s="7" t="str">
        <f t="shared" si="25"/>
        <v>Rahul Rao</v>
      </c>
      <c r="D134" s="7" t="str">
        <f t="shared" si="26"/>
        <v>Rahul Rao</v>
      </c>
      <c r="E134" s="7" t="s">
        <v>68</v>
      </c>
      <c r="F134" s="7" t="s">
        <v>122</v>
      </c>
      <c r="G134" s="7" t="s">
        <v>91</v>
      </c>
      <c r="H134" s="7" t="str">
        <f>_xlfn.XLOOKUP(G134,Lookup_Tables!$A$4:$A$9,Lookup_Tables!$C$4:$C$9,"Not Found",0)</f>
        <v>Rajiv Kapoor</v>
      </c>
      <c r="I134" s="7" t="s">
        <v>70</v>
      </c>
      <c r="J134" s="7" t="s">
        <v>634</v>
      </c>
      <c r="K134" s="7" t="str">
        <f t="shared" si="27"/>
        <v>kirtishah@company.com</v>
      </c>
      <c r="L134" s="7" t="s">
        <v>635</v>
      </c>
      <c r="M134" s="7" t="str">
        <f t="shared" si="24"/>
        <v>8224792009</v>
      </c>
      <c r="N134" s="7" t="str" cm="1">
        <f t="array" ref="N134">_xlfn.IFS(M134="","Incomplete",LEN(M134)&lt;10,"Invalid",AND(LEN(M134) =10,LEFT(M134,4) &lt;&gt;"+91-"),"+91-"&amp;M134,TRUE,M134)</f>
        <v>+91-8224792009</v>
      </c>
      <c r="O134" s="8" t="s">
        <v>636</v>
      </c>
      <c r="P134" s="14"/>
      <c r="Q134" s="14" t="str">
        <f t="shared" si="31"/>
        <v>Missing</v>
      </c>
      <c r="R134" s="14" t="str" cm="1">
        <f t="array" ref="R134">_xlfn.IFS(OR(Q134="Missing",Q134="N/A",Q134="Still Employed"),Q134,ISNUMBER(SEARCH(",",Q134)),DATEVALUE(Q134),AND(ISNUMBER(SEARCH("-",Q134)),ISNUMBER(VALUE(LEFT(Q134,4)))),DATE(LEFT(Q134,4),MID(Q134,6,2),RIGHT(Q134,2)),ISNUMBER(SEARCH("-",Q134)),DATE(RIGHT(Q134,4),MID(Q134,4,2),LEFT(Q134,2)),ISNUMBER(SEARCH("/",Q134)),DATE(RIGHT(Q134,4),MID(Q134,4,2),LEFT(Q134,2)),TRUE,"Check Manually")</f>
        <v>Missing</v>
      </c>
      <c r="S134" s="31" t="str">
        <f t="shared" ca="1" si="32"/>
        <v>3 Years, 7 Months, 16 Days</v>
      </c>
      <c r="T134" s="31">
        <f t="shared" ca="1" si="33"/>
        <v>1324.83</v>
      </c>
      <c r="U134" s="31" t="str" cm="1">
        <f t="array" ref="U134">_xlfn.IFS(OR(R134="Missing",R134="N/A",R134="Still Employed"),"Unknown",ISNUMBER(R134),"Exited",TRUE,"Unknown")</f>
        <v>Unknown</v>
      </c>
      <c r="V134" s="31" t="str">
        <f t="shared" si="34"/>
        <v/>
      </c>
      <c r="W134" s="14" t="str">
        <f t="shared" si="35"/>
        <v>Active</v>
      </c>
      <c r="X134" s="19">
        <v>112568</v>
      </c>
      <c r="Y134" s="18" t="str">
        <f t="shared" si="28"/>
        <v>112568</v>
      </c>
      <c r="Z134" s="22" t="str" cm="1">
        <f t="array" ref="Z134">_xlfn.IFS(Y134="","0",LEFT(Y134,5)="",Y134,LEFT(Y134,1)="₹",REPLACE(Y134,1,1,""),LEFT(Y134,4)="Rs. ",REPLACE(Y134,1,4,""),TRUE,Y134)</f>
        <v>112568</v>
      </c>
      <c r="AA134" s="22" t="str">
        <f t="shared" si="29"/>
        <v>112568</v>
      </c>
      <c r="AB134" s="7" t="s">
        <v>51</v>
      </c>
      <c r="AC134" s="7" t="str">
        <f t="shared" si="30"/>
        <v>Excellent</v>
      </c>
      <c r="AD134" s="7">
        <v>4</v>
      </c>
      <c r="AE134" cm="1">
        <f t="array" ref="AE134">_xlfn.IFS(AD134="",0,AD134&lt;0,"Negate Leave",AD134&gt;=0,AD134)</f>
        <v>4</v>
      </c>
    </row>
    <row r="135" spans="1:31" x14ac:dyDescent="0.3">
      <c r="A135" s="7">
        <v>5281</v>
      </c>
      <c r="B135" s="7" t="s">
        <v>633</v>
      </c>
      <c r="C135" s="7" t="str">
        <f t="shared" si="25"/>
        <v>KIRTI SHAH</v>
      </c>
      <c r="D135" s="7" t="str">
        <f t="shared" si="26"/>
        <v>Kirti Shah</v>
      </c>
      <c r="E135" s="7" t="s">
        <v>68</v>
      </c>
      <c r="F135" s="7" t="s">
        <v>389</v>
      </c>
      <c r="G135" s="7" t="s">
        <v>140</v>
      </c>
      <c r="H135" s="7" t="str">
        <f>_xlfn.XLOOKUP(G135,Lookup_Tables!$A$4:$A$9,Lookup_Tables!$C$4:$C$9,"Not Found",0)</f>
        <v>Sunita Rao</v>
      </c>
      <c r="I135" s="7" t="s">
        <v>175</v>
      </c>
      <c r="J135" s="7" t="s">
        <v>237</v>
      </c>
      <c r="K135" s="7" t="str">
        <f t="shared" si="27"/>
        <v>simran.pillai@company.com</v>
      </c>
      <c r="L135" s="7" t="s">
        <v>638</v>
      </c>
      <c r="M135" s="7" t="str">
        <f t="shared" si="24"/>
        <v>40321835</v>
      </c>
      <c r="N135" s="7" t="str" cm="1">
        <f t="array" ref="N135">_xlfn.IFS(M135="","Incomplete",LEN(M135)&lt;10,"Invalid",AND(LEN(M135) =10,LEFT(M135,4) &lt;&gt;"+91-"),"+91-"&amp;M135,TRUE,M135)</f>
        <v>Invalid</v>
      </c>
      <c r="O135" s="8" t="s">
        <v>639</v>
      </c>
      <c r="P135" s="14" t="s">
        <v>126</v>
      </c>
      <c r="Q135" s="14" t="str">
        <f t="shared" si="31"/>
        <v>N/A</v>
      </c>
      <c r="R135" s="14" t="str" cm="1">
        <f t="array" ref="R135">_xlfn.IFS(OR(Q135="Missing",Q135="N/A",Q135="Still Employed"),Q135,ISNUMBER(SEARCH(",",Q135)),DATEVALUE(Q135),AND(ISNUMBER(SEARCH("-",Q135)),ISNUMBER(VALUE(LEFT(Q135,4)))),DATE(LEFT(Q135,4),MID(Q135,6,2),RIGHT(Q135,2)),ISNUMBER(SEARCH("-",Q135)),DATE(RIGHT(Q135,4),MID(Q135,4,2),LEFT(Q135,2)),ISNUMBER(SEARCH("/",Q135)),DATE(RIGHT(Q135,4),MID(Q135,4,2),LEFT(Q135,2)),TRUE,"Check Manually")</f>
        <v>N/A</v>
      </c>
      <c r="S135" s="31" t="str">
        <f t="shared" ca="1" si="32"/>
        <v>4 Years, 0 Months, 26 Days</v>
      </c>
      <c r="T135" s="31">
        <f t="shared" ca="1" si="33"/>
        <v>1487</v>
      </c>
      <c r="U135" s="31" t="str" cm="1">
        <f t="array" ref="U135">_xlfn.IFS(OR(R135="Missing",R135="N/A",R135="Still Employed"),"Unknown",ISNUMBER(R135),"Exited",TRUE,"Unknown")</f>
        <v>Unknown</v>
      </c>
      <c r="V135" s="31" t="str">
        <f t="shared" si="34"/>
        <v/>
      </c>
      <c r="W135" s="14" t="str">
        <f t="shared" si="35"/>
        <v>Active</v>
      </c>
      <c r="X135" s="19">
        <v>132811</v>
      </c>
      <c r="Y135" s="18" t="str">
        <f t="shared" si="28"/>
        <v>132811</v>
      </c>
      <c r="Z135" s="22" t="str" cm="1">
        <f t="array" ref="Z135">_xlfn.IFS(Y135="","0",LEFT(Y135,5)="",Y135,LEFT(Y135,1)="₹",REPLACE(Y135,1,1,""),LEFT(Y135,4)="Rs. ",REPLACE(Y135,1,4,""),TRUE,Y135)</f>
        <v>132811</v>
      </c>
      <c r="AA135" s="22" t="str">
        <f t="shared" si="29"/>
        <v>132811</v>
      </c>
      <c r="AB135" s="7"/>
      <c r="AC135" s="7" t="str">
        <f t="shared" si="30"/>
        <v>Not Rated</v>
      </c>
      <c r="AD135" s="7">
        <v>8</v>
      </c>
      <c r="AE135" cm="1">
        <f t="array" ref="AE135">_xlfn.IFS(AD135="",0,AD135&lt;0,"Negate Leave",AD135&gt;=0,AD135)</f>
        <v>8</v>
      </c>
    </row>
    <row r="136" spans="1:31" x14ac:dyDescent="0.3">
      <c r="A136" s="7">
        <v>5318</v>
      </c>
      <c r="B136" s="7" t="s">
        <v>637</v>
      </c>
      <c r="C136" s="7" t="str">
        <f t="shared" si="25"/>
        <v>Simran Pillai</v>
      </c>
      <c r="D136" s="7" t="str">
        <f t="shared" si="26"/>
        <v>Simran Pillai</v>
      </c>
      <c r="E136" s="7" t="s">
        <v>61</v>
      </c>
      <c r="F136" s="7" t="s">
        <v>151</v>
      </c>
      <c r="G136" s="7" t="s">
        <v>76</v>
      </c>
      <c r="H136" s="7" t="str">
        <f>_xlfn.XLOOKUP(G136,Lookup_Tables!$A$4:$A$9,Lookup_Tables!$C$4:$C$9,"Not Found",0)</f>
        <v>Ananya Sen</v>
      </c>
      <c r="I136" s="7" t="s">
        <v>77</v>
      </c>
      <c r="J136" s="7" t="s">
        <v>156</v>
      </c>
      <c r="K136" s="7" t="str">
        <f t="shared" si="27"/>
        <v>varun.rao@company.com</v>
      </c>
      <c r="L136" s="7" t="s">
        <v>640</v>
      </c>
      <c r="M136" s="7" t="str">
        <f t="shared" si="24"/>
        <v>1986571528</v>
      </c>
      <c r="N136" s="7" t="str" cm="1">
        <f t="array" ref="N136">_xlfn.IFS(M136="","Incomplete",LEN(M136)&lt;10,"Invalid",AND(LEN(M136) =10,LEFT(M136,4) &lt;&gt;"+91-"),"+91-"&amp;M136,TRUE,M136)</f>
        <v>+91-1986571528</v>
      </c>
      <c r="O136" s="8" t="s">
        <v>641</v>
      </c>
      <c r="P136" s="14" t="s">
        <v>642</v>
      </c>
      <c r="Q136" s="14" t="str">
        <f t="shared" si="31"/>
        <v>Oct 24, 2024</v>
      </c>
      <c r="R136" s="14" cm="1">
        <f t="array" ref="R136">_xlfn.IFS(OR(Q136="Missing",Q136="N/A",Q136="Still Employed"),Q136,ISNUMBER(SEARCH(",",Q136)),DATEVALUE(Q136),AND(ISNUMBER(SEARCH("-",Q136)),ISNUMBER(VALUE(LEFT(Q136,4)))),DATE(LEFT(Q136,4),MID(Q136,6,2),RIGHT(Q136,2)),ISNUMBER(SEARCH("-",Q136)),DATE(RIGHT(Q136,4),MID(Q136,4,2),LEFT(Q136,2)),ISNUMBER(SEARCH("/",Q136)),DATE(RIGHT(Q136,4),MID(Q136,4,2),LEFT(Q136,2)),TRUE,"Check Manually")</f>
        <v>45589</v>
      </c>
      <c r="S136" s="31" t="str">
        <f t="shared" ca="1" si="32"/>
        <v>3 Years, 1 Months, 3 Days</v>
      </c>
      <c r="T136" s="31">
        <f t="shared" ca="1" si="33"/>
        <v>1129.19</v>
      </c>
      <c r="U136" s="31" t="str" cm="1">
        <f t="array" ref="U136">_xlfn.IFS(OR(R136="Missing",R136="N/A",R136="Still Employed"),"Unknown",ISNUMBER(R136),"Exited",TRUE,"Unknown")</f>
        <v>Exited</v>
      </c>
      <c r="V136" s="31">
        <f t="shared" si="34"/>
        <v>2024</v>
      </c>
      <c r="W136" s="14" t="str">
        <f t="shared" si="35"/>
        <v>Exited</v>
      </c>
      <c r="X136" s="19">
        <v>47111</v>
      </c>
      <c r="Y136" s="18" t="str">
        <f t="shared" si="28"/>
        <v>47111</v>
      </c>
      <c r="Z136" s="22" t="str" cm="1">
        <f t="array" ref="Z136">_xlfn.IFS(Y136="","0",LEFT(Y136,5)="",Y136,LEFT(Y136,1)="₹",REPLACE(Y136,1,1,""),LEFT(Y136,4)="Rs. ",REPLACE(Y136,1,4,""),TRUE,Y136)</f>
        <v>47111</v>
      </c>
      <c r="AA136" s="22" t="str">
        <f t="shared" si="29"/>
        <v>47111</v>
      </c>
      <c r="AB136" s="7" t="s">
        <v>144</v>
      </c>
      <c r="AC136" s="7" t="str">
        <f t="shared" si="30"/>
        <v>Poor</v>
      </c>
      <c r="AD136" s="7">
        <v>18</v>
      </c>
      <c r="AE136" cm="1">
        <f t="array" ref="AE136">_xlfn.IFS(AD136="",0,AD136&lt;0,"Negate Leave",AD136&gt;=0,AD136)</f>
        <v>18</v>
      </c>
    </row>
    <row r="137" spans="1:31" x14ac:dyDescent="0.3">
      <c r="A137" s="7">
        <v>5308</v>
      </c>
      <c r="B137" s="7" t="s">
        <v>155</v>
      </c>
      <c r="C137" s="7" t="str">
        <f t="shared" si="25"/>
        <v>Varun Rao</v>
      </c>
      <c r="D137" s="7" t="str">
        <f t="shared" si="26"/>
        <v>Varun Rao</v>
      </c>
      <c r="E137" s="7" t="s">
        <v>68</v>
      </c>
      <c r="F137" s="7" t="s">
        <v>151</v>
      </c>
      <c r="G137" s="7" t="s">
        <v>76</v>
      </c>
      <c r="H137" s="7" t="str">
        <f>_xlfn.XLOOKUP(G137,Lookup_Tables!$A$4:$A$9,Lookup_Tables!$C$4:$C$9,"Not Found",0)</f>
        <v>Ananya Sen</v>
      </c>
      <c r="I137" s="7" t="s">
        <v>70</v>
      </c>
      <c r="J137" s="7" t="s">
        <v>545</v>
      </c>
      <c r="K137" s="7" t="str">
        <f t="shared" si="27"/>
        <v>rajesh.verma@company.com</v>
      </c>
      <c r="L137" s="7" t="s">
        <v>643</v>
      </c>
      <c r="M137" s="7" t="str">
        <f t="shared" si="24"/>
        <v>4465129814</v>
      </c>
      <c r="N137" s="7" t="str" cm="1">
        <f t="array" ref="N137">_xlfn.IFS(M137="","Incomplete",LEN(M137)&lt;10,"Invalid",AND(LEN(M137) =10,LEFT(M137,4) &lt;&gt;"+91-"),"+91-"&amp;M137,TRUE,M137)</f>
        <v>+91-4465129814</v>
      </c>
      <c r="O137" s="8" t="s">
        <v>644</v>
      </c>
      <c r="P137" s="14" t="s">
        <v>114</v>
      </c>
      <c r="Q137" s="14" t="str">
        <f t="shared" si="31"/>
        <v>Still Employed</v>
      </c>
      <c r="R137" s="14" t="str" cm="1">
        <f t="array" ref="R137">_xlfn.IFS(OR(Q137="Missing",Q137="N/A",Q137="Still Employed"),Q137,ISNUMBER(SEARCH(",",Q137)),DATEVALUE(Q137),AND(ISNUMBER(SEARCH("-",Q137)),ISNUMBER(VALUE(LEFT(Q137,4)))),DATE(LEFT(Q137,4),MID(Q137,6,2),RIGHT(Q137,2)),ISNUMBER(SEARCH("-",Q137)),DATE(RIGHT(Q137,4),MID(Q137,4,2),LEFT(Q137,2)),ISNUMBER(SEARCH("/",Q137)),DATE(RIGHT(Q137,4),MID(Q137,4,2),LEFT(Q137,2)),TRUE,"Check Manually")</f>
        <v>Still Employed</v>
      </c>
      <c r="S137" s="31" t="str">
        <f t="shared" ca="1" si="32"/>
        <v>5 Years, 0 Months, 5 Days</v>
      </c>
      <c r="T137" s="31">
        <f t="shared" ca="1" si="33"/>
        <v>1831.25</v>
      </c>
      <c r="U137" s="31" t="str" cm="1">
        <f t="array" ref="U137">_xlfn.IFS(OR(R137="Missing",R137="N/A",R137="Still Employed"),"Unknown",ISNUMBER(R137),"Exited",TRUE,"Unknown")</f>
        <v>Unknown</v>
      </c>
      <c r="V137" s="31" t="str">
        <f t="shared" si="34"/>
        <v/>
      </c>
      <c r="W137" s="14" t="str">
        <f t="shared" si="35"/>
        <v>Active</v>
      </c>
      <c r="X137" s="19" t="s">
        <v>645</v>
      </c>
      <c r="Y137" s="18" t="str">
        <f t="shared" si="28"/>
        <v>48,692</v>
      </c>
      <c r="Z137" s="22" t="str" cm="1">
        <f t="array" ref="Z137">_xlfn.IFS(Y137="","0",LEFT(Y137,5)="",Y137,LEFT(Y137,1)="₹",REPLACE(Y137,1,1,""),LEFT(Y137,4)="Rs. ",REPLACE(Y137,1,4,""),TRUE,Y137)</f>
        <v>48,692</v>
      </c>
      <c r="AA137" s="22" t="str">
        <f t="shared" si="29"/>
        <v>48692</v>
      </c>
      <c r="AB137" s="7" t="s">
        <v>95</v>
      </c>
      <c r="AC137" s="7" t="str">
        <f t="shared" si="30"/>
        <v>Average</v>
      </c>
      <c r="AD137" s="7">
        <v>-1</v>
      </c>
      <c r="AE137" t="str" cm="1">
        <f t="array" ref="AE137">_xlfn.IFS(AD137="",0,AD137&lt;0,"Negate Leave",AD137&gt;=0,AD137)</f>
        <v>Negate Leave</v>
      </c>
    </row>
    <row r="138" spans="1:31" x14ac:dyDescent="0.3">
      <c r="A138" s="7">
        <v>5334</v>
      </c>
      <c r="B138" s="7" t="s">
        <v>544</v>
      </c>
      <c r="C138" s="7" t="str">
        <f t="shared" si="25"/>
        <v>Rajesh Verma</v>
      </c>
      <c r="D138" s="7" t="str">
        <f t="shared" si="26"/>
        <v>Rajesh Verma</v>
      </c>
      <c r="E138" s="7" t="s">
        <v>84</v>
      </c>
      <c r="F138" s="7" t="s">
        <v>53</v>
      </c>
      <c r="G138" s="7" t="s">
        <v>54</v>
      </c>
      <c r="H138" s="7" t="str">
        <f>_xlfn.XLOOKUP(G138,Lookup_Tables!$A$4:$A$9,Lookup_Tables!$C$4:$C$9,"Not Found",0)</f>
        <v>Leela Iyer</v>
      </c>
      <c r="I138" s="7" t="s">
        <v>110</v>
      </c>
      <c r="J138" s="7" t="s">
        <v>647</v>
      </c>
      <c r="K138" s="7" t="str">
        <f t="shared" si="27"/>
        <v>anjali.mehta@company.com</v>
      </c>
      <c r="L138" s="7" t="s">
        <v>648</v>
      </c>
      <c r="M138" s="7" t="str">
        <f t="shared" si="24"/>
        <v>0337129589</v>
      </c>
      <c r="N138" s="7" t="str" cm="1">
        <f t="array" ref="N138">_xlfn.IFS(M138="","Incomplete",LEN(M138)&lt;10,"Invalid",AND(LEN(M138) =10,LEFT(M138,4) &lt;&gt;"+91-"),"+91-"&amp;M138,TRUE,M138)</f>
        <v>+91-0337129589</v>
      </c>
      <c r="O138" s="8" t="s">
        <v>649</v>
      </c>
      <c r="P138" s="14" t="s">
        <v>126</v>
      </c>
      <c r="Q138" s="14" t="str">
        <f t="shared" si="31"/>
        <v>N/A</v>
      </c>
      <c r="R138" s="14" t="str" cm="1">
        <f t="array" ref="R138">_xlfn.IFS(OR(Q138="Missing",Q138="N/A",Q138="Still Employed"),Q138,ISNUMBER(SEARCH(",",Q138)),DATEVALUE(Q138),AND(ISNUMBER(SEARCH("-",Q138)),ISNUMBER(VALUE(LEFT(Q138,4)))),DATE(LEFT(Q138,4),MID(Q138,6,2),RIGHT(Q138,2)),ISNUMBER(SEARCH("-",Q138)),DATE(RIGHT(Q138,4),MID(Q138,4,2),LEFT(Q138,2)),ISNUMBER(SEARCH("/",Q138)),DATE(RIGHT(Q138,4),MID(Q138,4,2),LEFT(Q138,2)),TRUE,"Check Manually")</f>
        <v>N/A</v>
      </c>
      <c r="S138" s="31" t="str">
        <f t="shared" ca="1" si="32"/>
        <v>2 Years, 2 Months, 18 Days</v>
      </c>
      <c r="T138" s="31">
        <f t="shared" ca="1" si="33"/>
        <v>809.38</v>
      </c>
      <c r="U138" s="31" t="str" cm="1">
        <f t="array" ref="U138">_xlfn.IFS(OR(R138="Missing",R138="N/A",R138="Still Employed"),"Unknown",ISNUMBER(R138),"Exited",TRUE,"Unknown")</f>
        <v>Unknown</v>
      </c>
      <c r="V138" s="31" t="str">
        <f t="shared" si="34"/>
        <v/>
      </c>
      <c r="W138" s="14" t="str">
        <f t="shared" si="35"/>
        <v>Active</v>
      </c>
      <c r="X138" s="19">
        <v>161021</v>
      </c>
      <c r="Y138" s="18" t="str">
        <f t="shared" si="28"/>
        <v>161021</v>
      </c>
      <c r="Z138" s="22" t="str" cm="1">
        <f t="array" ref="Z138">_xlfn.IFS(Y138="","0",LEFT(Y138,5)="",Y138,LEFT(Y138,1)="₹",REPLACE(Y138,1,1,""),LEFT(Y138,4)="Rs. ",REPLACE(Y138,1,4,""),TRUE,Y138)</f>
        <v>161021</v>
      </c>
      <c r="AA138" s="22" t="str">
        <f t="shared" si="29"/>
        <v>161021</v>
      </c>
      <c r="AB138" s="7" t="s">
        <v>127</v>
      </c>
      <c r="AC138" s="7" t="str">
        <f t="shared" si="30"/>
        <v>Good</v>
      </c>
      <c r="AD138" s="7">
        <v>9</v>
      </c>
      <c r="AE138" cm="1">
        <f t="array" ref="AE138">_xlfn.IFS(AD138="",0,AD138&lt;0,"Negate Leave",AD138&gt;=0,AD138)</f>
        <v>9</v>
      </c>
    </row>
    <row r="139" spans="1:31" x14ac:dyDescent="0.3">
      <c r="A139" s="7">
        <v>5103</v>
      </c>
      <c r="B139" s="7" t="s">
        <v>646</v>
      </c>
      <c r="C139" s="7" t="str">
        <f t="shared" si="25"/>
        <v>Anjali Mehta</v>
      </c>
      <c r="D139" s="7" t="str">
        <f t="shared" si="26"/>
        <v>Anjali Mehta</v>
      </c>
      <c r="E139" s="7" t="s">
        <v>61</v>
      </c>
      <c r="F139" s="7" t="s">
        <v>53</v>
      </c>
      <c r="G139" s="7" t="s">
        <v>54</v>
      </c>
      <c r="H139" s="7" t="str">
        <f>_xlfn.XLOOKUP(G139,Lookup_Tables!$A$4:$A$9,Lookup_Tables!$C$4:$C$9,"Not Found",0)</f>
        <v>Leela Iyer</v>
      </c>
      <c r="I139" s="7" t="s">
        <v>55</v>
      </c>
      <c r="J139" s="7" t="s">
        <v>651</v>
      </c>
      <c r="K139" s="7" t="str">
        <f t="shared" si="27"/>
        <v>priya.mehta@company.com</v>
      </c>
      <c r="L139" s="7" t="s">
        <v>652</v>
      </c>
      <c r="M139" s="7" t="str">
        <f t="shared" si="24"/>
        <v>3801412690</v>
      </c>
      <c r="N139" s="7" t="str" cm="1">
        <f t="array" ref="N139">_xlfn.IFS(M139="","Incomplete",LEN(M139)&lt;10,"Invalid",AND(LEN(M139) =10,LEFT(M139,4) &lt;&gt;"+91-"),"+91-"&amp;M139,TRUE,M139)</f>
        <v>+91-3801412690</v>
      </c>
      <c r="O139" s="8" t="s">
        <v>653</v>
      </c>
      <c r="P139" s="14"/>
      <c r="Q139" s="14" t="str">
        <f t="shared" si="31"/>
        <v>Missing</v>
      </c>
      <c r="R139" s="14" t="str" cm="1">
        <f t="array" ref="R139">_xlfn.IFS(OR(Q139="Missing",Q139="N/A",Q139="Still Employed"),Q139,ISNUMBER(SEARCH(",",Q139)),DATEVALUE(Q139),AND(ISNUMBER(SEARCH("-",Q139)),ISNUMBER(VALUE(LEFT(Q139,4)))),DATE(LEFT(Q139,4),MID(Q139,6,2),RIGHT(Q139,2)),ISNUMBER(SEARCH("-",Q139)),DATE(RIGHT(Q139,4),MID(Q139,4,2),LEFT(Q139,2)),ISNUMBER(SEARCH("/",Q139)),DATE(RIGHT(Q139,4),MID(Q139,4,2),LEFT(Q139,2)),TRUE,"Check Manually")</f>
        <v>Missing</v>
      </c>
      <c r="S139" s="31" t="str">
        <f t="shared" ca="1" si="32"/>
        <v>4 Years, 6 Months, 20 Days</v>
      </c>
      <c r="T139" s="31">
        <f t="shared" ca="1" si="33"/>
        <v>1663.64</v>
      </c>
      <c r="U139" s="31" t="str" cm="1">
        <f t="array" ref="U139">_xlfn.IFS(OR(R139="Missing",R139="N/A",R139="Still Employed"),"Unknown",ISNUMBER(R139),"Exited",TRUE,"Unknown")</f>
        <v>Unknown</v>
      </c>
      <c r="V139" s="31" t="str">
        <f t="shared" si="34"/>
        <v/>
      </c>
      <c r="W139" s="14" t="str">
        <f t="shared" si="35"/>
        <v>Active</v>
      </c>
      <c r="X139" s="19" t="s">
        <v>654</v>
      </c>
      <c r="Y139" s="18" t="str">
        <f t="shared" si="28"/>
        <v>Rs. 56,991</v>
      </c>
      <c r="Z139" s="22" t="str" cm="1">
        <f t="array" ref="Z139">_xlfn.IFS(Y139="","0",LEFT(Y139,5)="",Y139,LEFT(Y139,1)="₹",REPLACE(Y139,1,1,""),LEFT(Y139,4)="Rs. ",REPLACE(Y139,1,4,""),TRUE,Y139)</f>
        <v>56,991</v>
      </c>
      <c r="AA139" s="22" t="str">
        <f t="shared" si="29"/>
        <v>56991</v>
      </c>
      <c r="AB139" s="7" t="s">
        <v>127</v>
      </c>
      <c r="AC139" s="7" t="str">
        <f t="shared" si="30"/>
        <v>Good</v>
      </c>
      <c r="AD139" s="7">
        <v>13</v>
      </c>
      <c r="AE139" cm="1">
        <f t="array" ref="AE139">_xlfn.IFS(AD139="",0,AD139&lt;0,"Negate Leave",AD139&gt;=0,AD139)</f>
        <v>13</v>
      </c>
    </row>
    <row r="140" spans="1:31" x14ac:dyDescent="0.3">
      <c r="A140" s="7">
        <v>5018</v>
      </c>
      <c r="B140" s="7" t="s">
        <v>650</v>
      </c>
      <c r="C140" s="7" t="str">
        <f t="shared" si="25"/>
        <v>Priya Mehta</v>
      </c>
      <c r="D140" s="7" t="str">
        <f t="shared" si="26"/>
        <v>Priya Mehta</v>
      </c>
      <c r="E140" s="7" t="s">
        <v>68</v>
      </c>
      <c r="F140" s="7" t="s">
        <v>219</v>
      </c>
      <c r="G140" s="7" t="s">
        <v>46</v>
      </c>
      <c r="H140" s="7" t="str">
        <f>_xlfn.XLOOKUP(G140,Lookup_Tables!$A$4:$A$9,Lookup_Tables!$C$4:$C$9,"Not Found",0)</f>
        <v>Faisal Ahmed</v>
      </c>
      <c r="I140" s="7" t="s">
        <v>62</v>
      </c>
      <c r="J140" s="7" t="s">
        <v>656</v>
      </c>
      <c r="K140" s="7" t="str">
        <f t="shared" si="27"/>
        <v xml:space="preserve">sanjay.mehta@company.com </v>
      </c>
      <c r="L140" s="7" t="s">
        <v>657</v>
      </c>
      <c r="M140" s="7" t="str">
        <f t="shared" si="24"/>
        <v>+91-8694066260</v>
      </c>
      <c r="N140" s="7" t="str" cm="1">
        <f t="array" ref="N140">_xlfn.IFS(M140="","Incomplete",LEN(M140)&lt;10,"Invalid",AND(LEN(M140) =10,LEFT(M140,4) &lt;&gt;"+91-"),"+91-"&amp;M140,TRUE,M140)</f>
        <v>+91-8694066260</v>
      </c>
      <c r="O140" s="8" t="s">
        <v>658</v>
      </c>
      <c r="P140" s="14" t="s">
        <v>126</v>
      </c>
      <c r="Q140" s="14" t="str">
        <f t="shared" si="31"/>
        <v>N/A</v>
      </c>
      <c r="R140" s="14" t="str" cm="1">
        <f t="array" ref="R140">_xlfn.IFS(OR(Q140="Missing",Q140="N/A",Q140="Still Employed"),Q140,ISNUMBER(SEARCH(",",Q140)),DATEVALUE(Q140),AND(ISNUMBER(SEARCH("-",Q140)),ISNUMBER(VALUE(LEFT(Q140,4)))),DATE(LEFT(Q140,4),MID(Q140,6,2),RIGHT(Q140,2)),ISNUMBER(SEARCH("-",Q140)),DATE(RIGHT(Q140,4),MID(Q140,4,2),LEFT(Q140,2)),ISNUMBER(SEARCH("/",Q140)),DATE(RIGHT(Q140,4),MID(Q140,4,2),LEFT(Q140,2)),TRUE,"Check Manually")</f>
        <v>N/A</v>
      </c>
      <c r="S140" s="31" t="str">
        <f t="shared" ca="1" si="32"/>
        <v>3 Years, 9 Months, 18 Days</v>
      </c>
      <c r="T140" s="31">
        <f t="shared" ca="1" si="33"/>
        <v>1387.71</v>
      </c>
      <c r="U140" s="31" t="str" cm="1">
        <f t="array" ref="U140">_xlfn.IFS(OR(R140="Missing",R140="N/A",R140="Still Employed"),"Unknown",ISNUMBER(R140),"Exited",TRUE,"Unknown")</f>
        <v>Unknown</v>
      </c>
      <c r="V140" s="31" t="str">
        <f t="shared" si="34"/>
        <v/>
      </c>
      <c r="W140" s="14" t="str">
        <f t="shared" si="35"/>
        <v>Active</v>
      </c>
      <c r="X140" s="19">
        <v>133211</v>
      </c>
      <c r="Y140" s="18" t="str">
        <f t="shared" si="28"/>
        <v>133211</v>
      </c>
      <c r="Z140" s="22" t="str" cm="1">
        <f t="array" ref="Z140">_xlfn.IFS(Y140="","0",LEFT(Y140,5)="",Y140,LEFT(Y140,1)="₹",REPLACE(Y140,1,1,""),LEFT(Y140,4)="Rs. ",REPLACE(Y140,1,4,""),TRUE,Y140)</f>
        <v>133211</v>
      </c>
      <c r="AA140" s="22" t="str">
        <f t="shared" si="29"/>
        <v>133211</v>
      </c>
      <c r="AB140" s="7" t="s">
        <v>95</v>
      </c>
      <c r="AC140" s="7" t="str">
        <f t="shared" si="30"/>
        <v>Average</v>
      </c>
      <c r="AD140" s="7">
        <v>18</v>
      </c>
      <c r="AE140" cm="1">
        <f t="array" ref="AE140">_xlfn.IFS(AD140="",0,AD140&lt;0,"Negate Leave",AD140&gt;=0,AD140)</f>
        <v>18</v>
      </c>
    </row>
    <row r="141" spans="1:31" x14ac:dyDescent="0.3">
      <c r="A141" s="7">
        <v>5212</v>
      </c>
      <c r="B141" s="7" t="s">
        <v>655</v>
      </c>
      <c r="C141" s="7" t="str">
        <f t="shared" si="25"/>
        <v>Sanjay Mehta</v>
      </c>
      <c r="D141" s="7" t="str">
        <f t="shared" si="26"/>
        <v>Sanjay Mehta</v>
      </c>
      <c r="E141" s="7" t="s">
        <v>68</v>
      </c>
      <c r="F141" s="7" t="s">
        <v>219</v>
      </c>
      <c r="G141" s="7" t="s">
        <v>46</v>
      </c>
      <c r="H141" s="7" t="str">
        <f>_xlfn.XLOOKUP(G141,Lookup_Tables!$A$4:$A$9,Lookup_Tables!$C$4:$C$9,"Not Found",0)</f>
        <v>Faisal Ahmed</v>
      </c>
      <c r="I141" s="7" t="s">
        <v>110</v>
      </c>
      <c r="J141" s="7" t="s">
        <v>660</v>
      </c>
      <c r="K141" s="7" t="str">
        <f t="shared" si="27"/>
        <v>yash.naidu@company.com</v>
      </c>
      <c r="L141" s="7" t="s">
        <v>661</v>
      </c>
      <c r="M141" s="7" t="str">
        <f t="shared" si="24"/>
        <v>1771127757</v>
      </c>
      <c r="N141" s="7" t="str" cm="1">
        <f t="array" ref="N141">_xlfn.IFS(M141="","Incomplete",LEN(M141)&lt;10,"Invalid",AND(LEN(M141) =10,LEFT(M141,4) &lt;&gt;"+91-"),"+91-"&amp;M141,TRUE,M141)</f>
        <v>+91-1771127757</v>
      </c>
      <c r="O141" s="8" t="s">
        <v>662</v>
      </c>
      <c r="P141" s="14"/>
      <c r="Q141" s="14" t="str">
        <f t="shared" si="31"/>
        <v>Missing</v>
      </c>
      <c r="R141" s="14" t="str" cm="1">
        <f t="array" ref="R141">_xlfn.IFS(OR(Q141="Missing",Q141="N/A",Q141="Still Employed"),Q141,ISNUMBER(SEARCH(",",Q141)),DATEVALUE(Q141),AND(ISNUMBER(SEARCH("-",Q141)),ISNUMBER(VALUE(LEFT(Q141,4)))),DATE(LEFT(Q141,4),MID(Q141,6,2),RIGHT(Q141,2)),ISNUMBER(SEARCH("-",Q141)),DATE(RIGHT(Q141,4),MID(Q141,4,2),LEFT(Q141,2)),ISNUMBER(SEARCH("/",Q141)),DATE(RIGHT(Q141,4),MID(Q141,4,2),LEFT(Q141,2)),TRUE,"Check Manually")</f>
        <v>Missing</v>
      </c>
      <c r="S141" s="31" t="str">
        <f t="shared" ca="1" si="32"/>
        <v>2 Years, 11 Months, 20 Days</v>
      </c>
      <c r="T141" s="31">
        <f t="shared" ca="1" si="33"/>
        <v>1085.3400000000001</v>
      </c>
      <c r="U141" s="31" t="str" cm="1">
        <f t="array" ref="U141">_xlfn.IFS(OR(R141="Missing",R141="N/A",R141="Still Employed"),"Unknown",ISNUMBER(R141),"Exited",TRUE,"Unknown")</f>
        <v>Unknown</v>
      </c>
      <c r="V141" s="31" t="str">
        <f t="shared" si="34"/>
        <v/>
      </c>
      <c r="W141" s="14" t="str">
        <f t="shared" si="35"/>
        <v>Active</v>
      </c>
      <c r="X141" s="19" t="s">
        <v>663</v>
      </c>
      <c r="Y141" s="18" t="str">
        <f t="shared" si="28"/>
        <v>158,245</v>
      </c>
      <c r="Z141" s="22" t="str" cm="1">
        <f t="array" ref="Z141">_xlfn.IFS(Y141="","0",LEFT(Y141,5)="",Y141,LEFT(Y141,1)="₹",REPLACE(Y141,1,1,""),LEFT(Y141,4)="Rs. ",REPLACE(Y141,1,4,""),TRUE,Y141)</f>
        <v>158,245</v>
      </c>
      <c r="AA141" s="22" t="str">
        <f t="shared" si="29"/>
        <v>158245</v>
      </c>
      <c r="AB141" s="7" t="s">
        <v>127</v>
      </c>
      <c r="AC141" s="7" t="str">
        <f t="shared" si="30"/>
        <v>Good</v>
      </c>
      <c r="AD141" s="7">
        <v>11</v>
      </c>
      <c r="AE141" cm="1">
        <f t="array" ref="AE141">_xlfn.IFS(AD141="",0,AD141&lt;0,"Negate Leave",AD141&gt;=0,AD141)</f>
        <v>11</v>
      </c>
    </row>
    <row r="142" spans="1:31" x14ac:dyDescent="0.3">
      <c r="A142" s="7">
        <v>5295</v>
      </c>
      <c r="B142" s="7" t="s">
        <v>659</v>
      </c>
      <c r="C142" s="7" t="str">
        <f t="shared" si="25"/>
        <v>Yash Naidu</v>
      </c>
      <c r="D142" s="7" t="str">
        <f t="shared" si="26"/>
        <v>Yash Naidu</v>
      </c>
      <c r="E142" s="7" t="s">
        <v>61</v>
      </c>
      <c r="F142" s="7" t="s">
        <v>53</v>
      </c>
      <c r="G142" s="7" t="s">
        <v>54</v>
      </c>
      <c r="H142" s="7" t="str">
        <f>_xlfn.XLOOKUP(G142,Lookup_Tables!$A$4:$A$9,Lookup_Tables!$C$4:$C$9,"Not Found",0)</f>
        <v>Leela Iyer</v>
      </c>
      <c r="I142" s="7" t="s">
        <v>70</v>
      </c>
      <c r="J142" s="7" t="s">
        <v>504</v>
      </c>
      <c r="K142" s="7" t="str">
        <f t="shared" si="27"/>
        <v>varun.kulkarni@company.com</v>
      </c>
      <c r="L142" s="7" t="s">
        <v>664</v>
      </c>
      <c r="M142" s="7" t="str">
        <f t="shared" si="24"/>
        <v>0343738218</v>
      </c>
      <c r="N142" s="7" t="str" cm="1">
        <f t="array" ref="N142">_xlfn.IFS(M142="","Incomplete",LEN(M142)&lt;10,"Invalid",AND(LEN(M142) =10,LEFT(M142,4) &lt;&gt;"+91-"),"+91-"&amp;M142,TRUE,M142)</f>
        <v>+91-0343738218</v>
      </c>
      <c r="O142" s="8" t="s">
        <v>665</v>
      </c>
      <c r="P142" s="14" t="s">
        <v>666</v>
      </c>
      <c r="Q142" s="14" t="str">
        <f t="shared" si="31"/>
        <v>Jan 15, 2025</v>
      </c>
      <c r="R142" s="14" cm="1">
        <f t="array" ref="R142">_xlfn.IFS(OR(Q142="Missing",Q142="N/A",Q142="Still Employed"),Q142,ISNUMBER(SEARCH(",",Q142)),DATEVALUE(Q142),AND(ISNUMBER(SEARCH("-",Q142)),ISNUMBER(VALUE(LEFT(Q142,4)))),DATE(LEFT(Q142,4),MID(Q142,6,2),RIGHT(Q142,2)),ISNUMBER(SEARCH("-",Q142)),DATE(RIGHT(Q142,4),MID(Q142,4,2),LEFT(Q142,2)),ISNUMBER(SEARCH("/",Q142)),DATE(RIGHT(Q142,4),MID(Q142,4,2),LEFT(Q142,2)),TRUE,"Check Manually")</f>
        <v>45672</v>
      </c>
      <c r="S142" s="31" t="str">
        <f t="shared" ca="1" si="32"/>
        <v>1 Years, 6 Months, 16 Days</v>
      </c>
      <c r="T142" s="31">
        <f t="shared" ca="1" si="33"/>
        <v>563.89</v>
      </c>
      <c r="U142" s="31" t="str" cm="1">
        <f t="array" ref="U142">_xlfn.IFS(OR(R142="Missing",R142="N/A",R142="Still Employed"),"Unknown",ISNUMBER(R142),"Exited",TRUE,"Unknown")</f>
        <v>Exited</v>
      </c>
      <c r="V142" s="31">
        <f t="shared" si="34"/>
        <v>2025</v>
      </c>
      <c r="W142" s="14" t="str">
        <f t="shared" si="35"/>
        <v>Exited</v>
      </c>
      <c r="X142" s="19" t="s">
        <v>667</v>
      </c>
      <c r="Y142" s="18" t="str">
        <f t="shared" si="28"/>
        <v>₹165,088</v>
      </c>
      <c r="Z142" s="22" t="str" cm="1">
        <f t="array" ref="Z142">_xlfn.IFS(Y142="","0",LEFT(Y142,5)="",Y142,LEFT(Y142,1)="₹",REPLACE(Y142,1,1,""),LEFT(Y142,4)="Rs. ",REPLACE(Y142,1,4,""),TRUE,Y142)</f>
        <v>165,088</v>
      </c>
      <c r="AA142" s="22" t="str">
        <f t="shared" si="29"/>
        <v>165088</v>
      </c>
      <c r="AB142" s="7" t="s">
        <v>89</v>
      </c>
      <c r="AC142" s="7" t="str">
        <f t="shared" si="30"/>
        <v>Below Average</v>
      </c>
      <c r="AD142" s="7">
        <v>19</v>
      </c>
      <c r="AE142" cm="1">
        <f t="array" ref="AE142">_xlfn.IFS(AD142="",0,AD142&lt;0,"Negate Leave",AD142&gt;=0,AD142)</f>
        <v>19</v>
      </c>
    </row>
    <row r="143" spans="1:31" x14ac:dyDescent="0.3">
      <c r="A143" s="7">
        <v>5343</v>
      </c>
      <c r="B143" s="7" t="s">
        <v>503</v>
      </c>
      <c r="C143" s="7" t="str">
        <f t="shared" si="25"/>
        <v>Varun Kulkarni</v>
      </c>
      <c r="D143" s="7" t="str">
        <f t="shared" si="26"/>
        <v>Varun Kulkarni</v>
      </c>
      <c r="E143" s="7" t="s">
        <v>68</v>
      </c>
      <c r="F143" s="7" t="s">
        <v>389</v>
      </c>
      <c r="G143" s="7" t="s">
        <v>140</v>
      </c>
      <c r="H143" s="7" t="str">
        <f>_xlfn.XLOOKUP(G143,Lookup_Tables!$A$4:$A$9,Lookup_Tables!$C$4:$C$9,"Not Found",0)</f>
        <v>Sunita Rao</v>
      </c>
      <c r="I143" s="7" t="s">
        <v>70</v>
      </c>
      <c r="J143" s="7" t="s">
        <v>669</v>
      </c>
      <c r="K143" s="7" t="str">
        <f t="shared" si="27"/>
        <v>manish.mehta@company.com</v>
      </c>
      <c r="L143" s="7" t="s">
        <v>670</v>
      </c>
      <c r="M143" s="7" t="str">
        <f t="shared" si="24"/>
        <v>+91-8609139099</v>
      </c>
      <c r="N143" s="7" t="str" cm="1">
        <f t="array" ref="N143">_xlfn.IFS(M143="","Incomplete",LEN(M143)&lt;10,"Invalid",AND(LEN(M143) =10,LEFT(M143,4) &lt;&gt;"+91-"),"+91-"&amp;M143,TRUE,M143)</f>
        <v>+91-8609139099</v>
      </c>
      <c r="O143" s="8" t="s">
        <v>671</v>
      </c>
      <c r="P143" s="14" t="s">
        <v>672</v>
      </c>
      <c r="Q143" s="14" t="str">
        <f t="shared" si="31"/>
        <v>2020-05-06</v>
      </c>
      <c r="R143" s="14" cm="1">
        <f t="array" ref="R143">_xlfn.IFS(OR(Q143="Missing",Q143="N/A",Q143="Still Employed"),Q143,ISNUMBER(SEARCH(",",Q143)),DATEVALUE(Q143),AND(ISNUMBER(SEARCH("-",Q143)),ISNUMBER(VALUE(LEFT(Q143,4)))),DATE(LEFT(Q143,4),MID(Q143,6,2),RIGHT(Q143,2)),ISNUMBER(SEARCH("-",Q143)),DATE(RIGHT(Q143,4),MID(Q143,4,2),LEFT(Q143,2)),ISNUMBER(SEARCH("/",Q143)),DATE(RIGHT(Q143,4),MID(Q143,4,2),LEFT(Q143,2)),TRUE,"Check Manually")</f>
        <v>43957</v>
      </c>
      <c r="S143" s="31" t="str">
        <f t="shared" ca="1" si="32"/>
        <v>1 Years, 8 Months, 10 Days</v>
      </c>
      <c r="T143" s="31">
        <f t="shared" ca="1" si="33"/>
        <v>618.77</v>
      </c>
      <c r="U143" s="31" t="str" cm="1">
        <f t="array" ref="U143">_xlfn.IFS(OR(R143="Missing",R143="N/A",R143="Still Employed"),"Unknown",ISNUMBER(R143),"Exited",TRUE,"Unknown")</f>
        <v>Exited</v>
      </c>
      <c r="V143" s="31">
        <f t="shared" si="34"/>
        <v>2020</v>
      </c>
      <c r="W143" s="14" t="str">
        <f t="shared" si="35"/>
        <v>Exited</v>
      </c>
      <c r="X143" s="19" t="s">
        <v>673</v>
      </c>
      <c r="Y143" s="18" t="str">
        <f t="shared" si="28"/>
        <v>Rs. 57,530</v>
      </c>
      <c r="Z143" s="22" t="str" cm="1">
        <f t="array" ref="Z143">_xlfn.IFS(Y143="","0",LEFT(Y143,5)="",Y143,LEFT(Y143,1)="₹",REPLACE(Y143,1,1,""),LEFT(Y143,4)="Rs. ",REPLACE(Y143,1,4,""),TRUE,Y143)</f>
        <v>57,530</v>
      </c>
      <c r="AA143" s="22" t="str">
        <f t="shared" si="29"/>
        <v>57530</v>
      </c>
      <c r="AB143" s="7" t="s">
        <v>144</v>
      </c>
      <c r="AC143" s="7" t="str">
        <f t="shared" si="30"/>
        <v>Poor</v>
      </c>
      <c r="AD143" s="7">
        <v>1</v>
      </c>
      <c r="AE143" cm="1">
        <f t="array" ref="AE143">_xlfn.IFS(AD143="",0,AD143&lt;0,"Negate Leave",AD143&gt;=0,AD143)</f>
        <v>1</v>
      </c>
    </row>
    <row r="144" spans="1:31" x14ac:dyDescent="0.3">
      <c r="A144" s="7">
        <v>5001</v>
      </c>
      <c r="B144" s="7" t="s">
        <v>668</v>
      </c>
      <c r="C144" s="7" t="str">
        <f t="shared" si="25"/>
        <v>Manish Mehta</v>
      </c>
      <c r="D144" s="7" t="str">
        <f t="shared" si="26"/>
        <v>Manish Mehta</v>
      </c>
      <c r="E144" s="7" t="s">
        <v>61</v>
      </c>
      <c r="F144" s="7" t="s">
        <v>53</v>
      </c>
      <c r="G144" s="7" t="s">
        <v>54</v>
      </c>
      <c r="H144" s="7" t="str">
        <f>_xlfn.XLOOKUP(G144,Lookup_Tables!$A$4:$A$9,Lookup_Tables!$C$4:$C$9,"Not Found",0)</f>
        <v>Leela Iyer</v>
      </c>
      <c r="I144" s="7" t="s">
        <v>47</v>
      </c>
      <c r="J144" s="7" t="s">
        <v>346</v>
      </c>
      <c r="K144" s="7" t="str">
        <f t="shared" si="27"/>
        <v>amit.desai@company.com</v>
      </c>
      <c r="L144" s="7" t="s">
        <v>675</v>
      </c>
      <c r="M144" s="7" t="str">
        <f t="shared" si="24"/>
        <v>3296736731</v>
      </c>
      <c r="N144" s="7" t="str" cm="1">
        <f t="array" ref="N144">_xlfn.IFS(M144="","Incomplete",LEN(M144)&lt;10,"Invalid",AND(LEN(M144) =10,LEFT(M144,4) &lt;&gt;"+91-"),"+91-"&amp;M144,TRUE,M144)</f>
        <v>+91-3296736731</v>
      </c>
      <c r="O144" s="8" t="s">
        <v>676</v>
      </c>
      <c r="P144" s="14" t="s">
        <v>126</v>
      </c>
      <c r="Q144" s="14" t="str">
        <f t="shared" si="31"/>
        <v>N/A</v>
      </c>
      <c r="R144" s="14" t="str" cm="1">
        <f t="array" ref="R144">_xlfn.IFS(OR(Q144="Missing",Q144="N/A",Q144="Still Employed"),Q144,ISNUMBER(SEARCH(",",Q144)),DATEVALUE(Q144),AND(ISNUMBER(SEARCH("-",Q144)),ISNUMBER(VALUE(LEFT(Q144,4)))),DATE(LEFT(Q144,4),MID(Q144,6,2),RIGHT(Q144,2)),ISNUMBER(SEARCH("-",Q144)),DATE(RIGHT(Q144,4),MID(Q144,4,2),LEFT(Q144,2)),ISNUMBER(SEARCH("/",Q144)),DATE(RIGHT(Q144,4),MID(Q144,4,2),LEFT(Q144,2)),TRUE,"Check Manually")</f>
        <v>N/A</v>
      </c>
      <c r="S144" s="31" t="str">
        <f t="shared" ca="1" si="32"/>
        <v>2 Years, 3 Months, 7 Days</v>
      </c>
      <c r="T144" s="31">
        <f t="shared" ca="1" si="33"/>
        <v>828.82</v>
      </c>
      <c r="U144" s="31" t="str" cm="1">
        <f t="array" ref="U144">_xlfn.IFS(OR(R144="Missing",R144="N/A",R144="Still Employed"),"Unknown",ISNUMBER(R144),"Exited",TRUE,"Unknown")</f>
        <v>Unknown</v>
      </c>
      <c r="V144" s="31" t="str">
        <f t="shared" si="34"/>
        <v/>
      </c>
      <c r="W144" s="14" t="str">
        <f t="shared" si="35"/>
        <v>Active</v>
      </c>
      <c r="X144" s="19" t="s">
        <v>677</v>
      </c>
      <c r="Y144" s="18" t="str">
        <f t="shared" si="28"/>
        <v>Rs. 77,535</v>
      </c>
      <c r="Z144" s="22" t="str" cm="1">
        <f t="array" ref="Z144">_xlfn.IFS(Y144="","0",LEFT(Y144,5)="",Y144,LEFT(Y144,1)="₹",REPLACE(Y144,1,1,""),LEFT(Y144,4)="Rs. ",REPLACE(Y144,1,4,""),TRUE,Y144)</f>
        <v>77,535</v>
      </c>
      <c r="AA144" s="22" t="str">
        <f t="shared" si="29"/>
        <v>77535</v>
      </c>
      <c r="AB144" s="7" t="s">
        <v>95</v>
      </c>
      <c r="AC144" s="7" t="str">
        <f t="shared" si="30"/>
        <v>Average</v>
      </c>
      <c r="AD144" s="7">
        <v>10</v>
      </c>
      <c r="AE144" cm="1">
        <f t="array" ref="AE144">_xlfn.IFS(AD144="",0,AD144&lt;0,"Negate Leave",AD144&gt;=0,AD144)</f>
        <v>10</v>
      </c>
    </row>
    <row r="145" spans="1:31" x14ac:dyDescent="0.3">
      <c r="A145" s="7">
        <v>5294</v>
      </c>
      <c r="B145" s="7" t="s">
        <v>674</v>
      </c>
      <c r="C145" s="7" t="str">
        <f t="shared" si="25"/>
        <v>Amit  Desai</v>
      </c>
      <c r="D145" s="7" t="str">
        <f t="shared" si="26"/>
        <v>Amit Desai</v>
      </c>
      <c r="E145" s="7" t="s">
        <v>68</v>
      </c>
      <c r="F145" s="7" t="s">
        <v>151</v>
      </c>
      <c r="G145" s="7" t="s">
        <v>76</v>
      </c>
      <c r="H145" s="7" t="str">
        <f>_xlfn.XLOOKUP(G145,Lookup_Tables!$A$4:$A$9,Lookup_Tables!$C$4:$C$9,"Not Found",0)</f>
        <v>Ananya Sen</v>
      </c>
      <c r="I145" s="7" t="s">
        <v>110</v>
      </c>
      <c r="J145" s="7" t="s">
        <v>679</v>
      </c>
      <c r="K145" s="7" t="str">
        <f t="shared" si="27"/>
        <v>karthik.naidu@company.com</v>
      </c>
      <c r="L145" s="7" t="s">
        <v>680</v>
      </c>
      <c r="M145" s="7" t="str">
        <f t="shared" si="24"/>
        <v>5052309717</v>
      </c>
      <c r="N145" s="7" t="str" cm="1">
        <f t="array" ref="N145">_xlfn.IFS(M145="","Incomplete",LEN(M145)&lt;10,"Invalid",AND(LEN(M145) =10,LEFT(M145,4) &lt;&gt;"+91-"),"+91-"&amp;M145,TRUE,M145)</f>
        <v>+91-5052309717</v>
      </c>
      <c r="O145" s="8" t="s">
        <v>681</v>
      </c>
      <c r="P145" s="14"/>
      <c r="Q145" s="14" t="str">
        <f t="shared" si="31"/>
        <v>Missing</v>
      </c>
      <c r="R145" s="14" t="str" cm="1">
        <f t="array" ref="R145">_xlfn.IFS(OR(Q145="Missing",Q145="N/A",Q145="Still Employed"),Q145,ISNUMBER(SEARCH(",",Q145)),DATEVALUE(Q145),AND(ISNUMBER(SEARCH("-",Q145)),ISNUMBER(VALUE(LEFT(Q145,4)))),DATE(LEFT(Q145,4),MID(Q145,6,2),RIGHT(Q145,2)),ISNUMBER(SEARCH("-",Q145)),DATE(RIGHT(Q145,4),MID(Q145,4,2),LEFT(Q145,2)),ISNUMBER(SEARCH("/",Q145)),DATE(RIGHT(Q145,4),MID(Q145,4,2),LEFT(Q145,2)),TRUE,"Check Manually")</f>
        <v>Missing</v>
      </c>
      <c r="S145" s="31" t="str">
        <f t="shared" ca="1" si="32"/>
        <v>2 Years, 11 Months, 15 Days</v>
      </c>
      <c r="T145" s="31">
        <f t="shared" ca="1" si="33"/>
        <v>1080.3400000000001</v>
      </c>
      <c r="U145" s="31" t="str" cm="1">
        <f t="array" ref="U145">_xlfn.IFS(OR(R145="Missing",R145="N/A",R145="Still Employed"),"Unknown",ISNUMBER(R145),"Exited",TRUE,"Unknown")</f>
        <v>Unknown</v>
      </c>
      <c r="V145" s="31" t="str">
        <f t="shared" si="34"/>
        <v/>
      </c>
      <c r="W145" s="14" t="str">
        <f t="shared" si="35"/>
        <v>Active</v>
      </c>
      <c r="X145" s="19" t="s">
        <v>682</v>
      </c>
      <c r="Y145" s="18" t="str">
        <f t="shared" si="28"/>
        <v>₹130,548</v>
      </c>
      <c r="Z145" s="22" t="str" cm="1">
        <f t="array" ref="Z145">_xlfn.IFS(Y145="","0",LEFT(Y145,5)="",Y145,LEFT(Y145,1)="₹",REPLACE(Y145,1,1,""),LEFT(Y145,4)="Rs. ",REPLACE(Y145,1,4,""),TRUE,Y145)</f>
        <v>130,548</v>
      </c>
      <c r="AA145" s="22" t="str">
        <f t="shared" si="29"/>
        <v>130548</v>
      </c>
      <c r="AB145" s="7"/>
      <c r="AC145" s="7" t="str">
        <f t="shared" si="30"/>
        <v>Not Rated</v>
      </c>
      <c r="AD145" s="7">
        <v>1</v>
      </c>
      <c r="AE145" cm="1">
        <f t="array" ref="AE145">_xlfn.IFS(AD145="",0,AD145&lt;0,"Negate Leave",AD145&gt;=0,AD145)</f>
        <v>1</v>
      </c>
    </row>
    <row r="146" spans="1:31" x14ac:dyDescent="0.3">
      <c r="A146" s="7">
        <v>5166</v>
      </c>
      <c r="B146" s="7" t="s">
        <v>678</v>
      </c>
      <c r="C146" s="7" t="str">
        <f t="shared" si="25"/>
        <v>Karthik Naidu</v>
      </c>
      <c r="D146" s="7" t="str">
        <f t="shared" si="26"/>
        <v>Karthik Naidu</v>
      </c>
      <c r="E146" s="7" t="s">
        <v>84</v>
      </c>
      <c r="F146" s="7" t="s">
        <v>53</v>
      </c>
      <c r="G146" s="7" t="s">
        <v>54</v>
      </c>
      <c r="H146" s="7" t="str">
        <f>_xlfn.XLOOKUP(G146,Lookup_Tables!$A$4:$A$9,Lookup_Tables!$C$4:$C$9,"Not Found",0)</f>
        <v>Leela Iyer</v>
      </c>
      <c r="I146" s="7" t="s">
        <v>62</v>
      </c>
      <c r="J146" s="7" t="s">
        <v>684</v>
      </c>
      <c r="K146" s="7" t="str">
        <f t="shared" si="27"/>
        <v>nikhil.desai@company.com</v>
      </c>
      <c r="L146" s="7" t="s">
        <v>685</v>
      </c>
      <c r="M146" s="7" t="str">
        <f t="shared" si="24"/>
        <v>0261964986</v>
      </c>
      <c r="N146" s="7" t="str" cm="1">
        <f t="array" ref="N146">_xlfn.IFS(M146="","Incomplete",LEN(M146)&lt;10,"Invalid",AND(LEN(M146) =10,LEFT(M146,4) &lt;&gt;"+91-"),"+91-"&amp;M146,TRUE,M146)</f>
        <v>+91-0261964986</v>
      </c>
      <c r="O146" s="8" t="s">
        <v>686</v>
      </c>
      <c r="P146" s="14" t="s">
        <v>114</v>
      </c>
      <c r="Q146" s="14" t="str">
        <f t="shared" si="31"/>
        <v>Still Employed</v>
      </c>
      <c r="R146" s="14" t="str" cm="1">
        <f t="array" ref="R146">_xlfn.IFS(OR(Q146="Missing",Q146="N/A",Q146="Still Employed"),Q146,ISNUMBER(SEARCH(",",Q146)),DATEVALUE(Q146),AND(ISNUMBER(SEARCH("-",Q146)),ISNUMBER(VALUE(LEFT(Q146,4)))),DATE(LEFT(Q146,4),MID(Q146,6,2),RIGHT(Q146,2)),ISNUMBER(SEARCH("-",Q146)),DATE(RIGHT(Q146,4),MID(Q146,4,2),LEFT(Q146,2)),ISNUMBER(SEARCH("/",Q146)),DATE(RIGHT(Q146,4),MID(Q146,4,2),LEFT(Q146,2)),TRUE,"Check Manually")</f>
        <v>Still Employed</v>
      </c>
      <c r="S146" s="31" t="str">
        <f t="shared" ca="1" si="32"/>
        <v>6 Years, 9 Months, 9 Days</v>
      </c>
      <c r="T146" s="31">
        <f t="shared" ca="1" si="33"/>
        <v>2474.46</v>
      </c>
      <c r="U146" s="31" t="str" cm="1">
        <f t="array" ref="U146">_xlfn.IFS(OR(R146="Missing",R146="N/A",R146="Still Employed"),"Unknown",ISNUMBER(R146),"Exited",TRUE,"Unknown")</f>
        <v>Unknown</v>
      </c>
      <c r="V146" s="31" t="str">
        <f t="shared" si="34"/>
        <v/>
      </c>
      <c r="W146" s="14" t="str">
        <f t="shared" si="35"/>
        <v>Active</v>
      </c>
      <c r="X146" s="19">
        <v>107118</v>
      </c>
      <c r="Y146" s="18" t="str">
        <f t="shared" si="28"/>
        <v>107118</v>
      </c>
      <c r="Z146" s="22" t="str" cm="1">
        <f t="array" ref="Z146">_xlfn.IFS(Y146="","0",LEFT(Y146,5)="",Y146,LEFT(Y146,1)="₹",REPLACE(Y146,1,1,""),LEFT(Y146,4)="Rs. ",REPLACE(Y146,1,4,""),TRUE,Y146)</f>
        <v>107118</v>
      </c>
      <c r="AA146" s="22" t="str">
        <f t="shared" si="29"/>
        <v>107118</v>
      </c>
      <c r="AB146" s="7"/>
      <c r="AC146" s="7" t="str">
        <f t="shared" si="30"/>
        <v>Not Rated</v>
      </c>
      <c r="AD146" s="7">
        <v>1</v>
      </c>
      <c r="AE146" cm="1">
        <f t="array" ref="AE146">_xlfn.IFS(AD146="",0,AD146&lt;0,"Negate Leave",AD146&gt;=0,AD146)</f>
        <v>1</v>
      </c>
    </row>
    <row r="147" spans="1:31" x14ac:dyDescent="0.3">
      <c r="A147" s="7">
        <v>5195</v>
      </c>
      <c r="B147" s="7" t="s">
        <v>683</v>
      </c>
      <c r="C147" s="7" t="str">
        <f t="shared" si="25"/>
        <v>Nikhil Desai</v>
      </c>
      <c r="D147" s="7" t="str">
        <f t="shared" si="26"/>
        <v>Nikhil Desai</v>
      </c>
      <c r="E147" s="7" t="s">
        <v>68</v>
      </c>
      <c r="F147" s="7" t="s">
        <v>151</v>
      </c>
      <c r="G147" s="7" t="s">
        <v>76</v>
      </c>
      <c r="H147" s="7" t="str">
        <f>_xlfn.XLOOKUP(G147,Lookup_Tables!$A$4:$A$9,Lookup_Tables!$C$4:$C$9,"Not Found",0)</f>
        <v>Ananya Sen</v>
      </c>
      <c r="I147" s="7" t="s">
        <v>47</v>
      </c>
      <c r="J147" s="7" t="s">
        <v>255</v>
      </c>
      <c r="K147" s="7" t="str">
        <f t="shared" si="27"/>
        <v>priya.gupta@company.com</v>
      </c>
      <c r="L147" s="7" t="s">
        <v>687</v>
      </c>
      <c r="M147" s="7" t="str">
        <f t="shared" si="24"/>
        <v>+91-4966850273</v>
      </c>
      <c r="N147" s="7" t="str" cm="1">
        <f t="array" ref="N147">_xlfn.IFS(M147="","Incomplete",LEN(M147)&lt;10,"Invalid",AND(LEN(M147) =10,LEFT(M147,4) &lt;&gt;"+91-"),"+91-"&amp;M147,TRUE,M147)</f>
        <v>+91-4966850273</v>
      </c>
      <c r="O147" s="8" t="s">
        <v>688</v>
      </c>
      <c r="P147" s="14" t="s">
        <v>114</v>
      </c>
      <c r="Q147" s="14" t="str">
        <f t="shared" si="31"/>
        <v>Still Employed</v>
      </c>
      <c r="R147" s="14" t="str" cm="1">
        <f t="array" ref="R147">_xlfn.IFS(OR(Q147="Missing",Q147="N/A",Q147="Still Employed"),Q147,ISNUMBER(SEARCH(",",Q147)),DATEVALUE(Q147),AND(ISNUMBER(SEARCH("-",Q147)),ISNUMBER(VALUE(LEFT(Q147,4)))),DATE(LEFT(Q147,4),MID(Q147,6,2),RIGHT(Q147,2)),ISNUMBER(SEARCH("-",Q147)),DATE(RIGHT(Q147,4),MID(Q147,4,2),LEFT(Q147,2)),ISNUMBER(SEARCH("/",Q147)),DATE(RIGHT(Q147,4),MID(Q147,4,2),LEFT(Q147,2)),TRUE,"Check Manually")</f>
        <v>Still Employed</v>
      </c>
      <c r="S147" s="31" t="str">
        <f t="shared" ca="1" si="32"/>
        <v>2 Years, 9 Months, 6 Days</v>
      </c>
      <c r="T147" s="31">
        <f t="shared" ca="1" si="33"/>
        <v>1010.46</v>
      </c>
      <c r="U147" s="31" t="str" cm="1">
        <f t="array" ref="U147">_xlfn.IFS(OR(R147="Missing",R147="N/A",R147="Still Employed"),"Unknown",ISNUMBER(R147),"Exited",TRUE,"Unknown")</f>
        <v>Unknown</v>
      </c>
      <c r="V147" s="31" t="str">
        <f t="shared" si="34"/>
        <v/>
      </c>
      <c r="W147" s="14" t="str">
        <f t="shared" si="35"/>
        <v>Active</v>
      </c>
      <c r="X147" s="19">
        <v>116959</v>
      </c>
      <c r="Y147" s="18" t="str">
        <f t="shared" si="28"/>
        <v>116959</v>
      </c>
      <c r="Z147" s="22" t="str" cm="1">
        <f t="array" ref="Z147">_xlfn.IFS(Y147="","0",LEFT(Y147,5)="",Y147,LEFT(Y147,1)="₹",REPLACE(Y147,1,1,""),LEFT(Y147,4)="Rs. ",REPLACE(Y147,1,4,""),TRUE,Y147)</f>
        <v>116959</v>
      </c>
      <c r="AA147" s="22" t="str">
        <f t="shared" si="29"/>
        <v>116959</v>
      </c>
      <c r="AB147" s="7"/>
      <c r="AC147" s="7" t="str">
        <f t="shared" si="30"/>
        <v>Not Rated</v>
      </c>
      <c r="AD147" s="7">
        <v>15</v>
      </c>
      <c r="AE147" cm="1">
        <f t="array" ref="AE147">_xlfn.IFS(AD147="",0,AD147&lt;0,"Negate Leave",AD147&gt;=0,AD147)</f>
        <v>15</v>
      </c>
    </row>
    <row r="148" spans="1:31" x14ac:dyDescent="0.3">
      <c r="A148" s="7">
        <v>5044</v>
      </c>
      <c r="B148" s="7" t="s">
        <v>254</v>
      </c>
      <c r="C148" s="7" t="str">
        <f t="shared" si="25"/>
        <v>Priya Gupta</v>
      </c>
      <c r="D148" s="7" t="str">
        <f t="shared" si="26"/>
        <v>Priya Gupta</v>
      </c>
      <c r="E148" s="7" t="s">
        <v>68</v>
      </c>
      <c r="F148" s="7" t="s">
        <v>122</v>
      </c>
      <c r="G148" s="7" t="s">
        <v>91</v>
      </c>
      <c r="H148" s="7" t="str">
        <f>_xlfn.XLOOKUP(G148,Lookup_Tables!$A$4:$A$9,Lookup_Tables!$C$4:$C$9,"Not Found",0)</f>
        <v>Rajiv Kapoor</v>
      </c>
      <c r="I148" s="7" t="s">
        <v>175</v>
      </c>
      <c r="J148" s="7" t="s">
        <v>401</v>
      </c>
      <c r="K148" s="7" t="str">
        <f t="shared" si="27"/>
        <v>pooja.shah@company.com</v>
      </c>
      <c r="L148" s="7" t="s">
        <v>690</v>
      </c>
      <c r="M148" s="7" t="str">
        <f t="shared" si="24"/>
        <v>3081336019</v>
      </c>
      <c r="N148" s="7" t="str" cm="1">
        <f t="array" ref="N148">_xlfn.IFS(M148="","Incomplete",LEN(M148)&lt;10,"Invalid",AND(LEN(M148) =10,LEFT(M148,4) &lt;&gt;"+91-"),"+91-"&amp;M148,TRUE,M148)</f>
        <v>+91-3081336019</v>
      </c>
      <c r="O148" s="8" t="s">
        <v>691</v>
      </c>
      <c r="P148" s="14" t="s">
        <v>126</v>
      </c>
      <c r="Q148" s="14" t="str">
        <f t="shared" si="31"/>
        <v>N/A</v>
      </c>
      <c r="R148" s="14" t="str" cm="1">
        <f t="array" ref="R148">_xlfn.IFS(OR(Q148="Missing",Q148="N/A",Q148="Still Employed"),Q148,ISNUMBER(SEARCH(",",Q148)),DATEVALUE(Q148),AND(ISNUMBER(SEARCH("-",Q148)),ISNUMBER(VALUE(LEFT(Q148,4)))),DATE(LEFT(Q148,4),MID(Q148,6,2),RIGHT(Q148,2)),ISNUMBER(SEARCH("-",Q148)),DATE(RIGHT(Q148,4),MID(Q148,4,2),LEFT(Q148,2)),ISNUMBER(SEARCH("/",Q148)),DATE(RIGHT(Q148,4),MID(Q148,4,2),LEFT(Q148,2)),TRUE,"Check Manually")</f>
        <v>N/A</v>
      </c>
      <c r="S148" s="31" t="str">
        <f t="shared" ca="1" si="32"/>
        <v>7 Years, 3 Months, 2 Days</v>
      </c>
      <c r="T148" s="31">
        <f t="shared" ca="1" si="33"/>
        <v>2650.07</v>
      </c>
      <c r="U148" s="31" t="str" cm="1">
        <f t="array" ref="U148">_xlfn.IFS(OR(R148="Missing",R148="N/A",R148="Still Employed"),"Unknown",ISNUMBER(R148),"Exited",TRUE,"Unknown")</f>
        <v>Unknown</v>
      </c>
      <c r="V148" s="31" t="str">
        <f t="shared" si="34"/>
        <v/>
      </c>
      <c r="W148" s="14" t="str">
        <f t="shared" si="35"/>
        <v>Active</v>
      </c>
      <c r="X148" s="19" t="s">
        <v>692</v>
      </c>
      <c r="Y148" s="18" t="str">
        <f t="shared" si="28"/>
        <v>Rs. 65,001</v>
      </c>
      <c r="Z148" s="22" t="str" cm="1">
        <f t="array" ref="Z148">_xlfn.IFS(Y148="","0",LEFT(Y148,5)="",Y148,LEFT(Y148,1)="₹",REPLACE(Y148,1,1,""),LEFT(Y148,4)="Rs. ",REPLACE(Y148,1,4,""),TRUE,Y148)</f>
        <v>65,001</v>
      </c>
      <c r="AA148" s="22" t="str">
        <f t="shared" si="29"/>
        <v>65001</v>
      </c>
      <c r="AB148" s="7" t="s">
        <v>51</v>
      </c>
      <c r="AC148" s="7" t="str">
        <f t="shared" si="30"/>
        <v>Excellent</v>
      </c>
      <c r="AD148" s="7">
        <v>-1</v>
      </c>
      <c r="AE148" t="str" cm="1">
        <f t="array" ref="AE148">_xlfn.IFS(AD148="",0,AD148&lt;0,"Negate Leave",AD148&gt;=0,AD148)</f>
        <v>Negate Leave</v>
      </c>
    </row>
    <row r="149" spans="1:31" x14ac:dyDescent="0.3">
      <c r="A149" s="7">
        <v>5346</v>
      </c>
      <c r="B149" s="7" t="s">
        <v>689</v>
      </c>
      <c r="C149" s="7" t="str">
        <f t="shared" si="25"/>
        <v>Pooja Shah</v>
      </c>
      <c r="D149" s="7" t="str">
        <f t="shared" si="26"/>
        <v>Pooja Shah</v>
      </c>
      <c r="E149" s="7" t="s">
        <v>61</v>
      </c>
      <c r="F149" s="7" t="s">
        <v>133</v>
      </c>
      <c r="G149" s="7" t="s">
        <v>69</v>
      </c>
      <c r="H149" s="7" t="str">
        <f>_xlfn.XLOOKUP(G149,Lookup_Tables!$A$4:$A$9,Lookup_Tables!$C$4:$C$9,"Not Found",0)</f>
        <v>Vivek Malhotra</v>
      </c>
      <c r="I149" s="7" t="s">
        <v>47</v>
      </c>
      <c r="J149" s="7" t="s">
        <v>694</v>
      </c>
      <c r="K149" s="7" t="str">
        <f t="shared" si="27"/>
        <v xml:space="preserve">kirti.rao@company.com </v>
      </c>
      <c r="L149" s="7" t="s">
        <v>695</v>
      </c>
      <c r="M149" s="7" t="str">
        <f t="shared" si="24"/>
        <v>+91-9799344617</v>
      </c>
      <c r="N149" s="7" t="str" cm="1">
        <f t="array" ref="N149">_xlfn.IFS(M149="","Incomplete",LEN(M149)&lt;10,"Invalid",AND(LEN(M149) =10,LEFT(M149,4) &lt;&gt;"+91-"),"+91-"&amp;M149,TRUE,M149)</f>
        <v>+91-9799344617</v>
      </c>
      <c r="O149" s="8" t="s">
        <v>696</v>
      </c>
      <c r="P149" s="14"/>
      <c r="Q149" s="14" t="str">
        <f t="shared" si="31"/>
        <v>Missing</v>
      </c>
      <c r="R149" s="14" t="str" cm="1">
        <f t="array" ref="R149">_xlfn.IFS(OR(Q149="Missing",Q149="N/A",Q149="Still Employed"),Q149,ISNUMBER(SEARCH(",",Q149)),DATEVALUE(Q149),AND(ISNUMBER(SEARCH("-",Q149)),ISNUMBER(VALUE(LEFT(Q149,4)))),DATE(LEFT(Q149,4),MID(Q149,6,2),RIGHT(Q149,2)),ISNUMBER(SEARCH("-",Q149)),DATE(RIGHT(Q149,4),MID(Q149,4,2),LEFT(Q149,2)),ISNUMBER(SEARCH("/",Q149)),DATE(RIGHT(Q149,4),MID(Q149,4,2),LEFT(Q149,2)),TRUE,"Check Manually")</f>
        <v>Missing</v>
      </c>
      <c r="S149" s="31" t="str">
        <f t="shared" ca="1" si="32"/>
        <v>6 Years, 9 Months, 19 Days</v>
      </c>
      <c r="T149" s="31">
        <f t="shared" ca="1" si="33"/>
        <v>2484.46</v>
      </c>
      <c r="U149" s="31" t="str" cm="1">
        <f t="array" ref="U149">_xlfn.IFS(OR(R149="Missing",R149="N/A",R149="Still Employed"),"Unknown",ISNUMBER(R149),"Exited",TRUE,"Unknown")</f>
        <v>Unknown</v>
      </c>
      <c r="V149" s="31" t="str">
        <f t="shared" si="34"/>
        <v/>
      </c>
      <c r="W149" s="14" t="str">
        <f t="shared" si="35"/>
        <v>Active</v>
      </c>
      <c r="X149" s="19">
        <v>108543</v>
      </c>
      <c r="Y149" s="18" t="str">
        <f t="shared" si="28"/>
        <v>108543</v>
      </c>
      <c r="Z149" s="22" t="str" cm="1">
        <f t="array" ref="Z149">_xlfn.IFS(Y149="","0",LEFT(Y149,5)="",Y149,LEFT(Y149,1)="₹",REPLACE(Y149,1,1,""),LEFT(Y149,4)="Rs. ",REPLACE(Y149,1,4,""),TRUE,Y149)</f>
        <v>108543</v>
      </c>
      <c r="AA149" s="22" t="str">
        <f t="shared" si="29"/>
        <v>108543</v>
      </c>
      <c r="AB149" s="7" t="s">
        <v>89</v>
      </c>
      <c r="AC149" s="7" t="str">
        <f t="shared" si="30"/>
        <v>Below Average</v>
      </c>
      <c r="AD149" s="7">
        <v>-2</v>
      </c>
      <c r="AE149" t="str" cm="1">
        <f t="array" ref="AE149">_xlfn.IFS(AD149="",0,AD149&lt;0,"Negate Leave",AD149&gt;=0,AD149)</f>
        <v>Negate Leave</v>
      </c>
    </row>
    <row r="150" spans="1:31" x14ac:dyDescent="0.3">
      <c r="A150" s="7">
        <v>5070</v>
      </c>
      <c r="B150" s="7" t="s">
        <v>693</v>
      </c>
      <c r="C150" s="7" t="str">
        <f t="shared" si="25"/>
        <v>Kirti  Rao</v>
      </c>
      <c r="D150" s="7" t="str">
        <f t="shared" si="26"/>
        <v>Kirti Rao</v>
      </c>
      <c r="E150" s="7" t="s">
        <v>61</v>
      </c>
      <c r="F150" s="7" t="s">
        <v>219</v>
      </c>
      <c r="G150" s="7" t="s">
        <v>46</v>
      </c>
      <c r="H150" s="7" t="str">
        <f>_xlfn.XLOOKUP(G150,Lookup_Tables!$A$4:$A$9,Lookup_Tables!$C$4:$C$9,"Not Found",0)</f>
        <v>Faisal Ahmed</v>
      </c>
      <c r="I150" s="7" t="s">
        <v>70</v>
      </c>
      <c r="J150" s="7" t="s">
        <v>698</v>
      </c>
      <c r="K150" s="7" t="str">
        <f t="shared" si="27"/>
        <v>amit.mehta@company.com</v>
      </c>
      <c r="L150" s="7" t="s">
        <v>699</v>
      </c>
      <c r="M150" s="7" t="str">
        <f t="shared" si="24"/>
        <v>2970572042</v>
      </c>
      <c r="N150" s="7" t="str" cm="1">
        <f t="array" ref="N150">_xlfn.IFS(M150="","Incomplete",LEN(M150)&lt;10,"Invalid",AND(LEN(M150) =10,LEFT(M150,4) &lt;&gt;"+91-"),"+91-"&amp;M150,TRUE,M150)</f>
        <v>+91-2970572042</v>
      </c>
      <c r="O150" s="8" t="s">
        <v>700</v>
      </c>
      <c r="P150" s="14"/>
      <c r="Q150" s="14" t="str">
        <f t="shared" si="31"/>
        <v>Missing</v>
      </c>
      <c r="R150" s="14" t="str" cm="1">
        <f t="array" ref="R150">_xlfn.IFS(OR(Q150="Missing",Q150="N/A",Q150="Still Employed"),Q150,ISNUMBER(SEARCH(",",Q150)),DATEVALUE(Q150),AND(ISNUMBER(SEARCH("-",Q150)),ISNUMBER(VALUE(LEFT(Q150,4)))),DATE(LEFT(Q150,4),MID(Q150,6,2),RIGHT(Q150,2)),ISNUMBER(SEARCH("-",Q150)),DATE(RIGHT(Q150,4),MID(Q150,4,2),LEFT(Q150,2)),ISNUMBER(SEARCH("/",Q150)),DATE(RIGHT(Q150,4),MID(Q150,4,2),LEFT(Q150,2)),TRUE,"Check Manually")</f>
        <v>Missing</v>
      </c>
      <c r="S150" s="31" t="str">
        <f t="shared" ca="1" si="32"/>
        <v>4 Years, 5 Months, 22 Days</v>
      </c>
      <c r="T150" s="31">
        <f t="shared" ca="1" si="33"/>
        <v>1635.2</v>
      </c>
      <c r="U150" s="31" t="str" cm="1">
        <f t="array" ref="U150">_xlfn.IFS(OR(R150="Missing",R150="N/A",R150="Still Employed"),"Unknown",ISNUMBER(R150),"Exited",TRUE,"Unknown")</f>
        <v>Unknown</v>
      </c>
      <c r="V150" s="31" t="str">
        <f t="shared" si="34"/>
        <v/>
      </c>
      <c r="W150" s="14" t="str">
        <f t="shared" si="35"/>
        <v>Active</v>
      </c>
      <c r="X150" s="19" t="s">
        <v>701</v>
      </c>
      <c r="Y150" s="18" t="str">
        <f t="shared" si="28"/>
        <v>₹66,209</v>
      </c>
      <c r="Z150" s="22" t="str" cm="1">
        <f t="array" ref="Z150">_xlfn.IFS(Y150="","0",LEFT(Y150,5)="",Y150,LEFT(Y150,1)="₹",REPLACE(Y150,1,1,""),LEFT(Y150,4)="Rs. ",REPLACE(Y150,1,4,""),TRUE,Y150)</f>
        <v>66,209</v>
      </c>
      <c r="AA150" s="22" t="str">
        <f t="shared" si="29"/>
        <v>66209</v>
      </c>
      <c r="AB150" s="7" t="s">
        <v>51</v>
      </c>
      <c r="AC150" s="7" t="str">
        <f t="shared" si="30"/>
        <v>Excellent</v>
      </c>
      <c r="AD150" s="7"/>
      <c r="AE150" cm="1">
        <f t="array" ref="AE150">_xlfn.IFS(AD150="",0,AD150&lt;0,"Negate Leave",AD150&gt;=0,AD150)</f>
        <v>0</v>
      </c>
    </row>
    <row r="151" spans="1:31" x14ac:dyDescent="0.3">
      <c r="A151" s="7">
        <v>5142</v>
      </c>
      <c r="B151" s="7" t="s">
        <v>697</v>
      </c>
      <c r="C151" s="7" t="str">
        <f t="shared" si="25"/>
        <v>Amit Mehta</v>
      </c>
      <c r="D151" s="7" t="str">
        <f t="shared" si="26"/>
        <v>Amit Mehta</v>
      </c>
      <c r="E151" s="7" t="s">
        <v>84</v>
      </c>
      <c r="F151" s="7" t="s">
        <v>219</v>
      </c>
      <c r="G151" s="7" t="s">
        <v>46</v>
      </c>
      <c r="H151" s="7" t="str">
        <f>_xlfn.XLOOKUP(G151,Lookup_Tables!$A$4:$A$9,Lookup_Tables!$C$4:$C$9,"Not Found",0)</f>
        <v>Faisal Ahmed</v>
      </c>
      <c r="I151" s="7" t="s">
        <v>47</v>
      </c>
      <c r="J151" s="7" t="s">
        <v>703</v>
      </c>
      <c r="K151" s="7" t="str">
        <f t="shared" si="27"/>
        <v>anita.verma@company.com</v>
      </c>
      <c r="L151" s="7" t="s">
        <v>704</v>
      </c>
      <c r="M151" s="7" t="str">
        <f t="shared" si="24"/>
        <v>16967106</v>
      </c>
      <c r="N151" s="7" t="str" cm="1">
        <f t="array" ref="N151">_xlfn.IFS(M151="","Incomplete",LEN(M151)&lt;10,"Invalid",AND(LEN(M151) =10,LEFT(M151,4) &lt;&gt;"+91-"),"+91-"&amp;M151,TRUE,M151)</f>
        <v>Invalid</v>
      </c>
      <c r="O151" s="8" t="s">
        <v>705</v>
      </c>
      <c r="P151" s="14"/>
      <c r="Q151" s="14" t="str">
        <f t="shared" si="31"/>
        <v>Missing</v>
      </c>
      <c r="R151" s="14" t="str" cm="1">
        <f t="array" ref="R151">_xlfn.IFS(OR(Q151="Missing",Q151="N/A",Q151="Still Employed"),Q151,ISNUMBER(SEARCH(",",Q151)),DATEVALUE(Q151),AND(ISNUMBER(SEARCH("-",Q151)),ISNUMBER(VALUE(LEFT(Q151,4)))),DATE(LEFT(Q151,4),MID(Q151,6,2),RIGHT(Q151,2)),ISNUMBER(SEARCH("-",Q151)),DATE(RIGHT(Q151,4),MID(Q151,4,2),LEFT(Q151,2)),ISNUMBER(SEARCH("/",Q151)),DATE(RIGHT(Q151,4),MID(Q151,4,2),LEFT(Q151,2)),TRUE,"Check Manually")</f>
        <v>Missing</v>
      </c>
      <c r="S151" s="31" t="str">
        <f t="shared" ca="1" si="32"/>
        <v>6 Years, 5 Months, 24 Days</v>
      </c>
      <c r="T151" s="31">
        <f t="shared" ca="1" si="33"/>
        <v>2367.6999999999998</v>
      </c>
      <c r="U151" s="31" t="str" cm="1">
        <f t="array" ref="U151">_xlfn.IFS(OR(R151="Missing",R151="N/A",R151="Still Employed"),"Unknown",ISNUMBER(R151),"Exited",TRUE,"Unknown")</f>
        <v>Unknown</v>
      </c>
      <c r="V151" s="31" t="str">
        <f t="shared" si="34"/>
        <v/>
      </c>
      <c r="W151" s="14" t="str">
        <f t="shared" si="35"/>
        <v>Active</v>
      </c>
      <c r="X151" s="19">
        <v>147898</v>
      </c>
      <c r="Y151" s="18" t="str">
        <f t="shared" si="28"/>
        <v>147898</v>
      </c>
      <c r="Z151" s="22" t="str" cm="1">
        <f t="array" ref="Z151">_xlfn.IFS(Y151="","0",LEFT(Y151,5)="",Y151,LEFT(Y151,1)="₹",REPLACE(Y151,1,1,""),LEFT(Y151,4)="Rs. ",REPLACE(Y151,1,4,""),TRUE,Y151)</f>
        <v>147898</v>
      </c>
      <c r="AA151" s="22" t="str">
        <f t="shared" si="29"/>
        <v>147898</v>
      </c>
      <c r="AB151" s="7" t="s">
        <v>89</v>
      </c>
      <c r="AC151" s="7" t="str">
        <f t="shared" si="30"/>
        <v>Below Average</v>
      </c>
      <c r="AD151" s="7">
        <v>10</v>
      </c>
      <c r="AE151" cm="1">
        <f t="array" ref="AE151">_xlfn.IFS(AD151="",0,AD151&lt;0,"Negate Leave",AD151&gt;=0,AD151)</f>
        <v>10</v>
      </c>
    </row>
    <row r="152" spans="1:31" x14ac:dyDescent="0.3">
      <c r="A152" s="7">
        <v>5064</v>
      </c>
      <c r="B152" s="7" t="s">
        <v>702</v>
      </c>
      <c r="C152" s="7" t="str">
        <f t="shared" si="25"/>
        <v>Anita Verma</v>
      </c>
      <c r="D152" s="7" t="str">
        <f t="shared" si="26"/>
        <v>Anita Verma</v>
      </c>
      <c r="E152" s="7" t="s">
        <v>61</v>
      </c>
      <c r="F152" s="7" t="s">
        <v>151</v>
      </c>
      <c r="G152" s="7" t="s">
        <v>76</v>
      </c>
      <c r="H152" s="7" t="str">
        <f>_xlfn.XLOOKUP(G152,Lookup_Tables!$A$4:$A$9,Lookup_Tables!$C$4:$C$9,"Not Found",0)</f>
        <v>Ananya Sen</v>
      </c>
      <c r="I152" s="7" t="s">
        <v>47</v>
      </c>
      <c r="J152" s="7"/>
      <c r="K152" s="7" t="str">
        <f t="shared" si="27"/>
        <v>No Email ID</v>
      </c>
      <c r="L152" s="7"/>
      <c r="M152" s="7" t="str">
        <f t="shared" si="24"/>
        <v/>
      </c>
      <c r="N152" s="7" t="str" cm="1">
        <f t="array" ref="N152">_xlfn.IFS(M152="","Incomplete",LEN(M152)&lt;10,"Invalid",AND(LEN(M152) =10,LEFT(M152,4) &lt;&gt;"+91-"),"+91-"&amp;M152,TRUE,M152)</f>
        <v>Incomplete</v>
      </c>
      <c r="O152" s="8" t="s">
        <v>707</v>
      </c>
      <c r="P152" s="14" t="s">
        <v>126</v>
      </c>
      <c r="Q152" s="14" t="str">
        <f t="shared" si="31"/>
        <v>N/A</v>
      </c>
      <c r="R152" s="14" t="str" cm="1">
        <f t="array" ref="R152">_xlfn.IFS(OR(Q152="Missing",Q152="N/A",Q152="Still Employed"),Q152,ISNUMBER(SEARCH(",",Q152)),DATEVALUE(Q152),AND(ISNUMBER(SEARCH("-",Q152)),ISNUMBER(VALUE(LEFT(Q152,4)))),DATE(LEFT(Q152,4),MID(Q152,6,2),RIGHT(Q152,2)),ISNUMBER(SEARCH("-",Q152)),DATE(RIGHT(Q152,4),MID(Q152,4,2),LEFT(Q152,2)),ISNUMBER(SEARCH("/",Q152)),DATE(RIGHT(Q152,4),MID(Q152,4,2),LEFT(Q152,2)),TRUE,"Check Manually")</f>
        <v>N/A</v>
      </c>
      <c r="S152" s="31" t="str">
        <f t="shared" ca="1" si="32"/>
        <v>3 Years, 0 Months, 4 Days</v>
      </c>
      <c r="T152" s="31">
        <f t="shared" ca="1" si="33"/>
        <v>1099.75</v>
      </c>
      <c r="U152" s="31" t="str" cm="1">
        <f t="array" ref="U152">_xlfn.IFS(OR(R152="Missing",R152="N/A",R152="Still Employed"),"Unknown",ISNUMBER(R152),"Exited",TRUE,"Unknown")</f>
        <v>Unknown</v>
      </c>
      <c r="V152" s="31" t="str">
        <f t="shared" si="34"/>
        <v/>
      </c>
      <c r="W152" s="14" t="str">
        <f t="shared" si="35"/>
        <v>Active</v>
      </c>
      <c r="X152" s="19">
        <v>85338</v>
      </c>
      <c r="Y152" s="18" t="str">
        <f t="shared" si="28"/>
        <v>85338</v>
      </c>
      <c r="Z152" s="22" t="str" cm="1">
        <f t="array" ref="Z152">_xlfn.IFS(Y152="","0",LEFT(Y152,5)="",Y152,LEFT(Y152,1)="₹",REPLACE(Y152,1,1,""),LEFT(Y152,4)="Rs. ",REPLACE(Y152,1,4,""),TRUE,Y152)</f>
        <v>85338</v>
      </c>
      <c r="AA152" s="22" t="str">
        <f t="shared" si="29"/>
        <v>85338</v>
      </c>
      <c r="AB152" s="7" t="s">
        <v>144</v>
      </c>
      <c r="AC152" s="7" t="str">
        <f t="shared" si="30"/>
        <v>Poor</v>
      </c>
      <c r="AD152" s="7">
        <v>1</v>
      </c>
      <c r="AE152" cm="1">
        <f t="array" ref="AE152">_xlfn.IFS(AD152="",0,AD152&lt;0,"Negate Leave",AD152&gt;=0,AD152)</f>
        <v>1</v>
      </c>
    </row>
    <row r="153" spans="1:31" x14ac:dyDescent="0.3">
      <c r="A153" s="7">
        <v>5157</v>
      </c>
      <c r="B153" s="7" t="s">
        <v>706</v>
      </c>
      <c r="C153" s="7" t="str">
        <f t="shared" si="25"/>
        <v>Anita Joshi</v>
      </c>
      <c r="D153" s="7" t="str">
        <f t="shared" si="26"/>
        <v>Anita Joshi</v>
      </c>
      <c r="E153" s="7" t="s">
        <v>61</v>
      </c>
      <c r="F153" s="7" t="s">
        <v>389</v>
      </c>
      <c r="G153" s="7" t="s">
        <v>140</v>
      </c>
      <c r="H153" s="7" t="str">
        <f>_xlfn.XLOOKUP(G153,Lookup_Tables!$A$4:$A$9,Lookup_Tables!$C$4:$C$9,"Not Found",0)</f>
        <v>Sunita Rao</v>
      </c>
      <c r="I153" s="7" t="s">
        <v>55</v>
      </c>
      <c r="J153" s="7" t="s">
        <v>709</v>
      </c>
      <c r="K153" s="7" t="str">
        <f t="shared" si="27"/>
        <v>suresh.iyer@company.com</v>
      </c>
      <c r="L153" s="7" t="s">
        <v>710</v>
      </c>
      <c r="M153" s="7" t="str">
        <f t="shared" si="24"/>
        <v>+91-0923141515</v>
      </c>
      <c r="N153" s="7" t="str" cm="1">
        <f t="array" ref="N153">_xlfn.IFS(M153="","Incomplete",LEN(M153)&lt;10,"Invalid",AND(LEN(M153) =10,LEFT(M153,4) &lt;&gt;"+91-"),"+91-"&amp;M153,TRUE,M153)</f>
        <v>+91-0923141515</v>
      </c>
      <c r="O153" s="8" t="s">
        <v>711</v>
      </c>
      <c r="P153" s="14"/>
      <c r="Q153" s="14" t="str">
        <f t="shared" si="31"/>
        <v>Missing</v>
      </c>
      <c r="R153" s="14" t="str" cm="1">
        <f t="array" ref="R153">_xlfn.IFS(OR(Q153="Missing",Q153="N/A",Q153="Still Employed"),Q153,ISNUMBER(SEARCH(",",Q153)),DATEVALUE(Q153),AND(ISNUMBER(SEARCH("-",Q153)),ISNUMBER(VALUE(LEFT(Q153,4)))),DATE(LEFT(Q153,4),MID(Q153,6,2),RIGHT(Q153,2)),ISNUMBER(SEARCH("-",Q153)),DATE(RIGHT(Q153,4),MID(Q153,4,2),LEFT(Q153,2)),ISNUMBER(SEARCH("/",Q153)),DATE(RIGHT(Q153,4),MID(Q153,4,2),LEFT(Q153,2)),TRUE,"Check Manually")</f>
        <v>Missing</v>
      </c>
      <c r="S153" s="31" t="str">
        <f t="shared" ca="1" si="32"/>
        <v>4 Years, 9 Months, 15 Days</v>
      </c>
      <c r="T153" s="31">
        <f t="shared" ca="1" si="33"/>
        <v>1749.96</v>
      </c>
      <c r="U153" s="31" t="str" cm="1">
        <f t="array" ref="U153">_xlfn.IFS(OR(R153="Missing",R153="N/A",R153="Still Employed"),"Unknown",ISNUMBER(R153),"Exited",TRUE,"Unknown")</f>
        <v>Unknown</v>
      </c>
      <c r="V153" s="31" t="str">
        <f t="shared" si="34"/>
        <v/>
      </c>
      <c r="W153" s="14" t="str">
        <f t="shared" si="35"/>
        <v>Active</v>
      </c>
      <c r="X153" s="19">
        <v>47831</v>
      </c>
      <c r="Y153" s="18" t="str">
        <f t="shared" si="28"/>
        <v>47831</v>
      </c>
      <c r="Z153" s="22" t="str" cm="1">
        <f t="array" ref="Z153">_xlfn.IFS(Y153="","0",LEFT(Y153,5)="",Y153,LEFT(Y153,1)="₹",REPLACE(Y153,1,1,""),LEFT(Y153,4)="Rs. ",REPLACE(Y153,1,4,""),TRUE,Y153)</f>
        <v>47831</v>
      </c>
      <c r="AA153" s="22" t="str">
        <f t="shared" si="29"/>
        <v>47831</v>
      </c>
      <c r="AB153" s="7" t="s">
        <v>95</v>
      </c>
      <c r="AC153" s="7" t="str">
        <f t="shared" si="30"/>
        <v>Average</v>
      </c>
      <c r="AD153" s="7">
        <v>21</v>
      </c>
      <c r="AE153" cm="1">
        <f t="array" ref="AE153">_xlfn.IFS(AD153="",0,AD153&lt;0,"Negate Leave",AD153&gt;=0,AD153)</f>
        <v>21</v>
      </c>
    </row>
    <row r="154" spans="1:31" x14ac:dyDescent="0.3">
      <c r="A154" s="7">
        <v>5204</v>
      </c>
      <c r="B154" s="7" t="s">
        <v>708</v>
      </c>
      <c r="C154" s="7" t="str">
        <f t="shared" si="25"/>
        <v>Suresh Iyer</v>
      </c>
      <c r="D154" s="7" t="str">
        <f t="shared" si="26"/>
        <v>Suresh Iyer</v>
      </c>
      <c r="E154" s="7" t="s">
        <v>68</v>
      </c>
      <c r="F154" s="7" t="s">
        <v>219</v>
      </c>
      <c r="G154" s="7" t="s">
        <v>46</v>
      </c>
      <c r="H154" s="7" t="str">
        <f>_xlfn.XLOOKUP(G154,Lookup_Tables!$A$4:$A$9,Lookup_Tables!$C$4:$C$9,"Not Found",0)</f>
        <v>Faisal Ahmed</v>
      </c>
      <c r="I154" s="7" t="s">
        <v>55</v>
      </c>
      <c r="J154" s="7" t="s">
        <v>224</v>
      </c>
      <c r="K154" s="7" t="str">
        <f t="shared" si="27"/>
        <v>rahul.bose@company.com</v>
      </c>
      <c r="L154" s="7" t="s">
        <v>713</v>
      </c>
      <c r="M154" s="7" t="str">
        <f t="shared" si="24"/>
        <v>4093136649</v>
      </c>
      <c r="N154" s="7" t="str" cm="1">
        <f t="array" ref="N154">_xlfn.IFS(M154="","Incomplete",LEN(M154)&lt;10,"Invalid",AND(LEN(M154) =10,LEFT(M154,4) &lt;&gt;"+91-"),"+91-"&amp;M154,TRUE,M154)</f>
        <v>+91-4093136649</v>
      </c>
      <c r="O154" s="8" t="s">
        <v>714</v>
      </c>
      <c r="P154" s="14" t="s">
        <v>114</v>
      </c>
      <c r="Q154" s="14" t="str">
        <f t="shared" si="31"/>
        <v>Still Employed</v>
      </c>
      <c r="R154" s="14" t="str" cm="1">
        <f t="array" ref="R154">_xlfn.IFS(OR(Q154="Missing",Q154="N/A",Q154="Still Employed"),Q154,ISNUMBER(SEARCH(",",Q154)),DATEVALUE(Q154),AND(ISNUMBER(SEARCH("-",Q154)),ISNUMBER(VALUE(LEFT(Q154,4)))),DATE(LEFT(Q154,4),MID(Q154,6,2),RIGHT(Q154,2)),ISNUMBER(SEARCH("-",Q154)),DATE(RIGHT(Q154,4),MID(Q154,4,2),LEFT(Q154,2)),ISNUMBER(SEARCH("/",Q154)),DATE(RIGHT(Q154,4),MID(Q154,4,2),LEFT(Q154,2)),TRUE,"Check Manually")</f>
        <v>Still Employed</v>
      </c>
      <c r="S154" s="31" t="str">
        <f t="shared" ca="1" si="32"/>
        <v>4 Years, 6 Months, 10 Days</v>
      </c>
      <c r="T154" s="31">
        <f t="shared" ca="1" si="33"/>
        <v>1653.64</v>
      </c>
      <c r="U154" s="31" t="str" cm="1">
        <f t="array" ref="U154">_xlfn.IFS(OR(R154="Missing",R154="N/A",R154="Still Employed"),"Unknown",ISNUMBER(R154),"Exited",TRUE,"Unknown")</f>
        <v>Unknown</v>
      </c>
      <c r="V154" s="31" t="str">
        <f t="shared" si="34"/>
        <v/>
      </c>
      <c r="W154" s="14" t="str">
        <f t="shared" si="35"/>
        <v>Active</v>
      </c>
      <c r="X154" s="19" t="s">
        <v>715</v>
      </c>
      <c r="Y154" s="18" t="str">
        <f t="shared" si="28"/>
        <v>Rs. 67,020</v>
      </c>
      <c r="Z154" s="22" t="str" cm="1">
        <f t="array" ref="Z154">_xlfn.IFS(Y154="","0",LEFT(Y154,5)="",Y154,LEFT(Y154,1)="₹",REPLACE(Y154,1,1,""),LEFT(Y154,4)="Rs. ",REPLACE(Y154,1,4,""),TRUE,Y154)</f>
        <v>67,020</v>
      </c>
      <c r="AA154" s="22" t="str">
        <f t="shared" si="29"/>
        <v>67020</v>
      </c>
      <c r="AB154" s="7" t="s">
        <v>95</v>
      </c>
      <c r="AC154" s="7" t="str">
        <f t="shared" si="30"/>
        <v>Average</v>
      </c>
      <c r="AD154" s="7">
        <v>7</v>
      </c>
      <c r="AE154" cm="1">
        <f t="array" ref="AE154">_xlfn.IFS(AD154="",0,AD154&lt;0,"Negate Leave",AD154&gt;=0,AD154)</f>
        <v>7</v>
      </c>
    </row>
    <row r="155" spans="1:31" x14ac:dyDescent="0.3">
      <c r="A155" s="7">
        <v>5312</v>
      </c>
      <c r="B155" s="7" t="s">
        <v>712</v>
      </c>
      <c r="C155" s="7" t="str">
        <f t="shared" si="25"/>
        <v>RAHUL BOSE</v>
      </c>
      <c r="D155" s="7" t="str">
        <f t="shared" si="26"/>
        <v>Rahul Bose</v>
      </c>
      <c r="E155" s="7" t="s">
        <v>61</v>
      </c>
      <c r="F155" s="7" t="s">
        <v>53</v>
      </c>
      <c r="G155" s="7" t="s">
        <v>54</v>
      </c>
      <c r="H155" s="7" t="str">
        <f>_xlfn.XLOOKUP(G155,Lookup_Tables!$A$4:$A$9,Lookup_Tables!$C$4:$C$9,"Not Found",0)</f>
        <v>Leela Iyer</v>
      </c>
      <c r="I155" s="7" t="s">
        <v>47</v>
      </c>
      <c r="J155" s="7" t="s">
        <v>717</v>
      </c>
      <c r="K155" s="7" t="str">
        <f t="shared" si="27"/>
        <v>yash.agarwal@company.com</v>
      </c>
      <c r="L155" s="7" t="s">
        <v>718</v>
      </c>
      <c r="M155" s="7" t="str">
        <f t="shared" si="24"/>
        <v>4402685995</v>
      </c>
      <c r="N155" s="7" t="str" cm="1">
        <f t="array" ref="N155">_xlfn.IFS(M155="","Incomplete",LEN(M155)&lt;10,"Invalid",AND(LEN(M155) =10,LEFT(M155,4) &lt;&gt;"+91-"),"+91-"&amp;M155,TRUE,M155)</f>
        <v>+91-4402685995</v>
      </c>
      <c r="O155" s="8" t="s">
        <v>719</v>
      </c>
      <c r="P155" s="14"/>
      <c r="Q155" s="14" t="str">
        <f t="shared" si="31"/>
        <v>Missing</v>
      </c>
      <c r="R155" s="14" t="str" cm="1">
        <f t="array" ref="R155">_xlfn.IFS(OR(Q155="Missing",Q155="N/A",Q155="Still Employed"),Q155,ISNUMBER(SEARCH(",",Q155)),DATEVALUE(Q155),AND(ISNUMBER(SEARCH("-",Q155)),ISNUMBER(VALUE(LEFT(Q155,4)))),DATE(LEFT(Q155,4),MID(Q155,6,2),RIGHT(Q155,2)),ISNUMBER(SEARCH("-",Q155)),DATE(RIGHT(Q155,4),MID(Q155,4,2),LEFT(Q155,2)),ISNUMBER(SEARCH("/",Q155)),DATE(RIGHT(Q155,4),MID(Q155,4,2),LEFT(Q155,2)),TRUE,"Check Manually")</f>
        <v>Missing</v>
      </c>
      <c r="S155" s="31" t="str">
        <f t="shared" ca="1" si="32"/>
        <v>6 Years, 10 Months, 10 Days</v>
      </c>
      <c r="T155" s="31">
        <f t="shared" ca="1" si="33"/>
        <v>2505.9</v>
      </c>
      <c r="U155" s="31" t="str" cm="1">
        <f t="array" ref="U155">_xlfn.IFS(OR(R155="Missing",R155="N/A",R155="Still Employed"),"Unknown",ISNUMBER(R155),"Exited",TRUE,"Unknown")</f>
        <v>Unknown</v>
      </c>
      <c r="V155" s="31" t="str">
        <f t="shared" si="34"/>
        <v/>
      </c>
      <c r="W155" s="14" t="str">
        <f t="shared" si="35"/>
        <v>Active</v>
      </c>
      <c r="X155" s="19">
        <v>96167</v>
      </c>
      <c r="Y155" s="18" t="str">
        <f t="shared" si="28"/>
        <v>96167</v>
      </c>
      <c r="Z155" s="22" t="str" cm="1">
        <f t="array" ref="Z155">_xlfn.IFS(Y155="","0",LEFT(Y155,5)="",Y155,LEFT(Y155,1)="₹",REPLACE(Y155,1,1,""),LEFT(Y155,4)="Rs. ",REPLACE(Y155,1,4,""),TRUE,Y155)</f>
        <v>96167</v>
      </c>
      <c r="AA155" s="22" t="str">
        <f t="shared" si="29"/>
        <v>96167</v>
      </c>
      <c r="AB155" s="7" t="s">
        <v>51</v>
      </c>
      <c r="AC155" s="7" t="str">
        <f t="shared" si="30"/>
        <v>Excellent</v>
      </c>
      <c r="AD155" s="7">
        <v>17</v>
      </c>
      <c r="AE155" cm="1">
        <f t="array" ref="AE155">_xlfn.IFS(AD155="",0,AD155&lt;0,"Negate Leave",AD155&gt;=0,AD155)</f>
        <v>17</v>
      </c>
    </row>
    <row r="156" spans="1:31" x14ac:dyDescent="0.3">
      <c r="A156" s="7">
        <v>5005</v>
      </c>
      <c r="B156" s="7" t="s">
        <v>716</v>
      </c>
      <c r="C156" s="7" t="str">
        <f t="shared" si="25"/>
        <v>Yash Agarwal</v>
      </c>
      <c r="D156" s="7" t="str">
        <f t="shared" si="26"/>
        <v>Yash Agarwal</v>
      </c>
      <c r="E156" s="7" t="s">
        <v>68</v>
      </c>
      <c r="F156" s="7" t="s">
        <v>219</v>
      </c>
      <c r="G156" s="7" t="s">
        <v>46</v>
      </c>
      <c r="H156" s="7" t="str">
        <f>_xlfn.XLOOKUP(G156,Lookup_Tables!$A$4:$A$9,Lookup_Tables!$C$4:$C$9,"Not Found",0)</f>
        <v>Faisal Ahmed</v>
      </c>
      <c r="I156" s="7" t="s">
        <v>110</v>
      </c>
      <c r="J156" s="7" t="s">
        <v>721</v>
      </c>
      <c r="K156" s="7" t="str">
        <f t="shared" si="27"/>
        <v>vikram.reddy@company.com</v>
      </c>
      <c r="L156" s="7" t="s">
        <v>722</v>
      </c>
      <c r="M156" s="7" t="str">
        <f t="shared" si="24"/>
        <v>2228053773</v>
      </c>
      <c r="N156" s="7" t="str" cm="1">
        <f t="array" ref="N156">_xlfn.IFS(M156="","Incomplete",LEN(M156)&lt;10,"Invalid",AND(LEN(M156) =10,LEFT(M156,4) &lt;&gt;"+91-"),"+91-"&amp;M156,TRUE,M156)</f>
        <v>+91-2228053773</v>
      </c>
      <c r="O156" s="8" t="s">
        <v>326</v>
      </c>
      <c r="P156" s="14" t="s">
        <v>114</v>
      </c>
      <c r="Q156" s="14" t="str">
        <f t="shared" si="31"/>
        <v>Still Employed</v>
      </c>
      <c r="R156" s="14" t="str" cm="1">
        <f t="array" ref="R156">_xlfn.IFS(OR(Q156="Missing",Q156="N/A",Q156="Still Employed"),Q156,ISNUMBER(SEARCH(",",Q156)),DATEVALUE(Q156),AND(ISNUMBER(SEARCH("-",Q156)),ISNUMBER(VALUE(LEFT(Q156,4)))),DATE(LEFT(Q156,4),MID(Q156,6,2),RIGHT(Q156,2)),ISNUMBER(SEARCH("-",Q156)),DATE(RIGHT(Q156,4),MID(Q156,4,2),LEFT(Q156,2)),ISNUMBER(SEARCH("/",Q156)),DATE(RIGHT(Q156,4),MID(Q156,4,2),LEFT(Q156,2)),TRUE,"Check Manually")</f>
        <v>Still Employed</v>
      </c>
      <c r="S156" s="31" t="str">
        <f t="shared" ca="1" si="32"/>
        <v>7 Years, 0 Months, 17 Days</v>
      </c>
      <c r="T156" s="31">
        <f t="shared" ca="1" si="33"/>
        <v>2573.75</v>
      </c>
      <c r="U156" s="31" t="str" cm="1">
        <f t="array" ref="U156">_xlfn.IFS(OR(R156="Missing",R156="N/A",R156="Still Employed"),"Unknown",ISNUMBER(R156),"Exited",TRUE,"Unknown")</f>
        <v>Unknown</v>
      </c>
      <c r="V156" s="31" t="str">
        <f t="shared" si="34"/>
        <v/>
      </c>
      <c r="W156" s="14" t="str">
        <f t="shared" si="35"/>
        <v>Active</v>
      </c>
      <c r="X156" s="19">
        <v>88723</v>
      </c>
      <c r="Y156" s="18" t="str">
        <f t="shared" si="28"/>
        <v>88723</v>
      </c>
      <c r="Z156" s="22" t="str" cm="1">
        <f t="array" ref="Z156">_xlfn.IFS(Y156="","0",LEFT(Y156,5)="",Y156,LEFT(Y156,1)="₹",REPLACE(Y156,1,1,""),LEFT(Y156,4)="Rs. ",REPLACE(Y156,1,4,""),TRUE,Y156)</f>
        <v>88723</v>
      </c>
      <c r="AA156" s="22" t="str">
        <f t="shared" si="29"/>
        <v>88723</v>
      </c>
      <c r="AB156" s="7" t="s">
        <v>89</v>
      </c>
      <c r="AC156" s="7" t="str">
        <f t="shared" si="30"/>
        <v>Below Average</v>
      </c>
      <c r="AD156" s="7">
        <v>7</v>
      </c>
      <c r="AE156" cm="1">
        <f t="array" ref="AE156">_xlfn.IFS(AD156="",0,AD156&lt;0,"Negate Leave",AD156&gt;=0,AD156)</f>
        <v>7</v>
      </c>
    </row>
    <row r="157" spans="1:31" x14ac:dyDescent="0.3">
      <c r="A157" s="7">
        <v>5115</v>
      </c>
      <c r="B157" s="7" t="s">
        <v>720</v>
      </c>
      <c r="C157" s="7" t="str">
        <f t="shared" si="25"/>
        <v>Vikram  Reddy</v>
      </c>
      <c r="D157" s="7" t="str">
        <f t="shared" si="26"/>
        <v>Vikram Reddy</v>
      </c>
      <c r="E157" s="7" t="s">
        <v>68</v>
      </c>
      <c r="F157" s="7" t="s">
        <v>133</v>
      </c>
      <c r="G157" s="7" t="s">
        <v>69</v>
      </c>
      <c r="H157" s="7" t="str">
        <f>_xlfn.XLOOKUP(G157,Lookup_Tables!$A$4:$A$9,Lookup_Tables!$C$4:$C$9,"Not Found",0)</f>
        <v>Vivek Malhotra</v>
      </c>
      <c r="I157" s="7" t="s">
        <v>62</v>
      </c>
      <c r="J157" s="7" t="s">
        <v>623</v>
      </c>
      <c r="K157" s="7" t="str">
        <f t="shared" si="27"/>
        <v>deepak.naidu@company.com</v>
      </c>
      <c r="L157" s="7" t="s">
        <v>724</v>
      </c>
      <c r="M157" s="7" t="str">
        <f t="shared" si="24"/>
        <v>7206317979</v>
      </c>
      <c r="N157" s="7" t="str" cm="1">
        <f t="array" ref="N157">_xlfn.IFS(M157="","Incomplete",LEN(M157)&lt;10,"Invalid",AND(LEN(M157) =10,LEFT(M157,4) &lt;&gt;"+91-"),"+91-"&amp;M157,TRUE,M157)</f>
        <v>+91-7206317979</v>
      </c>
      <c r="O157" s="8" t="s">
        <v>725</v>
      </c>
      <c r="P157" s="14" t="s">
        <v>126</v>
      </c>
      <c r="Q157" s="14" t="str">
        <f t="shared" si="31"/>
        <v>N/A</v>
      </c>
      <c r="R157" s="14" t="str" cm="1">
        <f t="array" ref="R157">_xlfn.IFS(OR(Q157="Missing",Q157="N/A",Q157="Still Employed"),Q157,ISNUMBER(SEARCH(",",Q157)),DATEVALUE(Q157),AND(ISNUMBER(SEARCH("-",Q157)),ISNUMBER(VALUE(LEFT(Q157,4)))),DATE(LEFT(Q157,4),MID(Q157,6,2),RIGHT(Q157,2)),ISNUMBER(SEARCH("-",Q157)),DATE(RIGHT(Q157,4),MID(Q157,4,2),LEFT(Q157,2)),ISNUMBER(SEARCH("/",Q157)),DATE(RIGHT(Q157,4),MID(Q157,4,2),LEFT(Q157,2)),TRUE,"Check Manually")</f>
        <v>N/A</v>
      </c>
      <c r="S157" s="31" t="str">
        <f t="shared" ca="1" si="32"/>
        <v>6 Years, 5 Months, 19 Days</v>
      </c>
      <c r="T157" s="31">
        <f t="shared" ca="1" si="33"/>
        <v>2362.6999999999998</v>
      </c>
      <c r="U157" s="31" t="str" cm="1">
        <f t="array" ref="U157">_xlfn.IFS(OR(R157="Missing",R157="N/A",R157="Still Employed"),"Unknown",ISNUMBER(R157),"Exited",TRUE,"Unknown")</f>
        <v>Unknown</v>
      </c>
      <c r="V157" s="31" t="str">
        <f t="shared" si="34"/>
        <v/>
      </c>
      <c r="W157" s="14" t="str">
        <f t="shared" si="35"/>
        <v>Active</v>
      </c>
      <c r="X157" s="19"/>
      <c r="Y157" s="18" t="str">
        <f t="shared" si="28"/>
        <v/>
      </c>
      <c r="Z157" s="22" t="str" cm="1">
        <f t="array" ref="Z157">_xlfn.IFS(Y157="","0",LEFT(Y157,5)="",Y157,LEFT(Y157,1)="₹",REPLACE(Y157,1,1,""),LEFT(Y157,4)="Rs. ",REPLACE(Y157,1,4,""),TRUE,Y157)</f>
        <v>0</v>
      </c>
      <c r="AA157" s="22" t="str">
        <f t="shared" si="29"/>
        <v>0</v>
      </c>
      <c r="AB157" s="7" t="s">
        <v>144</v>
      </c>
      <c r="AC157" s="7" t="str">
        <f t="shared" si="30"/>
        <v>Poor</v>
      </c>
      <c r="AD157" s="7">
        <v>4</v>
      </c>
      <c r="AE157" cm="1">
        <f t="array" ref="AE157">_xlfn.IFS(AD157="",0,AD157&lt;0,"Negate Leave",AD157&gt;=0,AD157)</f>
        <v>4</v>
      </c>
    </row>
    <row r="158" spans="1:31" x14ac:dyDescent="0.3">
      <c r="A158" s="7">
        <v>5264</v>
      </c>
      <c r="B158" s="7" t="s">
        <v>723</v>
      </c>
      <c r="C158" s="7" t="str">
        <f t="shared" si="25"/>
        <v>Deepak  Naidu</v>
      </c>
      <c r="D158" s="7" t="str">
        <f t="shared" si="26"/>
        <v>Deepak Naidu</v>
      </c>
      <c r="E158" s="7" t="s">
        <v>61</v>
      </c>
      <c r="F158" s="7" t="s">
        <v>389</v>
      </c>
      <c r="G158" s="7" t="s">
        <v>140</v>
      </c>
      <c r="H158" s="7" t="str">
        <f>_xlfn.XLOOKUP(G158,Lookup_Tables!$A$4:$A$9,Lookup_Tables!$C$4:$C$9,"Not Found",0)</f>
        <v>Sunita Rao</v>
      </c>
      <c r="I158" s="7" t="s">
        <v>77</v>
      </c>
      <c r="J158" s="7" t="s">
        <v>727</v>
      </c>
      <c r="K158" s="7" t="str">
        <f t="shared" si="27"/>
        <v>rahul.rao@company.com</v>
      </c>
      <c r="L158" s="7" t="s">
        <v>728</v>
      </c>
      <c r="M158" s="7" t="str">
        <f t="shared" si="24"/>
        <v>6068831067</v>
      </c>
      <c r="N158" s="7" t="str" cm="1">
        <f t="array" ref="N158">_xlfn.IFS(M158="","Incomplete",LEN(M158)&lt;10,"Invalid",AND(LEN(M158) =10,LEFT(M158,4) &lt;&gt;"+91-"),"+91-"&amp;M158,TRUE,M158)</f>
        <v>+91-6068831067</v>
      </c>
      <c r="O158" s="8" t="s">
        <v>729</v>
      </c>
      <c r="P158" s="14" t="s">
        <v>730</v>
      </c>
      <c r="Q158" s="14" t="str">
        <f t="shared" si="31"/>
        <v>Sep 26, 2023</v>
      </c>
      <c r="R158" s="14" cm="1">
        <f t="array" ref="R158">_xlfn.IFS(OR(Q158="Missing",Q158="N/A",Q158="Still Employed"),Q158,ISNUMBER(SEARCH(",",Q158)),DATEVALUE(Q158),AND(ISNUMBER(SEARCH("-",Q158)),ISNUMBER(VALUE(LEFT(Q158,4)))),DATE(LEFT(Q158,4),MID(Q158,6,2),RIGHT(Q158,2)),ISNUMBER(SEARCH("-",Q158)),DATE(RIGHT(Q158,4),MID(Q158,4,2),LEFT(Q158,2)),ISNUMBER(SEARCH("/",Q158)),DATE(RIGHT(Q158,4),MID(Q158,4,2),LEFT(Q158,2)),TRUE,"Check Manually")</f>
        <v>45195</v>
      </c>
      <c r="S158" s="31" t="str">
        <f t="shared" ca="1" si="32"/>
        <v>2 Years, 11 Months, 8 Days</v>
      </c>
      <c r="T158" s="31">
        <f t="shared" ca="1" si="33"/>
        <v>1073.3400000000001</v>
      </c>
      <c r="U158" s="31" t="str" cm="1">
        <f t="array" ref="U158">_xlfn.IFS(OR(R158="Missing",R158="N/A",R158="Still Employed"),"Unknown",ISNUMBER(R158),"Exited",TRUE,"Unknown")</f>
        <v>Exited</v>
      </c>
      <c r="V158" s="31">
        <f t="shared" si="34"/>
        <v>2023</v>
      </c>
      <c r="W158" s="14" t="str">
        <f t="shared" si="35"/>
        <v>Exited</v>
      </c>
      <c r="X158" s="19">
        <v>117733</v>
      </c>
      <c r="Y158" s="18" t="str">
        <f t="shared" si="28"/>
        <v>117733</v>
      </c>
      <c r="Z158" s="22" t="str" cm="1">
        <f t="array" ref="Z158">_xlfn.IFS(Y158="","0",LEFT(Y158,5)="",Y158,LEFT(Y158,1)="₹",REPLACE(Y158,1,1,""),LEFT(Y158,4)="Rs. ",REPLACE(Y158,1,4,""),TRUE,Y158)</f>
        <v>117733</v>
      </c>
      <c r="AA158" s="22" t="str">
        <f t="shared" si="29"/>
        <v>117733</v>
      </c>
      <c r="AB158" s="7" t="s">
        <v>95</v>
      </c>
      <c r="AC158" s="7" t="str">
        <f t="shared" si="30"/>
        <v>Average</v>
      </c>
      <c r="AD158" s="7">
        <v>14</v>
      </c>
      <c r="AE158" cm="1">
        <f t="array" ref="AE158">_xlfn.IFS(AD158="",0,AD158&lt;0,"Negate Leave",AD158&gt;=0,AD158)</f>
        <v>14</v>
      </c>
    </row>
    <row r="159" spans="1:31" x14ac:dyDescent="0.3">
      <c r="A159" s="7">
        <v>5024</v>
      </c>
      <c r="B159" s="7" t="s">
        <v>726</v>
      </c>
      <c r="C159" s="7" t="str">
        <f t="shared" si="25"/>
        <v>Rahul Rao</v>
      </c>
      <c r="D159" s="7" t="str">
        <f t="shared" si="26"/>
        <v>Rahul Rao</v>
      </c>
      <c r="E159" s="7" t="s">
        <v>61</v>
      </c>
      <c r="F159" s="7" t="s">
        <v>133</v>
      </c>
      <c r="G159" s="7" t="s">
        <v>69</v>
      </c>
      <c r="H159" s="7" t="str">
        <f>_xlfn.XLOOKUP(G159,Lookup_Tables!$A$4:$A$9,Lookup_Tables!$C$4:$C$9,"Not Found",0)</f>
        <v>Vivek Malhotra</v>
      </c>
      <c r="I159" s="7" t="s">
        <v>70</v>
      </c>
      <c r="J159" s="7" t="s">
        <v>732</v>
      </c>
      <c r="K159" s="7" t="str">
        <f t="shared" si="27"/>
        <v>ritu.trivedi@company.com</v>
      </c>
      <c r="L159" s="7" t="s">
        <v>733</v>
      </c>
      <c r="M159" s="7" t="str">
        <f t="shared" si="24"/>
        <v>6754529708</v>
      </c>
      <c r="N159" s="7" t="str" cm="1">
        <f t="array" ref="N159">_xlfn.IFS(M159="","Incomplete",LEN(M159)&lt;10,"Invalid",AND(LEN(M159) =10,LEFT(M159,4) &lt;&gt;"+91-"),"+91-"&amp;M159,TRUE,M159)</f>
        <v>+91-6754529708</v>
      </c>
      <c r="O159" s="8" t="s">
        <v>734</v>
      </c>
      <c r="P159" s="14"/>
      <c r="Q159" s="14" t="str">
        <f t="shared" si="31"/>
        <v>Missing</v>
      </c>
      <c r="R159" s="14" t="str" cm="1">
        <f t="array" ref="R159">_xlfn.IFS(OR(Q159="Missing",Q159="N/A",Q159="Still Employed"),Q159,ISNUMBER(SEARCH(",",Q159)),DATEVALUE(Q159),AND(ISNUMBER(SEARCH("-",Q159)),ISNUMBER(VALUE(LEFT(Q159,4)))),DATE(LEFT(Q159,4),MID(Q159,6,2),RIGHT(Q159,2)),ISNUMBER(SEARCH("-",Q159)),DATE(RIGHT(Q159,4),MID(Q159,4,2),LEFT(Q159,2)),ISNUMBER(SEARCH("/",Q159)),DATE(RIGHT(Q159,4),MID(Q159,4,2),LEFT(Q159,2)),TRUE,"Check Manually")</f>
        <v>Missing</v>
      </c>
      <c r="S159" s="31" t="str">
        <f t="shared" ca="1" si="32"/>
        <v>5 Years, 3 Months, 14 Days</v>
      </c>
      <c r="T159" s="31">
        <f t="shared" ca="1" si="33"/>
        <v>1931.57</v>
      </c>
      <c r="U159" s="31" t="str" cm="1">
        <f t="array" ref="U159">_xlfn.IFS(OR(R159="Missing",R159="N/A",R159="Still Employed"),"Unknown",ISNUMBER(R159),"Exited",TRUE,"Unknown")</f>
        <v>Unknown</v>
      </c>
      <c r="V159" s="31" t="str">
        <f t="shared" si="34"/>
        <v/>
      </c>
      <c r="W159" s="14" t="str">
        <f t="shared" si="35"/>
        <v>Active</v>
      </c>
      <c r="X159" s="19" t="s">
        <v>735</v>
      </c>
      <c r="Y159" s="18" t="str">
        <f t="shared" si="28"/>
        <v>₹178,709</v>
      </c>
      <c r="Z159" s="22" t="str" cm="1">
        <f t="array" ref="Z159">_xlfn.IFS(Y159="","0",LEFT(Y159,5)="",Y159,LEFT(Y159,1)="₹",REPLACE(Y159,1,1,""),LEFT(Y159,4)="Rs. ",REPLACE(Y159,1,4,""),TRUE,Y159)</f>
        <v>178,709</v>
      </c>
      <c r="AA159" s="22" t="str">
        <f t="shared" si="29"/>
        <v>178709</v>
      </c>
      <c r="AB159" s="7" t="s">
        <v>144</v>
      </c>
      <c r="AC159" s="7" t="str">
        <f t="shared" si="30"/>
        <v>Poor</v>
      </c>
      <c r="AD159" s="7">
        <v>-2</v>
      </c>
      <c r="AE159" t="str" cm="1">
        <f t="array" ref="AE159">_xlfn.IFS(AD159="",0,AD159&lt;0,"Negate Leave",AD159&gt;=0,AD159)</f>
        <v>Negate Leave</v>
      </c>
    </row>
    <row r="160" spans="1:31" x14ac:dyDescent="0.3">
      <c r="A160" s="7">
        <v>5143</v>
      </c>
      <c r="B160" s="7" t="s">
        <v>731</v>
      </c>
      <c r="C160" s="7" t="str">
        <f t="shared" si="25"/>
        <v>Ritu Trivedi</v>
      </c>
      <c r="D160" s="7" t="str">
        <f t="shared" si="26"/>
        <v>Ritu Trivedi</v>
      </c>
      <c r="E160" s="7" t="s">
        <v>68</v>
      </c>
      <c r="F160" s="7" t="s">
        <v>389</v>
      </c>
      <c r="G160" s="7" t="s">
        <v>140</v>
      </c>
      <c r="H160" s="7" t="str">
        <f>_xlfn.XLOOKUP(G160,Lookup_Tables!$A$4:$A$9,Lookup_Tables!$C$4:$C$9,"Not Found",0)</f>
        <v>Sunita Rao</v>
      </c>
      <c r="I160" s="7" t="s">
        <v>110</v>
      </c>
      <c r="J160" s="7" t="s">
        <v>380</v>
      </c>
      <c r="K160" s="7" t="str">
        <f t="shared" si="27"/>
        <v>anita.pillai@company.com</v>
      </c>
      <c r="L160" s="7" t="s">
        <v>736</v>
      </c>
      <c r="M160" s="7" t="str">
        <f t="shared" si="24"/>
        <v>1876780036</v>
      </c>
      <c r="N160" s="7" t="str" cm="1">
        <f t="array" ref="N160">_xlfn.IFS(M160="","Incomplete",LEN(M160)&lt;10,"Invalid",AND(LEN(M160) =10,LEFT(M160,4) &lt;&gt;"+91-"),"+91-"&amp;M160,TRUE,M160)</f>
        <v>+91-1876780036</v>
      </c>
      <c r="O160" s="8" t="s">
        <v>737</v>
      </c>
      <c r="P160" s="14"/>
      <c r="Q160" s="14" t="str">
        <f t="shared" si="31"/>
        <v>Missing</v>
      </c>
      <c r="R160" s="14" t="str" cm="1">
        <f t="array" ref="R160">_xlfn.IFS(OR(Q160="Missing",Q160="N/A",Q160="Still Employed"),Q160,ISNUMBER(SEARCH(",",Q160)),DATEVALUE(Q160),AND(ISNUMBER(SEARCH("-",Q160)),ISNUMBER(VALUE(LEFT(Q160,4)))),DATE(LEFT(Q160,4),MID(Q160,6,2),RIGHT(Q160,2)),ISNUMBER(SEARCH("-",Q160)),DATE(RIGHT(Q160,4),MID(Q160,4,2),LEFT(Q160,2)),ISNUMBER(SEARCH("/",Q160)),DATE(RIGHT(Q160,4),MID(Q160,4,2),LEFT(Q160,2)),TRUE,"Check Manually")</f>
        <v>Missing</v>
      </c>
      <c r="S160" s="31" t="str">
        <f t="shared" ca="1" si="32"/>
        <v>6 Years, 9 Months, 11 Days</v>
      </c>
      <c r="T160" s="31">
        <f t="shared" ca="1" si="33"/>
        <v>2476.46</v>
      </c>
      <c r="U160" s="31" t="str" cm="1">
        <f t="array" ref="U160">_xlfn.IFS(OR(R160="Missing",R160="N/A",R160="Still Employed"),"Unknown",ISNUMBER(R160),"Exited",TRUE,"Unknown")</f>
        <v>Unknown</v>
      </c>
      <c r="V160" s="31" t="str">
        <f t="shared" si="34"/>
        <v/>
      </c>
      <c r="W160" s="14" t="str">
        <f t="shared" si="35"/>
        <v>Active</v>
      </c>
      <c r="X160" s="19"/>
      <c r="Y160" s="18" t="str">
        <f t="shared" si="28"/>
        <v/>
      </c>
      <c r="Z160" s="22" t="str" cm="1">
        <f t="array" ref="Z160">_xlfn.IFS(Y160="","0",LEFT(Y160,5)="",Y160,LEFT(Y160,1)="₹",REPLACE(Y160,1,1,""),LEFT(Y160,4)="Rs. ",REPLACE(Y160,1,4,""),TRUE,Y160)</f>
        <v>0</v>
      </c>
      <c r="AA160" s="22" t="str">
        <f t="shared" si="29"/>
        <v>0</v>
      </c>
      <c r="AB160" s="7" t="s">
        <v>144</v>
      </c>
      <c r="AC160" s="7" t="str">
        <f t="shared" si="30"/>
        <v>Poor</v>
      </c>
      <c r="AD160" s="7">
        <v>23</v>
      </c>
      <c r="AE160" cm="1">
        <f t="array" ref="AE160">_xlfn.IFS(AD160="",0,AD160&lt;0,"Negate Leave",AD160&gt;=0,AD160)</f>
        <v>23</v>
      </c>
    </row>
    <row r="161" spans="1:31" x14ac:dyDescent="0.3">
      <c r="A161" s="7">
        <v>5203</v>
      </c>
      <c r="B161" s="7" t="s">
        <v>379</v>
      </c>
      <c r="C161" s="7" t="str">
        <f t="shared" si="25"/>
        <v>Anita Pillai</v>
      </c>
      <c r="D161" s="7" t="str">
        <f t="shared" si="26"/>
        <v>Anita Pillai</v>
      </c>
      <c r="E161" s="7" t="s">
        <v>84</v>
      </c>
      <c r="F161" s="7" t="s">
        <v>53</v>
      </c>
      <c r="G161" s="7" t="s">
        <v>54</v>
      </c>
      <c r="H161" s="7" t="str">
        <f>_xlfn.XLOOKUP(G161,Lookup_Tables!$A$4:$A$9,Lookup_Tables!$C$4:$C$9,"Not Found",0)</f>
        <v>Leela Iyer</v>
      </c>
      <c r="I161" s="7" t="s">
        <v>110</v>
      </c>
      <c r="J161" s="7" t="s">
        <v>739</v>
      </c>
      <c r="K161" s="7" t="str">
        <f t="shared" si="27"/>
        <v>ritu.rao@company.com</v>
      </c>
      <c r="L161" s="7" t="s">
        <v>740</v>
      </c>
      <c r="M161" s="7" t="str">
        <f t="shared" si="24"/>
        <v>15901469</v>
      </c>
      <c r="N161" s="7" t="str" cm="1">
        <f t="array" ref="N161">_xlfn.IFS(M161="","Incomplete",LEN(M161)&lt;10,"Invalid",AND(LEN(M161) =10,LEFT(M161,4) &lt;&gt;"+91-"),"+91-"&amp;M161,TRUE,M161)</f>
        <v>Invalid</v>
      </c>
      <c r="O161" s="8" t="s">
        <v>741</v>
      </c>
      <c r="P161" s="14"/>
      <c r="Q161" s="14" t="str">
        <f t="shared" si="31"/>
        <v>Missing</v>
      </c>
      <c r="R161" s="14" t="str" cm="1">
        <f t="array" ref="R161">_xlfn.IFS(OR(Q161="Missing",Q161="N/A",Q161="Still Employed"),Q161,ISNUMBER(SEARCH(",",Q161)),DATEVALUE(Q161),AND(ISNUMBER(SEARCH("-",Q161)),ISNUMBER(VALUE(LEFT(Q161,4)))),DATE(LEFT(Q161,4),MID(Q161,6,2),RIGHT(Q161,2)),ISNUMBER(SEARCH("-",Q161)),DATE(RIGHT(Q161,4),MID(Q161,4,2),LEFT(Q161,2)),ISNUMBER(SEARCH("/",Q161)),DATE(RIGHT(Q161,4),MID(Q161,4,2),LEFT(Q161,2)),TRUE,"Check Manually")</f>
        <v>Missing</v>
      </c>
      <c r="S161" s="31" t="str">
        <f t="shared" ca="1" si="32"/>
        <v>6 Years, 1 Months, 12 Days</v>
      </c>
      <c r="T161" s="31">
        <f t="shared" ca="1" si="33"/>
        <v>2233.94</v>
      </c>
      <c r="U161" s="31" t="str" cm="1">
        <f t="array" ref="U161">_xlfn.IFS(OR(R161="Missing",R161="N/A",R161="Still Employed"),"Unknown",ISNUMBER(R161),"Exited",TRUE,"Unknown")</f>
        <v>Unknown</v>
      </c>
      <c r="V161" s="31" t="str">
        <f t="shared" si="34"/>
        <v/>
      </c>
      <c r="W161" s="14" t="str">
        <f t="shared" si="35"/>
        <v>Active</v>
      </c>
      <c r="X161" s="19" t="s">
        <v>742</v>
      </c>
      <c r="Y161" s="18" t="str">
        <f t="shared" si="28"/>
        <v>₹150,238</v>
      </c>
      <c r="Z161" s="22" t="str" cm="1">
        <f t="array" ref="Z161">_xlfn.IFS(Y161="","0",LEFT(Y161,5)="",Y161,LEFT(Y161,1)="₹",REPLACE(Y161,1,1,""),LEFT(Y161,4)="Rs. ",REPLACE(Y161,1,4,""),TRUE,Y161)</f>
        <v>150,238</v>
      </c>
      <c r="AA161" s="22" t="str">
        <f t="shared" si="29"/>
        <v>150238</v>
      </c>
      <c r="AB161" s="7"/>
      <c r="AC161" s="7" t="str">
        <f t="shared" si="30"/>
        <v>Not Rated</v>
      </c>
      <c r="AD161" s="7">
        <v>14</v>
      </c>
      <c r="AE161" cm="1">
        <f t="array" ref="AE161">_xlfn.IFS(AD161="",0,AD161&lt;0,"Negate Leave",AD161&gt;=0,AD161)</f>
        <v>14</v>
      </c>
    </row>
    <row r="162" spans="1:31" x14ac:dyDescent="0.3">
      <c r="A162" s="7">
        <v>5265</v>
      </c>
      <c r="B162" s="7" t="s">
        <v>738</v>
      </c>
      <c r="C162" s="7" t="str">
        <f t="shared" si="25"/>
        <v>ritu rao</v>
      </c>
      <c r="D162" s="7" t="str">
        <f t="shared" si="26"/>
        <v>Ritu Rao</v>
      </c>
      <c r="E162" s="7" t="s">
        <v>68</v>
      </c>
      <c r="F162" s="7" t="s">
        <v>122</v>
      </c>
      <c r="G162" s="7" t="s">
        <v>91</v>
      </c>
      <c r="H162" s="7" t="str">
        <f>_xlfn.XLOOKUP(G162,Lookup_Tables!$A$4:$A$9,Lookup_Tables!$C$4:$C$9,"Not Found",0)</f>
        <v>Rajiv Kapoor</v>
      </c>
      <c r="I162" s="7" t="s">
        <v>110</v>
      </c>
      <c r="J162" s="7" t="s">
        <v>744</v>
      </c>
      <c r="K162" s="7" t="str">
        <f t="shared" si="27"/>
        <v>amit.reddy@company.com</v>
      </c>
      <c r="L162" s="7" t="s">
        <v>745</v>
      </c>
      <c r="M162" s="7" t="str">
        <f t="shared" si="24"/>
        <v>3943018608</v>
      </c>
      <c r="N162" s="7" t="str" cm="1">
        <f t="array" ref="N162">_xlfn.IFS(M162="","Incomplete",LEN(M162)&lt;10,"Invalid",AND(LEN(M162) =10,LEFT(M162,4) &lt;&gt;"+91-"),"+91-"&amp;M162,TRUE,M162)</f>
        <v>+91-3943018608</v>
      </c>
      <c r="O162" s="8" t="s">
        <v>746</v>
      </c>
      <c r="P162" s="14" t="s">
        <v>747</v>
      </c>
      <c r="Q162" s="14" t="str">
        <f t="shared" si="31"/>
        <v>28/07/2023</v>
      </c>
      <c r="R162" s="14" cm="1">
        <f t="array" ref="R162">_xlfn.IFS(OR(Q162="Missing",Q162="N/A",Q162="Still Employed"),Q162,ISNUMBER(SEARCH(",",Q162)),DATEVALUE(Q162),AND(ISNUMBER(SEARCH("-",Q162)),ISNUMBER(VALUE(LEFT(Q162,4)))),DATE(LEFT(Q162,4),MID(Q162,6,2),RIGHT(Q162,2)),ISNUMBER(SEARCH("-",Q162)),DATE(RIGHT(Q162,4),MID(Q162,4,2),LEFT(Q162,2)),ISNUMBER(SEARCH("/",Q162)),DATE(RIGHT(Q162,4),MID(Q162,4,2),LEFT(Q162,2)),TRUE,"Check Manually")</f>
        <v>45135</v>
      </c>
      <c r="S162" s="31" t="str">
        <f t="shared" ca="1" si="32"/>
        <v>4 Years, 7 Months, 3 Days</v>
      </c>
      <c r="T162" s="31">
        <f t="shared" ca="1" si="33"/>
        <v>1677.08</v>
      </c>
      <c r="U162" s="31" t="str" cm="1">
        <f t="array" ref="U162">_xlfn.IFS(OR(R162="Missing",R162="N/A",R162="Still Employed"),"Unknown",ISNUMBER(R162),"Exited",TRUE,"Unknown")</f>
        <v>Exited</v>
      </c>
      <c r="V162" s="31">
        <f t="shared" si="34"/>
        <v>2023</v>
      </c>
      <c r="W162" s="14" t="str">
        <f t="shared" si="35"/>
        <v>Exited</v>
      </c>
      <c r="X162" s="19">
        <v>106798</v>
      </c>
      <c r="Y162" s="18" t="str">
        <f t="shared" si="28"/>
        <v>106798</v>
      </c>
      <c r="Z162" s="22" t="str" cm="1">
        <f t="array" ref="Z162">_xlfn.IFS(Y162="","0",LEFT(Y162,5)="",Y162,LEFT(Y162,1)="₹",REPLACE(Y162,1,1,""),LEFT(Y162,4)="Rs. ",REPLACE(Y162,1,4,""),TRUE,Y162)</f>
        <v>106798</v>
      </c>
      <c r="AA162" s="22" t="str">
        <f t="shared" si="29"/>
        <v>106798</v>
      </c>
      <c r="AB162" s="7" t="s">
        <v>89</v>
      </c>
      <c r="AC162" s="7" t="str">
        <f t="shared" si="30"/>
        <v>Below Average</v>
      </c>
      <c r="AD162" s="7">
        <v>10</v>
      </c>
      <c r="AE162" cm="1">
        <f t="array" ref="AE162">_xlfn.IFS(AD162="",0,AD162&lt;0,"Negate Leave",AD162&gt;=0,AD162)</f>
        <v>10</v>
      </c>
    </row>
    <row r="163" spans="1:31" x14ac:dyDescent="0.3">
      <c r="A163" s="7">
        <v>5134</v>
      </c>
      <c r="B163" s="7" t="s">
        <v>748</v>
      </c>
      <c r="C163" s="7" t="str">
        <f t="shared" si="25"/>
        <v>Ritu  Gupta</v>
      </c>
      <c r="D163" s="7" t="str">
        <f t="shared" si="26"/>
        <v>Ritu Gupta</v>
      </c>
      <c r="E163" s="7" t="s">
        <v>68</v>
      </c>
      <c r="F163" s="7" t="s">
        <v>122</v>
      </c>
      <c r="G163" s="7" t="s">
        <v>91</v>
      </c>
      <c r="H163" s="7" t="str">
        <f>_xlfn.XLOOKUP(G163,Lookup_Tables!$A$4:$A$9,Lookup_Tables!$C$4:$C$9,"Not Found",0)</f>
        <v>Rajiv Kapoor</v>
      </c>
      <c r="I163" s="7" t="s">
        <v>62</v>
      </c>
      <c r="J163" s="7" t="s">
        <v>752</v>
      </c>
      <c r="K163" s="7" t="str">
        <f t="shared" si="27"/>
        <v>manish.saxena@company.com</v>
      </c>
      <c r="L163" s="7" t="s">
        <v>753</v>
      </c>
      <c r="M163" s="7" t="str">
        <f t="shared" si="24"/>
        <v>93312240</v>
      </c>
      <c r="N163" s="7" t="str" cm="1">
        <f t="array" ref="N163">_xlfn.IFS(M163="","Incomplete",LEN(M163)&lt;10,"Invalid",AND(LEN(M163) =10,LEFT(M163,4) &lt;&gt;"+91-"),"+91-"&amp;M163,TRUE,M163)</f>
        <v>Invalid</v>
      </c>
      <c r="O163" s="8" t="s">
        <v>754</v>
      </c>
      <c r="P163" s="14" t="s">
        <v>126</v>
      </c>
      <c r="Q163" s="14" t="str">
        <f t="shared" si="31"/>
        <v>N/A</v>
      </c>
      <c r="R163" s="14" t="str" cm="1">
        <f t="array" ref="R163">_xlfn.IFS(OR(Q163="Missing",Q163="N/A",Q163="Still Employed"),Q163,ISNUMBER(SEARCH(",",Q163)),DATEVALUE(Q163),AND(ISNUMBER(SEARCH("-",Q163)),ISNUMBER(VALUE(LEFT(Q163,4)))),DATE(LEFT(Q163,4),MID(Q163,6,2),RIGHT(Q163,2)),ISNUMBER(SEARCH("-",Q163)),DATE(RIGHT(Q163,4),MID(Q163,4,2),LEFT(Q163,2)),ISNUMBER(SEARCH("/",Q163)),DATE(RIGHT(Q163,4),MID(Q163,4,2),LEFT(Q163,2)),TRUE,"Check Manually")</f>
        <v>N/A</v>
      </c>
      <c r="S163" s="31" t="str">
        <f t="shared" ca="1" si="32"/>
        <v>2 Years, 6 Months, 20 Days</v>
      </c>
      <c r="T163" s="31">
        <f t="shared" ca="1" si="33"/>
        <v>933.14</v>
      </c>
      <c r="U163" s="31" t="str" cm="1">
        <f t="array" ref="U163">_xlfn.IFS(OR(R163="Missing",R163="N/A",R163="Still Employed"),"Unknown",ISNUMBER(R163),"Exited",TRUE,"Unknown")</f>
        <v>Unknown</v>
      </c>
      <c r="V163" s="31" t="str">
        <f t="shared" si="34"/>
        <v/>
      </c>
      <c r="W163" s="14" t="str">
        <f t="shared" si="35"/>
        <v>Active</v>
      </c>
      <c r="X163" s="19">
        <v>38961</v>
      </c>
      <c r="Y163" s="18" t="str">
        <f t="shared" si="28"/>
        <v>38961</v>
      </c>
      <c r="Z163" s="22" t="str" cm="1">
        <f t="array" ref="Z163">_xlfn.IFS(Y163="","0",LEFT(Y163,5)="",Y163,LEFT(Y163,1)="₹",REPLACE(Y163,1,1,""),LEFT(Y163,4)="Rs. ",REPLACE(Y163,1,4,""),TRUE,Y163)</f>
        <v>38961</v>
      </c>
      <c r="AA163" s="22" t="str">
        <f t="shared" si="29"/>
        <v>38961</v>
      </c>
      <c r="AB163" s="7" t="s">
        <v>144</v>
      </c>
      <c r="AC163" s="7" t="str">
        <f t="shared" si="30"/>
        <v>Poor</v>
      </c>
      <c r="AD163" s="7">
        <v>-1</v>
      </c>
      <c r="AE163" t="str" cm="1">
        <f t="array" ref="AE163">_xlfn.IFS(AD163="",0,AD163&lt;0,"Negate Leave",AD163&gt;=0,AD163)</f>
        <v>Negate Leave</v>
      </c>
    </row>
    <row r="164" spans="1:31" x14ac:dyDescent="0.3">
      <c r="A164" s="7">
        <v>5135</v>
      </c>
      <c r="B164" s="7" t="s">
        <v>751</v>
      </c>
      <c r="C164" s="7" t="str">
        <f t="shared" si="25"/>
        <v>Manish Saxena</v>
      </c>
      <c r="D164" s="7" t="str">
        <f t="shared" si="26"/>
        <v>Manish Saxena</v>
      </c>
      <c r="E164" s="7" t="s">
        <v>68</v>
      </c>
      <c r="F164" s="7" t="s">
        <v>53</v>
      </c>
      <c r="G164" s="7" t="s">
        <v>54</v>
      </c>
      <c r="H164" s="7" t="str">
        <f>_xlfn.XLOOKUP(G164,Lookup_Tables!$A$4:$A$9,Lookup_Tables!$C$4:$C$9,"Not Found",0)</f>
        <v>Leela Iyer</v>
      </c>
      <c r="I164" s="7" t="s">
        <v>85</v>
      </c>
      <c r="J164" s="7" t="s">
        <v>521</v>
      </c>
      <c r="K164" s="7" t="str">
        <f t="shared" si="27"/>
        <v>vikram.kapoor@company.com</v>
      </c>
      <c r="L164" s="7"/>
      <c r="M164" s="7" t="str">
        <f t="shared" si="24"/>
        <v/>
      </c>
      <c r="N164" s="7" t="str" cm="1">
        <f t="array" ref="N164">_xlfn.IFS(M164="","Incomplete",LEN(M164)&lt;10,"Invalid",AND(LEN(M164) =10,LEFT(M164,4) &lt;&gt;"+91-"),"+91-"&amp;M164,TRUE,M164)</f>
        <v>Incomplete</v>
      </c>
      <c r="O164" s="8" t="s">
        <v>756</v>
      </c>
      <c r="P164" s="14" t="s">
        <v>126</v>
      </c>
      <c r="Q164" s="14" t="str">
        <f t="shared" si="31"/>
        <v>N/A</v>
      </c>
      <c r="R164" s="14" t="str" cm="1">
        <f t="array" ref="R164">_xlfn.IFS(OR(Q164="Missing",Q164="N/A",Q164="Still Employed"),Q164,ISNUMBER(SEARCH(",",Q164)),DATEVALUE(Q164),AND(ISNUMBER(SEARCH("-",Q164)),ISNUMBER(VALUE(LEFT(Q164,4)))),DATE(LEFT(Q164,4),MID(Q164,6,2),RIGHT(Q164,2)),ISNUMBER(SEARCH("-",Q164)),DATE(RIGHT(Q164,4),MID(Q164,4,2),LEFT(Q164,2)),ISNUMBER(SEARCH("/",Q164)),DATE(RIGHT(Q164,4),MID(Q164,4,2),LEFT(Q164,2)),TRUE,"Check Manually")</f>
        <v>N/A</v>
      </c>
      <c r="S164" s="31" t="str">
        <f t="shared" ca="1" si="32"/>
        <v>6 Years, 1 Months, 13 Days</v>
      </c>
      <c r="T164" s="31">
        <f t="shared" ca="1" si="33"/>
        <v>2234.94</v>
      </c>
      <c r="U164" s="31" t="str" cm="1">
        <f t="array" ref="U164">_xlfn.IFS(OR(R164="Missing",R164="N/A",R164="Still Employed"),"Unknown",ISNUMBER(R164),"Exited",TRUE,"Unknown")</f>
        <v>Unknown</v>
      </c>
      <c r="V164" s="31" t="str">
        <f t="shared" si="34"/>
        <v/>
      </c>
      <c r="W164" s="14" t="str">
        <f t="shared" si="35"/>
        <v>Active</v>
      </c>
      <c r="X164" s="19" t="s">
        <v>757</v>
      </c>
      <c r="Y164" s="18" t="str">
        <f t="shared" si="28"/>
        <v>Rs. 155,978</v>
      </c>
      <c r="Z164" s="22" t="str" cm="1">
        <f t="array" ref="Z164">_xlfn.IFS(Y164="","0",LEFT(Y164,5)="",Y164,LEFT(Y164,1)="₹",REPLACE(Y164,1,1,""),LEFT(Y164,4)="Rs. ",REPLACE(Y164,1,4,""),TRUE,Y164)</f>
        <v>155,978</v>
      </c>
      <c r="AA164" s="22" t="str">
        <f t="shared" si="29"/>
        <v>155978</v>
      </c>
      <c r="AB164" s="7" t="s">
        <v>144</v>
      </c>
      <c r="AC164" s="7" t="str">
        <f t="shared" si="30"/>
        <v>Poor</v>
      </c>
      <c r="AD164" s="7">
        <v>3</v>
      </c>
      <c r="AE164" cm="1">
        <f t="array" ref="AE164">_xlfn.IFS(AD164="",0,AD164&lt;0,"Negate Leave",AD164&gt;=0,AD164)</f>
        <v>3</v>
      </c>
    </row>
    <row r="165" spans="1:31" x14ac:dyDescent="0.3">
      <c r="A165" s="7">
        <v>5221</v>
      </c>
      <c r="B165" s="7" t="s">
        <v>755</v>
      </c>
      <c r="C165" s="7" t="str">
        <f t="shared" si="25"/>
        <v>Vikram  Kapoor</v>
      </c>
      <c r="D165" s="7" t="str">
        <f t="shared" si="26"/>
        <v>Vikram Kapoor</v>
      </c>
      <c r="E165" s="7" t="s">
        <v>68</v>
      </c>
      <c r="F165" s="7" t="s">
        <v>219</v>
      </c>
      <c r="G165" s="7" t="s">
        <v>46</v>
      </c>
      <c r="H165" s="7" t="str">
        <f>_xlfn.XLOOKUP(G165,Lookup_Tables!$A$4:$A$9,Lookup_Tables!$C$4:$C$9,"Not Found",0)</f>
        <v>Faisal Ahmed</v>
      </c>
      <c r="I165" s="7" t="s">
        <v>77</v>
      </c>
      <c r="J165" s="7" t="s">
        <v>759</v>
      </c>
      <c r="K165" s="7" t="str">
        <f t="shared" si="27"/>
        <v>priya.reddy@company.com</v>
      </c>
      <c r="L165" s="7" t="s">
        <v>760</v>
      </c>
      <c r="M165" s="7" t="str">
        <f t="shared" si="24"/>
        <v>4517920566</v>
      </c>
      <c r="N165" s="7" t="str" cm="1">
        <f t="array" ref="N165">_xlfn.IFS(M165="","Incomplete",LEN(M165)&lt;10,"Invalid",AND(LEN(M165) =10,LEFT(M165,4) &lt;&gt;"+91-"),"+91-"&amp;M165,TRUE,M165)</f>
        <v>+91-4517920566</v>
      </c>
      <c r="O165" s="8" t="s">
        <v>761</v>
      </c>
      <c r="P165" s="14" t="s">
        <v>126</v>
      </c>
      <c r="Q165" s="14" t="str">
        <f t="shared" si="31"/>
        <v>N/A</v>
      </c>
      <c r="R165" s="14" t="str" cm="1">
        <f t="array" ref="R165">_xlfn.IFS(OR(Q165="Missing",Q165="N/A",Q165="Still Employed"),Q165,ISNUMBER(SEARCH(",",Q165)),DATEVALUE(Q165),AND(ISNUMBER(SEARCH("-",Q165)),ISNUMBER(VALUE(LEFT(Q165,4)))),DATE(LEFT(Q165,4),MID(Q165,6,2),RIGHT(Q165,2)),ISNUMBER(SEARCH("-",Q165)),DATE(RIGHT(Q165,4),MID(Q165,4,2),LEFT(Q165,2)),ISNUMBER(SEARCH("/",Q165)),DATE(RIGHT(Q165,4),MID(Q165,4,2),LEFT(Q165,2)),TRUE,"Check Manually")</f>
        <v>N/A</v>
      </c>
      <c r="S165" s="31" t="str">
        <f t="shared" ca="1" si="32"/>
        <v>7 Years, 8 Months, 24 Days</v>
      </c>
      <c r="T165" s="31">
        <f t="shared" ca="1" si="33"/>
        <v>2824.27</v>
      </c>
      <c r="U165" s="31" t="str" cm="1">
        <f t="array" ref="U165">_xlfn.IFS(OR(R165="Missing",R165="N/A",R165="Still Employed"),"Unknown",ISNUMBER(R165),"Exited",TRUE,"Unknown")</f>
        <v>Unknown</v>
      </c>
      <c r="V165" s="31" t="str">
        <f t="shared" si="34"/>
        <v/>
      </c>
      <c r="W165" s="14" t="str">
        <f t="shared" si="35"/>
        <v>Active</v>
      </c>
      <c r="X165" s="19"/>
      <c r="Y165" s="18" t="str">
        <f t="shared" si="28"/>
        <v/>
      </c>
      <c r="Z165" s="22" t="str" cm="1">
        <f t="array" ref="Z165">_xlfn.IFS(Y165="","0",LEFT(Y165,5)="",Y165,LEFT(Y165,1)="₹",REPLACE(Y165,1,1,""),LEFT(Y165,4)="Rs. ",REPLACE(Y165,1,4,""),TRUE,Y165)</f>
        <v>0</v>
      </c>
      <c r="AA165" s="22" t="str">
        <f t="shared" si="29"/>
        <v>0</v>
      </c>
      <c r="AB165" s="7" t="s">
        <v>89</v>
      </c>
      <c r="AC165" s="7" t="str">
        <f t="shared" si="30"/>
        <v>Below Average</v>
      </c>
      <c r="AD165" s="7">
        <v>18</v>
      </c>
      <c r="AE165" cm="1">
        <f t="array" ref="AE165">_xlfn.IFS(AD165="",0,AD165&lt;0,"Negate Leave",AD165&gt;=0,AD165)</f>
        <v>18</v>
      </c>
    </row>
    <row r="166" spans="1:31" x14ac:dyDescent="0.3">
      <c r="A166" s="7">
        <v>5136</v>
      </c>
      <c r="B166" s="7" t="s">
        <v>758</v>
      </c>
      <c r="C166" s="7" t="str">
        <f t="shared" si="25"/>
        <v>priya reddy</v>
      </c>
      <c r="D166" s="7" t="str">
        <f t="shared" si="26"/>
        <v>Priya Reddy</v>
      </c>
      <c r="E166" s="7" t="s">
        <v>68</v>
      </c>
      <c r="F166" s="7" t="s">
        <v>219</v>
      </c>
      <c r="G166" s="7" t="s">
        <v>46</v>
      </c>
      <c r="H166" s="7" t="str">
        <f>_xlfn.XLOOKUP(G166,Lookup_Tables!$A$4:$A$9,Lookup_Tables!$C$4:$C$9,"Not Found",0)</f>
        <v>Faisal Ahmed</v>
      </c>
      <c r="I166" s="7" t="s">
        <v>110</v>
      </c>
      <c r="J166" s="7" t="s">
        <v>763</v>
      </c>
      <c r="K166" s="7" t="str">
        <f t="shared" si="27"/>
        <v>pooja.kulkarni@company.com</v>
      </c>
      <c r="L166" s="7" t="s">
        <v>764</v>
      </c>
      <c r="M166" s="7" t="str">
        <f t="shared" si="24"/>
        <v>3843025561</v>
      </c>
      <c r="N166" s="7" t="str" cm="1">
        <f t="array" ref="N166">_xlfn.IFS(M166="","Incomplete",LEN(M166)&lt;10,"Invalid",AND(LEN(M166) =10,LEFT(M166,4) &lt;&gt;"+91-"),"+91-"&amp;M166,TRUE,M166)</f>
        <v>+91-3843025561</v>
      </c>
      <c r="O166" s="8" t="s">
        <v>765</v>
      </c>
      <c r="P166" s="14" t="s">
        <v>114</v>
      </c>
      <c r="Q166" s="14" t="str">
        <f t="shared" si="31"/>
        <v>Still Employed</v>
      </c>
      <c r="R166" s="14" t="str" cm="1">
        <f t="array" ref="R166">_xlfn.IFS(OR(Q166="Missing",Q166="N/A",Q166="Still Employed"),Q166,ISNUMBER(SEARCH(",",Q166)),DATEVALUE(Q166),AND(ISNUMBER(SEARCH("-",Q166)),ISNUMBER(VALUE(LEFT(Q166,4)))),DATE(LEFT(Q166,4),MID(Q166,6,2),RIGHT(Q166,2)),ISNUMBER(SEARCH("-",Q166)),DATE(RIGHT(Q166,4),MID(Q166,4,2),LEFT(Q166,2)),ISNUMBER(SEARCH("/",Q166)),DATE(RIGHT(Q166,4),MID(Q166,4,2),LEFT(Q166,2)),TRUE,"Check Manually")</f>
        <v>Still Employed</v>
      </c>
      <c r="S166" s="31" t="str">
        <f t="shared" ca="1" si="32"/>
        <v>6 Years, 5 Months, 6 Days</v>
      </c>
      <c r="T166" s="31">
        <f t="shared" ca="1" si="33"/>
        <v>2349.6999999999998</v>
      </c>
      <c r="U166" s="31" t="str" cm="1">
        <f t="array" ref="U166">_xlfn.IFS(OR(R166="Missing",R166="N/A",R166="Still Employed"),"Unknown",ISNUMBER(R166),"Exited",TRUE,"Unknown")</f>
        <v>Unknown</v>
      </c>
      <c r="V166" s="31" t="str">
        <f t="shared" si="34"/>
        <v/>
      </c>
      <c r="W166" s="14" t="str">
        <f t="shared" si="35"/>
        <v>Active</v>
      </c>
      <c r="X166" s="19" t="s">
        <v>766</v>
      </c>
      <c r="Y166" s="18" t="str">
        <f t="shared" si="28"/>
        <v>₹103,471</v>
      </c>
      <c r="Z166" s="22" t="str" cm="1">
        <f t="array" ref="Z166">_xlfn.IFS(Y166="","0",LEFT(Y166,5)="",Y166,LEFT(Y166,1)="₹",REPLACE(Y166,1,1,""),LEFT(Y166,4)="Rs. ",REPLACE(Y166,1,4,""),TRUE,Y166)</f>
        <v>103,471</v>
      </c>
      <c r="AA166" s="22" t="str">
        <f t="shared" si="29"/>
        <v>103471</v>
      </c>
      <c r="AB166" s="7" t="s">
        <v>127</v>
      </c>
      <c r="AC166" s="7" t="str">
        <f t="shared" si="30"/>
        <v>Good</v>
      </c>
      <c r="AD166" s="7">
        <v>12</v>
      </c>
      <c r="AE166" cm="1">
        <f t="array" ref="AE166">_xlfn.IFS(AD166="",0,AD166&lt;0,"Negate Leave",AD166&gt;=0,AD166)</f>
        <v>12</v>
      </c>
    </row>
    <row r="167" spans="1:31" x14ac:dyDescent="0.3">
      <c r="A167" s="7">
        <v>5097</v>
      </c>
      <c r="B167" s="7" t="s">
        <v>762</v>
      </c>
      <c r="C167" s="7" t="str">
        <f t="shared" si="25"/>
        <v>Pooja Kulkarni</v>
      </c>
      <c r="D167" s="7" t="str">
        <f t="shared" si="26"/>
        <v>Pooja Kulkarni</v>
      </c>
      <c r="E167" s="7" t="s">
        <v>84</v>
      </c>
      <c r="F167" s="7" t="s">
        <v>53</v>
      </c>
      <c r="G167" s="7" t="s">
        <v>54</v>
      </c>
      <c r="H167" s="7" t="str">
        <f>_xlfn.XLOOKUP(G167,Lookup_Tables!$A$4:$A$9,Lookup_Tables!$C$4:$C$9,"Not Found",0)</f>
        <v>Leela Iyer</v>
      </c>
      <c r="I167" s="7" t="s">
        <v>70</v>
      </c>
      <c r="J167" s="7" t="s">
        <v>768</v>
      </c>
      <c r="K167" s="7" t="str">
        <f t="shared" si="27"/>
        <v>aarav.mehta@company.com</v>
      </c>
      <c r="L167" s="7" t="s">
        <v>769</v>
      </c>
      <c r="M167" s="7" t="str">
        <f t="shared" si="24"/>
        <v>+91-0256599352</v>
      </c>
      <c r="N167" s="7" t="str" cm="1">
        <f t="array" ref="N167">_xlfn.IFS(M167="","Incomplete",LEN(M167)&lt;10,"Invalid",AND(LEN(M167) =10,LEFT(M167,4) &lt;&gt;"+91-"),"+91-"&amp;M167,TRUE,M167)</f>
        <v>+91-0256599352</v>
      </c>
      <c r="O167" s="8" t="s">
        <v>471</v>
      </c>
      <c r="P167" s="14" t="s">
        <v>126</v>
      </c>
      <c r="Q167" s="14" t="str">
        <f t="shared" si="31"/>
        <v>N/A</v>
      </c>
      <c r="R167" s="14" t="str" cm="1">
        <f t="array" ref="R167">_xlfn.IFS(OR(Q167="Missing",Q167="N/A",Q167="Still Employed"),Q167,ISNUMBER(SEARCH(",",Q167)),DATEVALUE(Q167),AND(ISNUMBER(SEARCH("-",Q167)),ISNUMBER(VALUE(LEFT(Q167,4)))),DATE(LEFT(Q167,4),MID(Q167,6,2),RIGHT(Q167,2)),ISNUMBER(SEARCH("-",Q167)),DATE(RIGHT(Q167,4),MID(Q167,4,2),LEFT(Q167,2)),ISNUMBER(SEARCH("/",Q167)),DATE(RIGHT(Q167,4),MID(Q167,4,2),LEFT(Q167,2)),TRUE,"Check Manually")</f>
        <v>N/A</v>
      </c>
      <c r="S167" s="31" t="str">
        <f t="shared" ca="1" si="32"/>
        <v>2 Years, 10 Months, 5 Days</v>
      </c>
      <c r="T167" s="31">
        <f t="shared" ca="1" si="33"/>
        <v>1039.9000000000001</v>
      </c>
      <c r="U167" s="31" t="str" cm="1">
        <f t="array" ref="U167">_xlfn.IFS(OR(R167="Missing",R167="N/A",R167="Still Employed"),"Unknown",ISNUMBER(R167),"Exited",TRUE,"Unknown")</f>
        <v>Unknown</v>
      </c>
      <c r="V167" s="31" t="str">
        <f t="shared" si="34"/>
        <v/>
      </c>
      <c r="W167" s="14" t="str">
        <f t="shared" si="35"/>
        <v>Active</v>
      </c>
      <c r="X167" s="19" t="s">
        <v>770</v>
      </c>
      <c r="Y167" s="18" t="str">
        <f t="shared" si="28"/>
        <v>140,289</v>
      </c>
      <c r="Z167" s="22" t="str" cm="1">
        <f t="array" ref="Z167">_xlfn.IFS(Y167="","0",LEFT(Y167,5)="",Y167,LEFT(Y167,1)="₹",REPLACE(Y167,1,1,""),LEFT(Y167,4)="Rs. ",REPLACE(Y167,1,4,""),TRUE,Y167)</f>
        <v>140,289</v>
      </c>
      <c r="AA167" s="22" t="str">
        <f t="shared" si="29"/>
        <v>140289</v>
      </c>
      <c r="AB167" s="7" t="s">
        <v>127</v>
      </c>
      <c r="AC167" s="7" t="str">
        <f t="shared" si="30"/>
        <v>Good</v>
      </c>
      <c r="AD167" s="7">
        <v>1</v>
      </c>
      <c r="AE167" cm="1">
        <f t="array" ref="AE167">_xlfn.IFS(AD167="",0,AD167&lt;0,"Negate Leave",AD167&gt;=0,AD167)</f>
        <v>1</v>
      </c>
    </row>
    <row r="168" spans="1:31" x14ac:dyDescent="0.3">
      <c r="A168" s="7">
        <v>5189</v>
      </c>
      <c r="B168" s="7" t="s">
        <v>767</v>
      </c>
      <c r="C168" s="7" t="str">
        <f t="shared" si="25"/>
        <v>Aarav Mehta</v>
      </c>
      <c r="D168" s="7" t="str">
        <f t="shared" si="26"/>
        <v>Aarav Mehta</v>
      </c>
      <c r="E168" s="7" t="s">
        <v>68</v>
      </c>
      <c r="F168" s="7" t="s">
        <v>389</v>
      </c>
      <c r="G168" s="7" t="s">
        <v>140</v>
      </c>
      <c r="H168" s="7" t="str">
        <f>_xlfn.XLOOKUP(G168,Lookup_Tables!$A$4:$A$9,Lookup_Tables!$C$4:$C$9,"Not Found",0)</f>
        <v>Sunita Rao</v>
      </c>
      <c r="I168" s="7" t="s">
        <v>110</v>
      </c>
      <c r="J168" s="7" t="s">
        <v>442</v>
      </c>
      <c r="K168" s="7" t="str">
        <f t="shared" si="27"/>
        <v>meenal.naidu@company.com</v>
      </c>
      <c r="L168" s="7" t="s">
        <v>772</v>
      </c>
      <c r="M168" s="7" t="str">
        <f t="shared" si="24"/>
        <v>3480770110</v>
      </c>
      <c r="N168" s="7" t="str" cm="1">
        <f t="array" ref="N168">_xlfn.IFS(M168="","Incomplete",LEN(M168)&lt;10,"Invalid",AND(LEN(M168) =10,LEFT(M168,4) &lt;&gt;"+91-"),"+91-"&amp;M168,TRUE,M168)</f>
        <v>+91-3480770110</v>
      </c>
      <c r="O168" s="8" t="s">
        <v>773</v>
      </c>
      <c r="P168" s="14" t="s">
        <v>126</v>
      </c>
      <c r="Q168" s="14" t="str">
        <f t="shared" si="31"/>
        <v>N/A</v>
      </c>
      <c r="R168" s="14" t="str" cm="1">
        <f t="array" ref="R168">_xlfn.IFS(OR(Q168="Missing",Q168="N/A",Q168="Still Employed"),Q168,ISNUMBER(SEARCH(",",Q168)),DATEVALUE(Q168),AND(ISNUMBER(SEARCH("-",Q168)),ISNUMBER(VALUE(LEFT(Q168,4)))),DATE(LEFT(Q168,4),MID(Q168,6,2),RIGHT(Q168,2)),ISNUMBER(SEARCH("-",Q168)),DATE(RIGHT(Q168,4),MID(Q168,4,2),LEFT(Q168,2)),ISNUMBER(SEARCH("/",Q168)),DATE(RIGHT(Q168,4),MID(Q168,4,2),LEFT(Q168,2)),TRUE,"Check Manually")</f>
        <v>N/A</v>
      </c>
      <c r="S168" s="31" t="str">
        <f t="shared" ca="1" si="32"/>
        <v>5 Years, 2 Months, 27 Days</v>
      </c>
      <c r="T168" s="31">
        <f t="shared" ca="1" si="33"/>
        <v>1914.13</v>
      </c>
      <c r="U168" s="31" t="str" cm="1">
        <f t="array" ref="U168">_xlfn.IFS(OR(R168="Missing",R168="N/A",R168="Still Employed"),"Unknown",ISNUMBER(R168),"Exited",TRUE,"Unknown")</f>
        <v>Unknown</v>
      </c>
      <c r="V168" s="31" t="str">
        <f t="shared" si="34"/>
        <v/>
      </c>
      <c r="W168" s="14" t="str">
        <f t="shared" si="35"/>
        <v>Active</v>
      </c>
      <c r="X168" s="19" t="s">
        <v>774</v>
      </c>
      <c r="Y168" s="18" t="str">
        <f t="shared" si="28"/>
        <v>₹176,806</v>
      </c>
      <c r="Z168" s="22" t="str" cm="1">
        <f t="array" ref="Z168">_xlfn.IFS(Y168="","0",LEFT(Y168,5)="",Y168,LEFT(Y168,1)="₹",REPLACE(Y168,1,1,""),LEFT(Y168,4)="Rs. ",REPLACE(Y168,1,4,""),TRUE,Y168)</f>
        <v>176,806</v>
      </c>
      <c r="AA168" s="22" t="str">
        <f t="shared" si="29"/>
        <v>176806</v>
      </c>
      <c r="AB168" s="7" t="s">
        <v>144</v>
      </c>
      <c r="AC168" s="7" t="str">
        <f t="shared" si="30"/>
        <v>Poor</v>
      </c>
      <c r="AD168" s="7">
        <v>7</v>
      </c>
      <c r="AE168" cm="1">
        <f t="array" ref="AE168">_xlfn.IFS(AD168="",0,AD168&lt;0,"Negate Leave",AD168&gt;=0,AD168)</f>
        <v>7</v>
      </c>
    </row>
    <row r="169" spans="1:31" x14ac:dyDescent="0.3">
      <c r="A169" s="7">
        <v>5197</v>
      </c>
      <c r="B169" s="7" t="s">
        <v>771</v>
      </c>
      <c r="C169" s="7" t="str">
        <f t="shared" si="25"/>
        <v>Meenal Naidu</v>
      </c>
      <c r="D169" s="7" t="str">
        <f t="shared" si="26"/>
        <v>Meenal Naidu</v>
      </c>
      <c r="E169" s="7" t="s">
        <v>61</v>
      </c>
      <c r="F169" s="7" t="s">
        <v>122</v>
      </c>
      <c r="G169" s="7" t="s">
        <v>91</v>
      </c>
      <c r="H169" s="7" t="str">
        <f>_xlfn.XLOOKUP(G169,Lookup_Tables!$A$4:$A$9,Lookup_Tables!$C$4:$C$9,"Not Found",0)</f>
        <v>Rajiv Kapoor</v>
      </c>
      <c r="I169" s="7" t="s">
        <v>62</v>
      </c>
      <c r="J169" s="7" t="s">
        <v>776</v>
      </c>
      <c r="K169" s="7" t="str">
        <f t="shared" si="27"/>
        <v>nikhil.kapoor@company.com</v>
      </c>
      <c r="L169" s="7" t="s">
        <v>777</v>
      </c>
      <c r="M169" s="7" t="str">
        <f t="shared" si="24"/>
        <v>59573825</v>
      </c>
      <c r="N169" s="7" t="str" cm="1">
        <f t="array" ref="N169">_xlfn.IFS(M169="","Incomplete",LEN(M169)&lt;10,"Invalid",AND(LEN(M169) =10,LEFT(M169,4) &lt;&gt;"+91-"),"+91-"&amp;M169,TRUE,M169)</f>
        <v>Invalid</v>
      </c>
      <c r="O169" s="8" t="s">
        <v>778</v>
      </c>
      <c r="P169" s="14"/>
      <c r="Q169" s="14" t="str">
        <f t="shared" si="31"/>
        <v>Missing</v>
      </c>
      <c r="R169" s="14" t="str" cm="1">
        <f t="array" ref="R169">_xlfn.IFS(OR(Q169="Missing",Q169="N/A",Q169="Still Employed"),Q169,ISNUMBER(SEARCH(",",Q169)),DATEVALUE(Q169),AND(ISNUMBER(SEARCH("-",Q169)),ISNUMBER(VALUE(LEFT(Q169,4)))),DATE(LEFT(Q169,4),MID(Q169,6,2),RIGHT(Q169,2)),ISNUMBER(SEARCH("-",Q169)),DATE(RIGHT(Q169,4),MID(Q169,4,2),LEFT(Q169,2)),ISNUMBER(SEARCH("/",Q169)),DATE(RIGHT(Q169,4),MID(Q169,4,2),LEFT(Q169,2)),TRUE,"Check Manually")</f>
        <v>Missing</v>
      </c>
      <c r="S169" s="31" t="str">
        <f t="shared" ca="1" si="32"/>
        <v>5 Years, 0 Months, 12 Days</v>
      </c>
      <c r="T169" s="31">
        <f t="shared" ca="1" si="33"/>
        <v>1838.25</v>
      </c>
      <c r="U169" s="31" t="str" cm="1">
        <f t="array" ref="U169">_xlfn.IFS(OR(R169="Missing",R169="N/A",R169="Still Employed"),"Unknown",ISNUMBER(R169),"Exited",TRUE,"Unknown")</f>
        <v>Unknown</v>
      </c>
      <c r="V169" s="31" t="str">
        <f t="shared" si="34"/>
        <v/>
      </c>
      <c r="W169" s="14" t="str">
        <f t="shared" si="35"/>
        <v>Active</v>
      </c>
      <c r="X169" s="19" t="s">
        <v>779</v>
      </c>
      <c r="Y169" s="18" t="str">
        <f t="shared" si="28"/>
        <v>₹155,140</v>
      </c>
      <c r="Z169" s="22" t="str" cm="1">
        <f t="array" ref="Z169">_xlfn.IFS(Y169="","0",LEFT(Y169,5)="",Y169,LEFT(Y169,1)="₹",REPLACE(Y169,1,1,""),LEFT(Y169,4)="Rs. ",REPLACE(Y169,1,4,""),TRUE,Y169)</f>
        <v>155,140</v>
      </c>
      <c r="AA169" s="22" t="str">
        <f t="shared" si="29"/>
        <v>155140</v>
      </c>
      <c r="AB169" s="7" t="s">
        <v>127</v>
      </c>
      <c r="AC169" s="7" t="str">
        <f t="shared" si="30"/>
        <v>Good</v>
      </c>
      <c r="AD169" s="7">
        <v>15</v>
      </c>
      <c r="AE169" cm="1">
        <f t="array" ref="AE169">_xlfn.IFS(AD169="",0,AD169&lt;0,"Negate Leave",AD169&gt;=0,AD169)</f>
        <v>15</v>
      </c>
    </row>
    <row r="170" spans="1:31" x14ac:dyDescent="0.3">
      <c r="A170" s="7">
        <v>5200</v>
      </c>
      <c r="B170" s="7" t="s">
        <v>775</v>
      </c>
      <c r="C170" s="7" t="str">
        <f t="shared" si="25"/>
        <v>Nikhil Kapoor</v>
      </c>
      <c r="D170" s="7" t="str">
        <f t="shared" si="26"/>
        <v>Nikhil Kapoor</v>
      </c>
      <c r="E170" s="7" t="s">
        <v>68</v>
      </c>
      <c r="F170" s="7" t="s">
        <v>122</v>
      </c>
      <c r="G170" s="7" t="s">
        <v>91</v>
      </c>
      <c r="H170" s="7" t="str">
        <f>_xlfn.XLOOKUP(G170,Lookup_Tables!$A$4:$A$9,Lookup_Tables!$C$4:$C$9,"Not Found",0)</f>
        <v>Rajiv Kapoor</v>
      </c>
      <c r="I170" s="7" t="s">
        <v>47</v>
      </c>
      <c r="J170" s="7" t="s">
        <v>781</v>
      </c>
      <c r="K170" s="7" t="str">
        <f t="shared" si="27"/>
        <v>simran.saxena@company.com</v>
      </c>
      <c r="L170" s="7"/>
      <c r="M170" s="7" t="str">
        <f t="shared" si="24"/>
        <v/>
      </c>
      <c r="N170" s="7" t="str" cm="1">
        <f t="array" ref="N170">_xlfn.IFS(M170="","Incomplete",LEN(M170)&lt;10,"Invalid",AND(LEN(M170) =10,LEFT(M170,4) &lt;&gt;"+91-"),"+91-"&amp;M170,TRUE,M170)</f>
        <v>Incomplete</v>
      </c>
      <c r="O170" s="8" t="s">
        <v>782</v>
      </c>
      <c r="P170" s="14" t="s">
        <v>126</v>
      </c>
      <c r="Q170" s="14" t="str">
        <f t="shared" si="31"/>
        <v>N/A</v>
      </c>
      <c r="R170" s="14" t="str" cm="1">
        <f t="array" ref="R170">_xlfn.IFS(OR(Q170="Missing",Q170="N/A",Q170="Still Employed"),Q170,ISNUMBER(SEARCH(",",Q170)),DATEVALUE(Q170),AND(ISNUMBER(SEARCH("-",Q170)),ISNUMBER(VALUE(LEFT(Q170,4)))),DATE(LEFT(Q170,4),MID(Q170,6,2),RIGHT(Q170,2)),ISNUMBER(SEARCH("-",Q170)),DATE(RIGHT(Q170,4),MID(Q170,4,2),LEFT(Q170,2)),ISNUMBER(SEARCH("/",Q170)),DATE(RIGHT(Q170,4),MID(Q170,4,2),LEFT(Q170,2)),TRUE,"Check Manually")</f>
        <v>N/A</v>
      </c>
      <c r="S170" s="31" t="str">
        <f t="shared" ca="1" si="32"/>
        <v>7 Years, 4 Months, 25 Days</v>
      </c>
      <c r="T170" s="31">
        <f t="shared" ca="1" si="33"/>
        <v>2703.51</v>
      </c>
      <c r="U170" s="31" t="str" cm="1">
        <f t="array" ref="U170">_xlfn.IFS(OR(R170="Missing",R170="N/A",R170="Still Employed"),"Unknown",ISNUMBER(R170),"Exited",TRUE,"Unknown")</f>
        <v>Unknown</v>
      </c>
      <c r="V170" s="31" t="str">
        <f t="shared" si="34"/>
        <v/>
      </c>
      <c r="W170" s="14" t="str">
        <f t="shared" si="35"/>
        <v>Active</v>
      </c>
      <c r="X170" s="19">
        <v>150892</v>
      </c>
      <c r="Y170" s="18" t="str">
        <f t="shared" si="28"/>
        <v>150892</v>
      </c>
      <c r="Z170" s="22" t="str" cm="1">
        <f t="array" ref="Z170">_xlfn.IFS(Y170="","0",LEFT(Y170,5)="",Y170,LEFT(Y170,1)="₹",REPLACE(Y170,1,1,""),LEFT(Y170,4)="Rs. ",REPLACE(Y170,1,4,""),TRUE,Y170)</f>
        <v>150892</v>
      </c>
      <c r="AA170" s="22" t="str">
        <f t="shared" si="29"/>
        <v>150892</v>
      </c>
      <c r="AB170" s="7" t="s">
        <v>144</v>
      </c>
      <c r="AC170" s="7" t="str">
        <f t="shared" si="30"/>
        <v>Poor</v>
      </c>
      <c r="AD170" s="7">
        <v>22</v>
      </c>
      <c r="AE170" cm="1">
        <f t="array" ref="AE170">_xlfn.IFS(AD170="",0,AD170&lt;0,"Negate Leave",AD170&gt;=0,AD170)</f>
        <v>22</v>
      </c>
    </row>
    <row r="171" spans="1:31" x14ac:dyDescent="0.3">
      <c r="A171" s="7">
        <v>5274</v>
      </c>
      <c r="B171" s="7" t="s">
        <v>780</v>
      </c>
      <c r="C171" s="7" t="str">
        <f t="shared" si="25"/>
        <v>SIMRAN SAXENA</v>
      </c>
      <c r="D171" s="7" t="str">
        <f t="shared" si="26"/>
        <v>Simran Saxena</v>
      </c>
      <c r="E171" s="7" t="s">
        <v>61</v>
      </c>
      <c r="F171" s="7" t="s">
        <v>133</v>
      </c>
      <c r="G171" s="7" t="s">
        <v>69</v>
      </c>
      <c r="H171" s="7" t="str">
        <f>_xlfn.XLOOKUP(G171,Lookup_Tables!$A$4:$A$9,Lookup_Tables!$C$4:$C$9,"Not Found",0)</f>
        <v>Vivek Malhotra</v>
      </c>
      <c r="I171" s="7" t="s">
        <v>47</v>
      </c>
      <c r="J171" s="7" t="s">
        <v>717</v>
      </c>
      <c r="K171" s="7" t="str">
        <f t="shared" si="27"/>
        <v>yash.agarwal@company.com</v>
      </c>
      <c r="L171" s="7" t="s">
        <v>784</v>
      </c>
      <c r="M171" s="7" t="str">
        <f t="shared" si="24"/>
        <v>6804856711</v>
      </c>
      <c r="N171" s="7" t="str" cm="1">
        <f t="array" ref="N171">_xlfn.IFS(M171="","Incomplete",LEN(M171)&lt;10,"Invalid",AND(LEN(M171) =10,LEFT(M171,4) &lt;&gt;"+91-"),"+91-"&amp;M171,TRUE,M171)</f>
        <v>+91-6804856711</v>
      </c>
      <c r="O171" s="8" t="s">
        <v>785</v>
      </c>
      <c r="P171" s="14"/>
      <c r="Q171" s="14" t="str">
        <f t="shared" si="31"/>
        <v>Missing</v>
      </c>
      <c r="R171" s="14" t="str" cm="1">
        <f t="array" ref="R171">_xlfn.IFS(OR(Q171="Missing",Q171="N/A",Q171="Still Employed"),Q171,ISNUMBER(SEARCH(",",Q171)),DATEVALUE(Q171),AND(ISNUMBER(SEARCH("-",Q171)),ISNUMBER(VALUE(LEFT(Q171,4)))),DATE(LEFT(Q171,4),MID(Q171,6,2),RIGHT(Q171,2)),ISNUMBER(SEARCH("-",Q171)),DATE(RIGHT(Q171,4),MID(Q171,4,2),LEFT(Q171,2)),ISNUMBER(SEARCH("/",Q171)),DATE(RIGHT(Q171,4),MID(Q171,4,2),LEFT(Q171,2)),TRUE,"Check Manually")</f>
        <v>Missing</v>
      </c>
      <c r="S171" s="31" t="str">
        <f t="shared" ca="1" si="32"/>
        <v>7 Years, 9 Months, 27 Days</v>
      </c>
      <c r="T171" s="31">
        <f t="shared" ca="1" si="33"/>
        <v>2857.71</v>
      </c>
      <c r="U171" s="31" t="str" cm="1">
        <f t="array" ref="U171">_xlfn.IFS(OR(R171="Missing",R171="N/A",R171="Still Employed"),"Unknown",ISNUMBER(R171),"Exited",TRUE,"Unknown")</f>
        <v>Unknown</v>
      </c>
      <c r="V171" s="31" t="str">
        <f t="shared" si="34"/>
        <v/>
      </c>
      <c r="W171" s="14" t="str">
        <f t="shared" si="35"/>
        <v>Active</v>
      </c>
      <c r="X171" s="19" t="s">
        <v>786</v>
      </c>
      <c r="Y171" s="18" t="str">
        <f t="shared" si="28"/>
        <v>₹169,163</v>
      </c>
      <c r="Z171" s="22" t="str" cm="1">
        <f t="array" ref="Z171">_xlfn.IFS(Y171="","0",LEFT(Y171,5)="",Y171,LEFT(Y171,1)="₹",REPLACE(Y171,1,1,""),LEFT(Y171,4)="Rs. ",REPLACE(Y171,1,4,""),TRUE,Y171)</f>
        <v>169,163</v>
      </c>
      <c r="AA171" s="22" t="str">
        <f t="shared" si="29"/>
        <v>169163</v>
      </c>
      <c r="AB171" s="7" t="s">
        <v>51</v>
      </c>
      <c r="AC171" s="7" t="str">
        <f t="shared" si="30"/>
        <v>Excellent</v>
      </c>
      <c r="AD171" s="7">
        <v>-1</v>
      </c>
      <c r="AE171" t="str" cm="1">
        <f t="array" ref="AE171">_xlfn.IFS(AD171="",0,AD171&lt;0,"Negate Leave",AD171&gt;=0,AD171)</f>
        <v>Negate Leave</v>
      </c>
    </row>
    <row r="172" spans="1:31" x14ac:dyDescent="0.3">
      <c r="A172" s="7">
        <v>5126</v>
      </c>
      <c r="B172" s="7" t="s">
        <v>783</v>
      </c>
      <c r="C172" s="7" t="str">
        <f t="shared" si="25"/>
        <v>Yash  Agarwal</v>
      </c>
      <c r="D172" s="7" t="str">
        <f t="shared" si="26"/>
        <v>Yash Agarwal</v>
      </c>
      <c r="E172" s="7" t="s">
        <v>68</v>
      </c>
      <c r="F172" s="7" t="s">
        <v>389</v>
      </c>
      <c r="G172" s="7" t="s">
        <v>140</v>
      </c>
      <c r="H172" s="7" t="str">
        <f>_xlfn.XLOOKUP(G172,Lookup_Tables!$A$4:$A$9,Lookup_Tables!$C$4:$C$9,"Not Found",0)</f>
        <v>Sunita Rao</v>
      </c>
      <c r="I172" s="7" t="s">
        <v>47</v>
      </c>
      <c r="J172" s="7" t="s">
        <v>788</v>
      </c>
      <c r="K172" s="7" t="str">
        <f t="shared" si="27"/>
        <v xml:space="preserve">kavya.mehta@company.com </v>
      </c>
      <c r="L172" s="7" t="s">
        <v>789</v>
      </c>
      <c r="M172" s="7" t="str">
        <f t="shared" si="24"/>
        <v>9530552034</v>
      </c>
      <c r="N172" s="7" t="str" cm="1">
        <f t="array" ref="N172">_xlfn.IFS(M172="","Incomplete",LEN(M172)&lt;10,"Invalid",AND(LEN(M172) =10,LEFT(M172,4) &lt;&gt;"+91-"),"+91-"&amp;M172,TRUE,M172)</f>
        <v>+91-9530552034</v>
      </c>
      <c r="O172" s="8" t="s">
        <v>790</v>
      </c>
      <c r="P172" s="14"/>
      <c r="Q172" s="14" t="str">
        <f t="shared" si="31"/>
        <v>Missing</v>
      </c>
      <c r="R172" s="14" t="str" cm="1">
        <f t="array" ref="R172">_xlfn.IFS(OR(Q172="Missing",Q172="N/A",Q172="Still Employed"),Q172,ISNUMBER(SEARCH(",",Q172)),DATEVALUE(Q172),AND(ISNUMBER(SEARCH("-",Q172)),ISNUMBER(VALUE(LEFT(Q172,4)))),DATE(LEFT(Q172,4),MID(Q172,6,2),RIGHT(Q172,2)),ISNUMBER(SEARCH("-",Q172)),DATE(RIGHT(Q172,4),MID(Q172,4,2),LEFT(Q172,2)),ISNUMBER(SEARCH("/",Q172)),DATE(RIGHT(Q172,4),MID(Q172,4,2),LEFT(Q172,2)),TRUE,"Check Manually")</f>
        <v>Missing</v>
      </c>
      <c r="S172" s="31" t="str">
        <f t="shared" ca="1" si="32"/>
        <v>4 Years, 4 Months, 16 Days</v>
      </c>
      <c r="T172" s="31">
        <f t="shared" ca="1" si="33"/>
        <v>1598.76</v>
      </c>
      <c r="U172" s="31" t="str" cm="1">
        <f t="array" ref="U172">_xlfn.IFS(OR(R172="Missing",R172="N/A",R172="Still Employed"),"Unknown",ISNUMBER(R172),"Exited",TRUE,"Unknown")</f>
        <v>Unknown</v>
      </c>
      <c r="V172" s="31" t="str">
        <f t="shared" si="34"/>
        <v/>
      </c>
      <c r="W172" s="14" t="str">
        <f t="shared" si="35"/>
        <v>Active</v>
      </c>
      <c r="X172" s="19"/>
      <c r="Y172" s="18" t="str">
        <f t="shared" si="28"/>
        <v/>
      </c>
      <c r="Z172" s="22" t="str" cm="1">
        <f t="array" ref="Z172">_xlfn.IFS(Y172="","0",LEFT(Y172,5)="",Y172,LEFT(Y172,1)="₹",REPLACE(Y172,1,1,""),LEFT(Y172,4)="Rs. ",REPLACE(Y172,1,4,""),TRUE,Y172)</f>
        <v>0</v>
      </c>
      <c r="AA172" s="22" t="str">
        <f t="shared" si="29"/>
        <v>0</v>
      </c>
      <c r="AB172" s="7" t="s">
        <v>89</v>
      </c>
      <c r="AC172" s="7" t="str">
        <f t="shared" si="30"/>
        <v>Below Average</v>
      </c>
      <c r="AD172" s="7">
        <v>23</v>
      </c>
      <c r="AE172" cm="1">
        <f t="array" ref="AE172">_xlfn.IFS(AD172="",0,AD172&lt;0,"Negate Leave",AD172&gt;=0,AD172)</f>
        <v>23</v>
      </c>
    </row>
    <row r="173" spans="1:31" x14ac:dyDescent="0.3">
      <c r="A173" s="7">
        <v>5036</v>
      </c>
      <c r="B173" s="7" t="s">
        <v>787</v>
      </c>
      <c r="C173" s="7" t="str">
        <f t="shared" si="25"/>
        <v>Kavya Mehta</v>
      </c>
      <c r="D173" s="7" t="str">
        <f t="shared" si="26"/>
        <v>Kavya Mehta</v>
      </c>
      <c r="E173" s="7" t="s">
        <v>68</v>
      </c>
      <c r="F173" s="7" t="s">
        <v>389</v>
      </c>
      <c r="G173" s="7" t="s">
        <v>140</v>
      </c>
      <c r="H173" s="7" t="str">
        <f>_xlfn.XLOOKUP(G173,Lookup_Tables!$A$4:$A$9,Lookup_Tables!$C$4:$C$9,"Not Found",0)</f>
        <v>Sunita Rao</v>
      </c>
      <c r="I173" s="7" t="s">
        <v>62</v>
      </c>
      <c r="J173" s="7" t="s">
        <v>499</v>
      </c>
      <c r="K173" s="7" t="str">
        <f t="shared" si="27"/>
        <v>simran.iyer@company.com</v>
      </c>
      <c r="L173" s="7"/>
      <c r="M173" s="7" t="str">
        <f t="shared" si="24"/>
        <v/>
      </c>
      <c r="N173" s="7" t="str" cm="1">
        <f t="array" ref="N173">_xlfn.IFS(M173="","Incomplete",LEN(M173)&lt;10,"Invalid",AND(LEN(M173) =10,LEFT(M173,4) &lt;&gt;"+91-"),"+91-"&amp;M173,TRUE,M173)</f>
        <v>Incomplete</v>
      </c>
      <c r="O173" s="8" t="s">
        <v>792</v>
      </c>
      <c r="P173" s="14"/>
      <c r="Q173" s="14" t="str">
        <f t="shared" si="31"/>
        <v>Missing</v>
      </c>
      <c r="R173" s="14" t="str" cm="1">
        <f t="array" ref="R173">_xlfn.IFS(OR(Q173="Missing",Q173="N/A",Q173="Still Employed"),Q173,ISNUMBER(SEARCH(",",Q173)),DATEVALUE(Q173),AND(ISNUMBER(SEARCH("-",Q173)),ISNUMBER(VALUE(LEFT(Q173,4)))),DATE(LEFT(Q173,4),MID(Q173,6,2),RIGHT(Q173,2)),ISNUMBER(SEARCH("-",Q173)),DATE(RIGHT(Q173,4),MID(Q173,4,2),LEFT(Q173,2)),ISNUMBER(SEARCH("/",Q173)),DATE(RIGHT(Q173,4),MID(Q173,4,2),LEFT(Q173,2)),TRUE,"Check Manually")</f>
        <v>Missing</v>
      </c>
      <c r="S173" s="31" t="str">
        <f t="shared" ca="1" si="32"/>
        <v>4 Years, 11 Months, 29 Days</v>
      </c>
      <c r="T173" s="31">
        <f t="shared" ca="1" si="33"/>
        <v>1824.8400000000001</v>
      </c>
      <c r="U173" s="31" t="str" cm="1">
        <f t="array" ref="U173">_xlfn.IFS(OR(R173="Missing",R173="N/A",R173="Still Employed"),"Unknown",ISNUMBER(R173),"Exited",TRUE,"Unknown")</f>
        <v>Unknown</v>
      </c>
      <c r="V173" s="31" t="str">
        <f t="shared" si="34"/>
        <v/>
      </c>
      <c r="W173" s="14" t="str">
        <f t="shared" si="35"/>
        <v>Active</v>
      </c>
      <c r="X173" s="19">
        <v>144820</v>
      </c>
      <c r="Y173" s="18" t="str">
        <f t="shared" si="28"/>
        <v>144820</v>
      </c>
      <c r="Z173" s="22" t="str" cm="1">
        <f t="array" ref="Z173">_xlfn.IFS(Y173="","0",LEFT(Y173,5)="",Y173,LEFT(Y173,1)="₹",REPLACE(Y173,1,1,""),LEFT(Y173,4)="Rs. ",REPLACE(Y173,1,4,""),TRUE,Y173)</f>
        <v>144820</v>
      </c>
      <c r="AA173" s="22" t="str">
        <f t="shared" si="29"/>
        <v>144820</v>
      </c>
      <c r="AB173" s="7" t="s">
        <v>95</v>
      </c>
      <c r="AC173" s="7" t="str">
        <f t="shared" si="30"/>
        <v>Average</v>
      </c>
      <c r="AD173" s="7">
        <v>14</v>
      </c>
      <c r="AE173" cm="1">
        <f t="array" ref="AE173">_xlfn.IFS(AD173="",0,AD173&lt;0,"Negate Leave",AD173&gt;=0,AD173)</f>
        <v>14</v>
      </c>
    </row>
    <row r="174" spans="1:31" x14ac:dyDescent="0.3">
      <c r="A174" s="7">
        <v>5345</v>
      </c>
      <c r="B174" s="7" t="s">
        <v>791</v>
      </c>
      <c r="C174" s="7" t="str">
        <f t="shared" si="25"/>
        <v>Simran Iyer</v>
      </c>
      <c r="D174" s="7" t="str">
        <f t="shared" si="26"/>
        <v>Simran Iyer</v>
      </c>
      <c r="E174" s="7" t="s">
        <v>61</v>
      </c>
      <c r="F174" s="7" t="s">
        <v>122</v>
      </c>
      <c r="G174" s="7" t="s">
        <v>91</v>
      </c>
      <c r="H174" s="7" t="str">
        <f>_xlfn.XLOOKUP(G174,Lookup_Tables!$A$4:$A$9,Lookup_Tables!$C$4:$C$9,"Not Found",0)</f>
        <v>Rajiv Kapoor</v>
      </c>
      <c r="I174" s="7" t="s">
        <v>85</v>
      </c>
      <c r="J174" s="7" t="s">
        <v>794</v>
      </c>
      <c r="K174" s="7" t="str">
        <f t="shared" si="27"/>
        <v>shreya.menon@company.com</v>
      </c>
      <c r="L174" s="7" t="s">
        <v>795</v>
      </c>
      <c r="M174" s="7" t="str">
        <f t="shared" si="24"/>
        <v>+91-3400281957</v>
      </c>
      <c r="N174" s="7" t="str" cm="1">
        <f t="array" ref="N174">_xlfn.IFS(M174="","Incomplete",LEN(M174)&lt;10,"Invalid",AND(LEN(M174) =10,LEFT(M174,4) &lt;&gt;"+91-"),"+91-"&amp;M174,TRUE,M174)</f>
        <v>+91-3400281957</v>
      </c>
      <c r="O174" s="8" t="s">
        <v>796</v>
      </c>
      <c r="P174" s="14" t="s">
        <v>126</v>
      </c>
      <c r="Q174" s="14" t="str">
        <f t="shared" si="31"/>
        <v>N/A</v>
      </c>
      <c r="R174" s="14" t="str" cm="1">
        <f t="array" ref="R174">_xlfn.IFS(OR(Q174="Missing",Q174="N/A",Q174="Still Employed"),Q174,ISNUMBER(SEARCH(",",Q174)),DATEVALUE(Q174),AND(ISNUMBER(SEARCH("-",Q174)),ISNUMBER(VALUE(LEFT(Q174,4)))),DATE(LEFT(Q174,4),MID(Q174,6,2),RIGHT(Q174,2)),ISNUMBER(SEARCH("-",Q174)),DATE(RIGHT(Q174,4),MID(Q174,4,2),LEFT(Q174,2)),ISNUMBER(SEARCH("/",Q174)),DATE(RIGHT(Q174,4),MID(Q174,4,2),LEFT(Q174,2)),TRUE,"Check Manually")</f>
        <v>N/A</v>
      </c>
      <c r="S174" s="31" t="str">
        <f t="shared" ca="1" si="32"/>
        <v>4 Years, 7 Months, 6 Days</v>
      </c>
      <c r="T174" s="31">
        <f t="shared" ca="1" si="33"/>
        <v>1680.08</v>
      </c>
      <c r="U174" s="31" t="str" cm="1">
        <f t="array" ref="U174">_xlfn.IFS(OR(R174="Missing",R174="N/A",R174="Still Employed"),"Unknown",ISNUMBER(R174),"Exited",TRUE,"Unknown")</f>
        <v>Unknown</v>
      </c>
      <c r="V174" s="31" t="str">
        <f t="shared" si="34"/>
        <v/>
      </c>
      <c r="W174" s="14" t="str">
        <f t="shared" si="35"/>
        <v>Active</v>
      </c>
      <c r="X174" s="19">
        <v>119922</v>
      </c>
      <c r="Y174" s="18" t="str">
        <f t="shared" si="28"/>
        <v>119922</v>
      </c>
      <c r="Z174" s="22" t="str" cm="1">
        <f t="array" ref="Z174">_xlfn.IFS(Y174="","0",LEFT(Y174,5)="",Y174,LEFT(Y174,1)="₹",REPLACE(Y174,1,1,""),LEFT(Y174,4)="Rs. ",REPLACE(Y174,1,4,""),TRUE,Y174)</f>
        <v>119922</v>
      </c>
      <c r="AA174" s="22" t="str">
        <f t="shared" si="29"/>
        <v>119922</v>
      </c>
      <c r="AB174" s="7" t="s">
        <v>127</v>
      </c>
      <c r="AC174" s="7" t="str">
        <f t="shared" si="30"/>
        <v>Good</v>
      </c>
      <c r="AD174" s="7">
        <v>21</v>
      </c>
      <c r="AE174" cm="1">
        <f t="array" ref="AE174">_xlfn.IFS(AD174="",0,AD174&lt;0,"Negate Leave",AD174&gt;=0,AD174)</f>
        <v>21</v>
      </c>
    </row>
    <row r="175" spans="1:31" x14ac:dyDescent="0.3">
      <c r="A175" s="7">
        <v>5083</v>
      </c>
      <c r="B175" s="7" t="s">
        <v>793</v>
      </c>
      <c r="C175" s="7" t="str">
        <f t="shared" si="25"/>
        <v>Shreya Menon</v>
      </c>
      <c r="D175" s="7" t="str">
        <f t="shared" si="26"/>
        <v>Shreya Menon</v>
      </c>
      <c r="E175" s="7" t="s">
        <v>68</v>
      </c>
      <c r="F175" s="7" t="s">
        <v>122</v>
      </c>
      <c r="G175" s="7" t="s">
        <v>91</v>
      </c>
      <c r="H175" s="7" t="str">
        <f>_xlfn.XLOOKUP(G175,Lookup_Tables!$A$4:$A$9,Lookup_Tables!$C$4:$C$9,"Not Found",0)</f>
        <v>Rajiv Kapoor</v>
      </c>
      <c r="I175" s="7" t="s">
        <v>77</v>
      </c>
      <c r="J175" s="7" t="s">
        <v>798</v>
      </c>
      <c r="K175" s="7" t="str">
        <f t="shared" si="27"/>
        <v>rohan.verma@company.com</v>
      </c>
      <c r="L175" s="7" t="s">
        <v>799</v>
      </c>
      <c r="M175" s="7" t="str">
        <f t="shared" si="24"/>
        <v>4414360636</v>
      </c>
      <c r="N175" s="7" t="str" cm="1">
        <f t="array" ref="N175">_xlfn.IFS(M175="","Incomplete",LEN(M175)&lt;10,"Invalid",AND(LEN(M175) =10,LEFT(M175,4) &lt;&gt;"+91-"),"+91-"&amp;M175,TRUE,M175)</f>
        <v>+91-4414360636</v>
      </c>
      <c r="O175" s="8" t="s">
        <v>800</v>
      </c>
      <c r="P175" s="14" t="s">
        <v>801</v>
      </c>
      <c r="Q175" s="14" t="str">
        <f t="shared" si="31"/>
        <v>2025-03-17</v>
      </c>
      <c r="R175" s="14" cm="1">
        <f t="array" ref="R175">_xlfn.IFS(OR(Q175="Missing",Q175="N/A",Q175="Still Employed"),Q175,ISNUMBER(SEARCH(",",Q175)),DATEVALUE(Q175),AND(ISNUMBER(SEARCH("-",Q175)),ISNUMBER(VALUE(LEFT(Q175,4)))),DATE(LEFT(Q175,4),MID(Q175,6,2),RIGHT(Q175,2)),ISNUMBER(SEARCH("-",Q175)),DATE(RIGHT(Q175,4),MID(Q175,4,2),LEFT(Q175,2)),ISNUMBER(SEARCH("/",Q175)),DATE(RIGHT(Q175,4),MID(Q175,4,2),LEFT(Q175,2)),TRUE,"Check Manually")</f>
        <v>45733</v>
      </c>
      <c r="S175" s="31" t="str">
        <f t="shared" ca="1" si="32"/>
        <v>3 Years, 5 Months, 7 Days</v>
      </c>
      <c r="T175" s="31">
        <f t="shared" ca="1" si="33"/>
        <v>1254.95</v>
      </c>
      <c r="U175" s="31" t="str" cm="1">
        <f t="array" ref="U175">_xlfn.IFS(OR(R175="Missing",R175="N/A",R175="Still Employed"),"Unknown",ISNUMBER(R175),"Exited",TRUE,"Unknown")</f>
        <v>Exited</v>
      </c>
      <c r="V175" s="31">
        <f t="shared" si="34"/>
        <v>2025</v>
      </c>
      <c r="W175" s="14" t="str">
        <f t="shared" si="35"/>
        <v>Exited</v>
      </c>
      <c r="X175" s="19" t="s">
        <v>802</v>
      </c>
      <c r="Y175" s="18" t="str">
        <f t="shared" si="28"/>
        <v>Rs. 72,623</v>
      </c>
      <c r="Z175" s="22" t="str" cm="1">
        <f t="array" ref="Z175">_xlfn.IFS(Y175="","0",LEFT(Y175,5)="",Y175,LEFT(Y175,1)="₹",REPLACE(Y175,1,1,""),LEFT(Y175,4)="Rs. ",REPLACE(Y175,1,4,""),TRUE,Y175)</f>
        <v>72,623</v>
      </c>
      <c r="AA175" s="22" t="str">
        <f t="shared" si="29"/>
        <v>72623</v>
      </c>
      <c r="AB175" s="7" t="s">
        <v>89</v>
      </c>
      <c r="AC175" s="7" t="str">
        <f t="shared" si="30"/>
        <v>Below Average</v>
      </c>
      <c r="AD175" s="7">
        <v>0</v>
      </c>
      <c r="AE175" cm="1">
        <f t="array" ref="AE175">_xlfn.IFS(AD175="",0,AD175&lt;0,"Negate Leave",AD175&gt;=0,AD175)</f>
        <v>0</v>
      </c>
    </row>
    <row r="176" spans="1:31" x14ac:dyDescent="0.3">
      <c r="A176" s="7">
        <v>5235</v>
      </c>
      <c r="B176" s="7" t="s">
        <v>797</v>
      </c>
      <c r="C176" s="7" t="str">
        <f t="shared" si="25"/>
        <v>Rohan Verma</v>
      </c>
      <c r="D176" s="7" t="str">
        <f t="shared" si="26"/>
        <v>Rohan Verma</v>
      </c>
      <c r="E176" s="7" t="s">
        <v>68</v>
      </c>
      <c r="F176" s="7" t="s">
        <v>151</v>
      </c>
      <c r="G176" s="7" t="s">
        <v>76</v>
      </c>
      <c r="H176" s="7" t="str">
        <f>_xlfn.XLOOKUP(G176,Lookup_Tables!$A$4:$A$9,Lookup_Tables!$C$4:$C$9,"Not Found",0)</f>
        <v>Ananya Sen</v>
      </c>
      <c r="I176" s="7" t="s">
        <v>77</v>
      </c>
      <c r="J176" s="7" t="s">
        <v>513</v>
      </c>
      <c r="K176" s="7" t="str">
        <f t="shared" si="27"/>
        <v>arjun.iyer@company.com</v>
      </c>
      <c r="L176" s="7"/>
      <c r="M176" s="7" t="str">
        <f t="shared" si="24"/>
        <v/>
      </c>
      <c r="N176" s="7" t="str" cm="1">
        <f t="array" ref="N176">_xlfn.IFS(M176="","Incomplete",LEN(M176)&lt;10,"Invalid",AND(LEN(M176) =10,LEFT(M176,4) &lt;&gt;"+91-"),"+91-"&amp;M176,TRUE,M176)</f>
        <v>Incomplete</v>
      </c>
      <c r="O176" s="8" t="s">
        <v>804</v>
      </c>
      <c r="P176" s="14"/>
      <c r="Q176" s="14" t="str">
        <f t="shared" si="31"/>
        <v>Missing</v>
      </c>
      <c r="R176" s="14" t="str" cm="1">
        <f t="array" ref="R176">_xlfn.IFS(OR(Q176="Missing",Q176="N/A",Q176="Still Employed"),Q176,ISNUMBER(SEARCH(",",Q176)),DATEVALUE(Q176),AND(ISNUMBER(SEARCH("-",Q176)),ISNUMBER(VALUE(LEFT(Q176,4)))),DATE(LEFT(Q176,4),MID(Q176,6,2),RIGHT(Q176,2)),ISNUMBER(SEARCH("-",Q176)),DATE(RIGHT(Q176,4),MID(Q176,4,2),LEFT(Q176,2)),ISNUMBER(SEARCH("/",Q176)),DATE(RIGHT(Q176,4),MID(Q176,4,2),LEFT(Q176,2)),TRUE,"Check Manually")</f>
        <v>Missing</v>
      </c>
      <c r="S176" s="31" t="str">
        <f t="shared" ca="1" si="32"/>
        <v>6 Years, 4 Months, 18 Days</v>
      </c>
      <c r="T176" s="31">
        <f t="shared" ca="1" si="33"/>
        <v>2331.2600000000002</v>
      </c>
      <c r="U176" s="31" t="str" cm="1">
        <f t="array" ref="U176">_xlfn.IFS(OR(R176="Missing",R176="N/A",R176="Still Employed"),"Unknown",ISNUMBER(R176),"Exited",TRUE,"Unknown")</f>
        <v>Unknown</v>
      </c>
      <c r="V176" s="31" t="str">
        <f t="shared" si="34"/>
        <v/>
      </c>
      <c r="W176" s="14" t="str">
        <f t="shared" si="35"/>
        <v>Active</v>
      </c>
      <c r="X176" s="19">
        <v>67486</v>
      </c>
      <c r="Y176" s="18" t="str">
        <f t="shared" si="28"/>
        <v>67486</v>
      </c>
      <c r="Z176" s="22" t="str" cm="1">
        <f t="array" ref="Z176">_xlfn.IFS(Y176="","0",LEFT(Y176,5)="",Y176,LEFT(Y176,1)="₹",REPLACE(Y176,1,1,""),LEFT(Y176,4)="Rs. ",REPLACE(Y176,1,4,""),TRUE,Y176)</f>
        <v>67486</v>
      </c>
      <c r="AA176" s="22" t="str">
        <f t="shared" si="29"/>
        <v>67486</v>
      </c>
      <c r="AB176" s="7" t="s">
        <v>51</v>
      </c>
      <c r="AC176" s="7" t="str">
        <f t="shared" si="30"/>
        <v>Excellent</v>
      </c>
      <c r="AD176" s="7">
        <v>2</v>
      </c>
      <c r="AE176" cm="1">
        <f t="array" ref="AE176">_xlfn.IFS(AD176="",0,AD176&lt;0,"Negate Leave",AD176&gt;=0,AD176)</f>
        <v>2</v>
      </c>
    </row>
    <row r="177" spans="1:31" x14ac:dyDescent="0.3">
      <c r="A177" s="7">
        <v>5328</v>
      </c>
      <c r="B177" s="7" t="s">
        <v>803</v>
      </c>
      <c r="C177" s="7" t="str">
        <f t="shared" si="25"/>
        <v>Arjun Iyer</v>
      </c>
      <c r="D177" s="7" t="str">
        <f t="shared" si="26"/>
        <v>Arjun Iyer</v>
      </c>
      <c r="E177" s="7" t="s">
        <v>84</v>
      </c>
      <c r="F177" s="7" t="s">
        <v>389</v>
      </c>
      <c r="G177" s="7" t="s">
        <v>140</v>
      </c>
      <c r="H177" s="7" t="str">
        <f>_xlfn.XLOOKUP(G177,Lookup_Tables!$A$4:$A$9,Lookup_Tables!$C$4:$C$9,"Not Found",0)</f>
        <v>Sunita Rao</v>
      </c>
      <c r="I177" s="7" t="s">
        <v>85</v>
      </c>
      <c r="J177" s="7"/>
      <c r="K177" s="7" t="str">
        <f t="shared" si="27"/>
        <v>No Email ID</v>
      </c>
      <c r="L177" s="7" t="s">
        <v>806</v>
      </c>
      <c r="M177" s="7" t="str">
        <f t="shared" si="24"/>
        <v>7674284269</v>
      </c>
      <c r="N177" s="7" t="str" cm="1">
        <f t="array" ref="N177">_xlfn.IFS(M177="","Incomplete",LEN(M177)&lt;10,"Invalid",AND(LEN(M177) =10,LEFT(M177,4) &lt;&gt;"+91-"),"+91-"&amp;M177,TRUE,M177)</f>
        <v>+91-7674284269</v>
      </c>
      <c r="O177" s="8" t="s">
        <v>807</v>
      </c>
      <c r="P177" s="14" t="s">
        <v>114</v>
      </c>
      <c r="Q177" s="14" t="str">
        <f t="shared" si="31"/>
        <v>Still Employed</v>
      </c>
      <c r="R177" s="14" t="str" cm="1">
        <f t="array" ref="R177">_xlfn.IFS(OR(Q177="Missing",Q177="N/A",Q177="Still Employed"),Q177,ISNUMBER(SEARCH(",",Q177)),DATEVALUE(Q177),AND(ISNUMBER(SEARCH("-",Q177)),ISNUMBER(VALUE(LEFT(Q177,4)))),DATE(LEFT(Q177,4),MID(Q177,6,2),RIGHT(Q177,2)),ISNUMBER(SEARCH("-",Q177)),DATE(RIGHT(Q177,4),MID(Q177,4,2),LEFT(Q177,2)),ISNUMBER(SEARCH("/",Q177)),DATE(RIGHT(Q177,4),MID(Q177,4,2),LEFT(Q177,2)),TRUE,"Check Manually")</f>
        <v>Still Employed</v>
      </c>
      <c r="S177" s="31" t="str">
        <f t="shared" ca="1" si="32"/>
        <v>5 Years, 3 Months, 7 Days</v>
      </c>
      <c r="T177" s="31">
        <f t="shared" ca="1" si="33"/>
        <v>1924.57</v>
      </c>
      <c r="U177" s="31" t="str" cm="1">
        <f t="array" ref="U177">_xlfn.IFS(OR(R177="Missing",R177="N/A",R177="Still Employed"),"Unknown",ISNUMBER(R177),"Exited",TRUE,"Unknown")</f>
        <v>Unknown</v>
      </c>
      <c r="V177" s="31" t="str">
        <f t="shared" si="34"/>
        <v/>
      </c>
      <c r="W177" s="14" t="str">
        <f t="shared" si="35"/>
        <v>Active</v>
      </c>
      <c r="X177" s="19" t="s">
        <v>808</v>
      </c>
      <c r="Y177" s="18" t="str">
        <f t="shared" si="28"/>
        <v>Rs. 135,794</v>
      </c>
      <c r="Z177" s="22" t="str" cm="1">
        <f t="array" ref="Z177">_xlfn.IFS(Y177="","0",LEFT(Y177,5)="",Y177,LEFT(Y177,1)="₹",REPLACE(Y177,1,1,""),LEFT(Y177,4)="Rs. ",REPLACE(Y177,1,4,""),TRUE,Y177)</f>
        <v>135,794</v>
      </c>
      <c r="AA177" s="22" t="str">
        <f t="shared" si="29"/>
        <v>135794</v>
      </c>
      <c r="AB177" s="7" t="s">
        <v>95</v>
      </c>
      <c r="AC177" s="7" t="str">
        <f t="shared" si="30"/>
        <v>Average</v>
      </c>
      <c r="AD177" s="7">
        <v>23</v>
      </c>
      <c r="AE177" cm="1">
        <f t="array" ref="AE177">_xlfn.IFS(AD177="",0,AD177&lt;0,"Negate Leave",AD177&gt;=0,AD177)</f>
        <v>23</v>
      </c>
    </row>
    <row r="178" spans="1:31" x14ac:dyDescent="0.3">
      <c r="A178" s="7">
        <v>5085</v>
      </c>
      <c r="B178" s="7" t="s">
        <v>805</v>
      </c>
      <c r="C178" s="7" t="str">
        <f t="shared" si="25"/>
        <v>Manish Bhatt</v>
      </c>
      <c r="D178" s="7" t="str">
        <f t="shared" si="26"/>
        <v>Manish Bhatt</v>
      </c>
      <c r="E178" s="7" t="s">
        <v>68</v>
      </c>
      <c r="F178" s="7" t="s">
        <v>151</v>
      </c>
      <c r="G178" s="7" t="s">
        <v>76</v>
      </c>
      <c r="H178" s="7" t="str">
        <f>_xlfn.XLOOKUP(G178,Lookup_Tables!$A$4:$A$9,Lookup_Tables!$C$4:$C$9,"Not Found",0)</f>
        <v>Ananya Sen</v>
      </c>
      <c r="I178" s="7" t="s">
        <v>47</v>
      </c>
      <c r="J178" s="7" t="s">
        <v>810</v>
      </c>
      <c r="K178" s="7" t="str">
        <f t="shared" si="27"/>
        <v>amit.gupta@company.com</v>
      </c>
      <c r="L178" s="7" t="s">
        <v>811</v>
      </c>
      <c r="M178" s="7" t="str">
        <f t="shared" si="24"/>
        <v>6978464936</v>
      </c>
      <c r="N178" s="7" t="str" cm="1">
        <f t="array" ref="N178">_xlfn.IFS(M178="","Incomplete",LEN(M178)&lt;10,"Invalid",AND(LEN(M178) =10,LEFT(M178,4) &lt;&gt;"+91-"),"+91-"&amp;M178,TRUE,M178)</f>
        <v>+91-6978464936</v>
      </c>
      <c r="O178" s="8" t="s">
        <v>444</v>
      </c>
      <c r="P178" s="14" t="s">
        <v>502</v>
      </c>
      <c r="Q178" s="14" t="str">
        <f t="shared" si="31"/>
        <v>2025-06-30</v>
      </c>
      <c r="R178" s="14" cm="1">
        <f t="array" ref="R178">_xlfn.IFS(OR(Q178="Missing",Q178="N/A",Q178="Still Employed"),Q178,ISNUMBER(SEARCH(",",Q178)),DATEVALUE(Q178),AND(ISNUMBER(SEARCH("-",Q178)),ISNUMBER(VALUE(LEFT(Q178,4)))),DATE(LEFT(Q178,4),MID(Q178,6,2),RIGHT(Q178,2)),ISNUMBER(SEARCH("-",Q178)),DATE(RIGHT(Q178,4),MID(Q178,4,2),LEFT(Q178,2)),ISNUMBER(SEARCH("/",Q178)),DATE(RIGHT(Q178,4),MID(Q178,4,2),LEFT(Q178,2)),TRUE,"Check Manually")</f>
        <v>45838</v>
      </c>
      <c r="S178" s="31" t="str">
        <f t="shared" ca="1" si="32"/>
        <v>4 Years, 8 Months, 22 Days</v>
      </c>
      <c r="T178" s="31">
        <f t="shared" ca="1" si="33"/>
        <v>1726.52</v>
      </c>
      <c r="U178" s="31" t="str" cm="1">
        <f t="array" ref="U178">_xlfn.IFS(OR(R178="Missing",R178="N/A",R178="Still Employed"),"Unknown",ISNUMBER(R178),"Exited",TRUE,"Unknown")</f>
        <v>Exited</v>
      </c>
      <c r="V178" s="31">
        <f t="shared" si="34"/>
        <v>2025</v>
      </c>
      <c r="W178" s="14" t="str">
        <f t="shared" si="35"/>
        <v>Exited</v>
      </c>
      <c r="X178" s="19" t="s">
        <v>812</v>
      </c>
      <c r="Y178" s="18" t="str">
        <f t="shared" si="28"/>
        <v>Rs. 45,773</v>
      </c>
      <c r="Z178" s="22" t="str" cm="1">
        <f t="array" ref="Z178">_xlfn.IFS(Y178="","0",LEFT(Y178,5)="",Y178,LEFT(Y178,1)="₹",REPLACE(Y178,1,1,""),LEFT(Y178,4)="Rs. ",REPLACE(Y178,1,4,""),TRUE,Y178)</f>
        <v>45,773</v>
      </c>
      <c r="AA178" s="22" t="str">
        <f t="shared" si="29"/>
        <v>45773</v>
      </c>
      <c r="AB178" s="7" t="s">
        <v>144</v>
      </c>
      <c r="AC178" s="7" t="str">
        <f t="shared" si="30"/>
        <v>Poor</v>
      </c>
      <c r="AD178" s="7">
        <v>-3</v>
      </c>
      <c r="AE178" t="str" cm="1">
        <f t="array" ref="AE178">_xlfn.IFS(AD178="",0,AD178&lt;0,"Negate Leave",AD178&gt;=0,AD178)</f>
        <v>Negate Leave</v>
      </c>
    </row>
    <row r="179" spans="1:31" x14ac:dyDescent="0.3">
      <c r="A179" s="7">
        <v>5040</v>
      </c>
      <c r="B179" s="7" t="s">
        <v>809</v>
      </c>
      <c r="C179" s="7" t="str">
        <f t="shared" si="25"/>
        <v>Amit  Gupta</v>
      </c>
      <c r="D179" s="7" t="str">
        <f t="shared" si="26"/>
        <v>Amit Gupta</v>
      </c>
      <c r="E179" s="7" t="s">
        <v>68</v>
      </c>
      <c r="F179" s="7" t="s">
        <v>53</v>
      </c>
      <c r="G179" s="7" t="s">
        <v>54</v>
      </c>
      <c r="H179" s="7" t="str">
        <f>_xlfn.XLOOKUP(G179,Lookup_Tables!$A$4:$A$9,Lookup_Tables!$C$4:$C$9,"Not Found",0)</f>
        <v>Leela Iyer</v>
      </c>
      <c r="I179" s="7" t="s">
        <v>85</v>
      </c>
      <c r="J179" s="7" t="s">
        <v>814</v>
      </c>
      <c r="K179" s="7" t="str">
        <f t="shared" si="27"/>
        <v>anjali.rao@company.com</v>
      </c>
      <c r="L179" s="7" t="s">
        <v>815</v>
      </c>
      <c r="M179" s="7" t="str">
        <f t="shared" si="24"/>
        <v>0202711700</v>
      </c>
      <c r="N179" s="7" t="str" cm="1">
        <f t="array" ref="N179">_xlfn.IFS(M179="","Incomplete",LEN(M179)&lt;10,"Invalid",AND(LEN(M179) =10,LEFT(M179,4) &lt;&gt;"+91-"),"+91-"&amp;M179,TRUE,M179)</f>
        <v>+91-0202711700</v>
      </c>
      <c r="O179" s="8" t="s">
        <v>816</v>
      </c>
      <c r="P179" s="14" t="s">
        <v>114</v>
      </c>
      <c r="Q179" s="14" t="str">
        <f t="shared" si="31"/>
        <v>Still Employed</v>
      </c>
      <c r="R179" s="14" t="str" cm="1">
        <f t="array" ref="R179">_xlfn.IFS(OR(Q179="Missing",Q179="N/A",Q179="Still Employed"),Q179,ISNUMBER(SEARCH(",",Q179)),DATEVALUE(Q179),AND(ISNUMBER(SEARCH("-",Q179)),ISNUMBER(VALUE(LEFT(Q179,4)))),DATE(LEFT(Q179,4),MID(Q179,6,2),RIGHT(Q179,2)),ISNUMBER(SEARCH("-",Q179)),DATE(RIGHT(Q179,4),MID(Q179,4,2),LEFT(Q179,2)),ISNUMBER(SEARCH("/",Q179)),DATE(RIGHT(Q179,4),MID(Q179,4,2),LEFT(Q179,2)),TRUE,"Check Manually")</f>
        <v>Still Employed</v>
      </c>
      <c r="S179" s="31" t="str">
        <f t="shared" ca="1" si="32"/>
        <v>7 Years, 0 Months, 11 Days</v>
      </c>
      <c r="T179" s="31">
        <f t="shared" ca="1" si="33"/>
        <v>2567.75</v>
      </c>
      <c r="U179" s="31" t="str" cm="1">
        <f t="array" ref="U179">_xlfn.IFS(OR(R179="Missing",R179="N/A",R179="Still Employed"),"Unknown",ISNUMBER(R179),"Exited",TRUE,"Unknown")</f>
        <v>Unknown</v>
      </c>
      <c r="V179" s="31" t="str">
        <f t="shared" si="34"/>
        <v/>
      </c>
      <c r="W179" s="14" t="str">
        <f t="shared" si="35"/>
        <v>Active</v>
      </c>
      <c r="X179" s="19">
        <v>84302</v>
      </c>
      <c r="Y179" s="18" t="str">
        <f t="shared" si="28"/>
        <v>84302</v>
      </c>
      <c r="Z179" s="22" t="str" cm="1">
        <f t="array" ref="Z179">_xlfn.IFS(Y179="","0",LEFT(Y179,5)="",Y179,LEFT(Y179,1)="₹",REPLACE(Y179,1,1,""),LEFT(Y179,4)="Rs. ",REPLACE(Y179,1,4,""),TRUE,Y179)</f>
        <v>84302</v>
      </c>
      <c r="AA179" s="22" t="str">
        <f t="shared" si="29"/>
        <v>84302</v>
      </c>
      <c r="AB179" s="7" t="s">
        <v>51</v>
      </c>
      <c r="AC179" s="7" t="str">
        <f t="shared" si="30"/>
        <v>Excellent</v>
      </c>
      <c r="AD179" s="7">
        <v>10</v>
      </c>
      <c r="AE179" cm="1">
        <f t="array" ref="AE179">_xlfn.IFS(AD179="",0,AD179&lt;0,"Negate Leave",AD179&gt;=0,AD179)</f>
        <v>10</v>
      </c>
    </row>
    <row r="180" spans="1:31" x14ac:dyDescent="0.3">
      <c r="A180" s="7">
        <v>5238</v>
      </c>
      <c r="B180" s="7" t="s">
        <v>813</v>
      </c>
      <c r="C180" s="7" t="str">
        <f t="shared" si="25"/>
        <v>Anjali Rao</v>
      </c>
      <c r="D180" s="7" t="str">
        <f t="shared" si="26"/>
        <v>Anjali Rao</v>
      </c>
      <c r="E180" s="7" t="s">
        <v>61</v>
      </c>
      <c r="F180" s="7" t="s">
        <v>122</v>
      </c>
      <c r="G180" s="7" t="s">
        <v>91</v>
      </c>
      <c r="H180" s="7" t="str">
        <f>_xlfn.XLOOKUP(G180,Lookup_Tables!$A$4:$A$9,Lookup_Tables!$C$4:$C$9,"Not Found",0)</f>
        <v>Rajiv Kapoor</v>
      </c>
      <c r="I180" s="7" t="s">
        <v>110</v>
      </c>
      <c r="J180" s="7" t="s">
        <v>818</v>
      </c>
      <c r="K180" s="7" t="str">
        <f t="shared" si="27"/>
        <v>nehachopra@company.com</v>
      </c>
      <c r="L180" s="7" t="s">
        <v>819</v>
      </c>
      <c r="M180" s="7" t="str">
        <f t="shared" si="24"/>
        <v>+91-5465840951</v>
      </c>
      <c r="N180" s="7" t="str" cm="1">
        <f t="array" ref="N180">_xlfn.IFS(M180="","Incomplete",LEN(M180)&lt;10,"Invalid",AND(LEN(M180) =10,LEFT(M180,4) &lt;&gt;"+91-"),"+91-"&amp;M180,TRUE,M180)</f>
        <v>+91-5465840951</v>
      </c>
      <c r="O180" s="8" t="s">
        <v>820</v>
      </c>
      <c r="P180" s="14"/>
      <c r="Q180" s="14" t="str">
        <f t="shared" si="31"/>
        <v>Missing</v>
      </c>
      <c r="R180" s="14" t="str" cm="1">
        <f t="array" ref="R180">_xlfn.IFS(OR(Q180="Missing",Q180="N/A",Q180="Still Employed"),Q180,ISNUMBER(SEARCH(",",Q180)),DATEVALUE(Q180),AND(ISNUMBER(SEARCH("-",Q180)),ISNUMBER(VALUE(LEFT(Q180,4)))),DATE(LEFT(Q180,4),MID(Q180,6,2),RIGHT(Q180,2)),ISNUMBER(SEARCH("-",Q180)),DATE(RIGHT(Q180,4),MID(Q180,4,2),LEFT(Q180,2)),ISNUMBER(SEARCH("/",Q180)),DATE(RIGHT(Q180,4),MID(Q180,4,2),LEFT(Q180,2)),TRUE,"Check Manually")</f>
        <v>Missing</v>
      </c>
      <c r="S180" s="31" t="str">
        <f t="shared" ca="1" si="32"/>
        <v>6 Years, 5 Months, 27 Days</v>
      </c>
      <c r="T180" s="31">
        <f t="shared" ca="1" si="33"/>
        <v>2370.6999999999998</v>
      </c>
      <c r="U180" s="31" t="str" cm="1">
        <f t="array" ref="U180">_xlfn.IFS(OR(R180="Missing",R180="N/A",R180="Still Employed"),"Unknown",ISNUMBER(R180),"Exited",TRUE,"Unknown")</f>
        <v>Unknown</v>
      </c>
      <c r="V180" s="31" t="str">
        <f t="shared" si="34"/>
        <v/>
      </c>
      <c r="W180" s="14" t="str">
        <f t="shared" si="35"/>
        <v>Active</v>
      </c>
      <c r="X180" s="19" t="s">
        <v>821</v>
      </c>
      <c r="Y180" s="18" t="str">
        <f t="shared" si="28"/>
        <v>₹103,363</v>
      </c>
      <c r="Z180" s="22" t="str" cm="1">
        <f t="array" ref="Z180">_xlfn.IFS(Y180="","0",LEFT(Y180,5)="",Y180,LEFT(Y180,1)="₹",REPLACE(Y180,1,1,""),LEFT(Y180,4)="Rs. ",REPLACE(Y180,1,4,""),TRUE,Y180)</f>
        <v>103,363</v>
      </c>
      <c r="AA180" s="22" t="str">
        <f t="shared" si="29"/>
        <v>103363</v>
      </c>
      <c r="AB180" s="7" t="s">
        <v>127</v>
      </c>
      <c r="AC180" s="7" t="str">
        <f t="shared" si="30"/>
        <v>Good</v>
      </c>
      <c r="AD180" s="7">
        <v>17</v>
      </c>
      <c r="AE180" cm="1">
        <f t="array" ref="AE180">_xlfn.IFS(AD180="",0,AD180&lt;0,"Negate Leave",AD180&gt;=0,AD180)</f>
        <v>17</v>
      </c>
    </row>
    <row r="181" spans="1:31" x14ac:dyDescent="0.3">
      <c r="A181" s="7">
        <v>5176</v>
      </c>
      <c r="B181" s="7" t="s">
        <v>817</v>
      </c>
      <c r="C181" s="7" t="str">
        <f t="shared" si="25"/>
        <v>Neha Chopra</v>
      </c>
      <c r="D181" s="7" t="str">
        <f t="shared" si="26"/>
        <v>Neha Chopra</v>
      </c>
      <c r="E181" s="7" t="s">
        <v>68</v>
      </c>
      <c r="F181" s="7" t="s">
        <v>389</v>
      </c>
      <c r="G181" s="7" t="s">
        <v>140</v>
      </c>
      <c r="H181" s="7" t="str">
        <f>_xlfn.XLOOKUP(G181,Lookup_Tables!$A$4:$A$9,Lookup_Tables!$C$4:$C$9,"Not Found",0)</f>
        <v>Sunita Rao</v>
      </c>
      <c r="I181" s="7" t="s">
        <v>110</v>
      </c>
      <c r="J181" s="7" t="s">
        <v>823</v>
      </c>
      <c r="K181" s="7" t="str">
        <f t="shared" si="27"/>
        <v xml:space="preserve">kavya.kulkarni@company.com </v>
      </c>
      <c r="L181" s="7" t="s">
        <v>824</v>
      </c>
      <c r="M181" s="7" t="str">
        <f t="shared" si="24"/>
        <v>3271124640</v>
      </c>
      <c r="N181" s="7" t="str" cm="1">
        <f t="array" ref="N181">_xlfn.IFS(M181="","Incomplete",LEN(M181)&lt;10,"Invalid",AND(LEN(M181) =10,LEFT(M181,4) &lt;&gt;"+91-"),"+91-"&amp;M181,TRUE,M181)</f>
        <v>+91-3271124640</v>
      </c>
      <c r="O181" s="8" t="s">
        <v>825</v>
      </c>
      <c r="P181" s="14"/>
      <c r="Q181" s="14" t="str">
        <f t="shared" si="31"/>
        <v>Missing</v>
      </c>
      <c r="R181" s="14" t="str" cm="1">
        <f t="array" ref="R181">_xlfn.IFS(OR(Q181="Missing",Q181="N/A",Q181="Still Employed"),Q181,ISNUMBER(SEARCH(",",Q181)),DATEVALUE(Q181),AND(ISNUMBER(SEARCH("-",Q181)),ISNUMBER(VALUE(LEFT(Q181,4)))),DATE(LEFT(Q181,4),MID(Q181,6,2),RIGHT(Q181,2)),ISNUMBER(SEARCH("-",Q181)),DATE(RIGHT(Q181,4),MID(Q181,4,2),LEFT(Q181,2)),ISNUMBER(SEARCH("/",Q181)),DATE(RIGHT(Q181,4),MID(Q181,4,2),LEFT(Q181,2)),TRUE,"Check Manually")</f>
        <v>Missing</v>
      </c>
      <c r="S181" s="31" t="str">
        <f t="shared" ca="1" si="32"/>
        <v>5 Years, 2 Months, 3 Days</v>
      </c>
      <c r="T181" s="31">
        <f t="shared" ca="1" si="33"/>
        <v>1890.13</v>
      </c>
      <c r="U181" s="31" t="str" cm="1">
        <f t="array" ref="U181">_xlfn.IFS(OR(R181="Missing",R181="N/A",R181="Still Employed"),"Unknown",ISNUMBER(R181),"Exited",TRUE,"Unknown")</f>
        <v>Unknown</v>
      </c>
      <c r="V181" s="31" t="str">
        <f t="shared" si="34"/>
        <v/>
      </c>
      <c r="W181" s="14" t="str">
        <f t="shared" si="35"/>
        <v>Active</v>
      </c>
      <c r="X181" s="19"/>
      <c r="Y181" s="18" t="str">
        <f t="shared" si="28"/>
        <v/>
      </c>
      <c r="Z181" s="22" t="str" cm="1">
        <f t="array" ref="Z181">_xlfn.IFS(Y181="","0",LEFT(Y181,5)="",Y181,LEFT(Y181,1)="₹",REPLACE(Y181,1,1,""),LEFT(Y181,4)="Rs. ",REPLACE(Y181,1,4,""),TRUE,Y181)</f>
        <v>0</v>
      </c>
      <c r="AA181" s="22" t="str">
        <f t="shared" si="29"/>
        <v>0</v>
      </c>
      <c r="AB181" s="7" t="s">
        <v>95</v>
      </c>
      <c r="AC181" s="7" t="str">
        <f t="shared" si="30"/>
        <v>Average</v>
      </c>
      <c r="AD181" s="7">
        <v>15</v>
      </c>
      <c r="AE181" cm="1">
        <f t="array" ref="AE181">_xlfn.IFS(AD181="",0,AD181&lt;0,"Negate Leave",AD181&gt;=0,AD181)</f>
        <v>15</v>
      </c>
    </row>
    <row r="182" spans="1:31" x14ac:dyDescent="0.3">
      <c r="A182" s="7">
        <v>5045</v>
      </c>
      <c r="B182" s="7" t="s">
        <v>822</v>
      </c>
      <c r="C182" s="7" t="str">
        <f t="shared" si="25"/>
        <v>Kavya  Kulkarni</v>
      </c>
      <c r="D182" s="7" t="str">
        <f t="shared" si="26"/>
        <v>Kavya Kulkarni</v>
      </c>
      <c r="E182" s="7" t="s">
        <v>68</v>
      </c>
      <c r="F182" s="7" t="s">
        <v>151</v>
      </c>
      <c r="G182" s="7" t="s">
        <v>76</v>
      </c>
      <c r="H182" s="7" t="str">
        <f>_xlfn.XLOOKUP(G182,Lookup_Tables!$A$4:$A$9,Lookup_Tables!$C$4:$C$9,"Not Found",0)</f>
        <v>Ananya Sen</v>
      </c>
      <c r="I182" s="7" t="s">
        <v>77</v>
      </c>
      <c r="J182" s="7" t="s">
        <v>827</v>
      </c>
      <c r="K182" s="7" t="str">
        <f t="shared" si="27"/>
        <v>arjun.shah@company.com</v>
      </c>
      <c r="L182" s="7" t="s">
        <v>828</v>
      </c>
      <c r="M182" s="7" t="str">
        <f t="shared" si="24"/>
        <v>5109589187</v>
      </c>
      <c r="N182" s="7" t="str" cm="1">
        <f t="array" ref="N182">_xlfn.IFS(M182="","Incomplete",LEN(M182)&lt;10,"Invalid",AND(LEN(M182) =10,LEFT(M182,4) &lt;&gt;"+91-"),"+91-"&amp;M182,TRUE,M182)</f>
        <v>+91-5109589187</v>
      </c>
      <c r="O182" s="8" t="s">
        <v>829</v>
      </c>
      <c r="P182" s="14" t="s">
        <v>126</v>
      </c>
      <c r="Q182" s="14" t="str">
        <f t="shared" si="31"/>
        <v>N/A</v>
      </c>
      <c r="R182" s="14" t="str" cm="1">
        <f t="array" ref="R182">_xlfn.IFS(OR(Q182="Missing",Q182="N/A",Q182="Still Employed"),Q182,ISNUMBER(SEARCH(",",Q182)),DATEVALUE(Q182),AND(ISNUMBER(SEARCH("-",Q182)),ISNUMBER(VALUE(LEFT(Q182,4)))),DATE(LEFT(Q182,4),MID(Q182,6,2),RIGHT(Q182,2)),ISNUMBER(SEARCH("-",Q182)),DATE(RIGHT(Q182,4),MID(Q182,4,2),LEFT(Q182,2)),ISNUMBER(SEARCH("/",Q182)),DATE(RIGHT(Q182,4),MID(Q182,4,2),LEFT(Q182,2)),TRUE,"Check Manually")</f>
        <v>N/A</v>
      </c>
      <c r="S182" s="31" t="str">
        <f t="shared" ca="1" si="32"/>
        <v>7 Years, 5 Months, 14 Days</v>
      </c>
      <c r="T182" s="31">
        <f t="shared" ca="1" si="33"/>
        <v>2722.95</v>
      </c>
      <c r="U182" s="31" t="str" cm="1">
        <f t="array" ref="U182">_xlfn.IFS(OR(R182="Missing",R182="N/A",R182="Still Employed"),"Unknown",ISNUMBER(R182),"Exited",TRUE,"Unknown")</f>
        <v>Unknown</v>
      </c>
      <c r="V182" s="31" t="str">
        <f t="shared" si="34"/>
        <v/>
      </c>
      <c r="W182" s="14" t="str">
        <f t="shared" si="35"/>
        <v>Active</v>
      </c>
      <c r="X182" s="19"/>
      <c r="Y182" s="18" t="str">
        <f t="shared" si="28"/>
        <v/>
      </c>
      <c r="Z182" s="22" t="str" cm="1">
        <f t="array" ref="Z182">_xlfn.IFS(Y182="","0",LEFT(Y182,5)="",Y182,LEFT(Y182,1)="₹",REPLACE(Y182,1,1,""),LEFT(Y182,4)="Rs. ",REPLACE(Y182,1,4,""),TRUE,Y182)</f>
        <v>0</v>
      </c>
      <c r="AA182" s="22" t="str">
        <f t="shared" si="29"/>
        <v>0</v>
      </c>
      <c r="AB182" s="7" t="s">
        <v>95</v>
      </c>
      <c r="AC182" s="7" t="str">
        <f t="shared" si="30"/>
        <v>Average</v>
      </c>
      <c r="AD182" s="7">
        <v>8</v>
      </c>
      <c r="AE182" cm="1">
        <f t="array" ref="AE182">_xlfn.IFS(AD182="",0,AD182&lt;0,"Negate Leave",AD182&gt;=0,AD182)</f>
        <v>8</v>
      </c>
    </row>
    <row r="183" spans="1:31" x14ac:dyDescent="0.3">
      <c r="A183" s="7">
        <v>5213</v>
      </c>
      <c r="B183" s="7" t="s">
        <v>826</v>
      </c>
      <c r="C183" s="7" t="str">
        <f t="shared" si="25"/>
        <v>arjun shah</v>
      </c>
      <c r="D183" s="7" t="str">
        <f t="shared" si="26"/>
        <v>Arjun Shah</v>
      </c>
      <c r="E183" s="7" t="s">
        <v>84</v>
      </c>
      <c r="F183" s="7" t="s">
        <v>151</v>
      </c>
      <c r="G183" s="7" t="s">
        <v>76</v>
      </c>
      <c r="H183" s="7" t="str">
        <f>_xlfn.XLOOKUP(G183,Lookup_Tables!$A$4:$A$9,Lookup_Tables!$C$4:$C$9,"Not Found",0)</f>
        <v>Ananya Sen</v>
      </c>
      <c r="I183" s="7" t="s">
        <v>70</v>
      </c>
      <c r="J183" s="7" t="s">
        <v>197</v>
      </c>
      <c r="K183" s="7" t="str">
        <f t="shared" si="27"/>
        <v>anjali.saxena@company.com</v>
      </c>
      <c r="L183" s="7"/>
      <c r="M183" s="7" t="str">
        <f t="shared" si="24"/>
        <v/>
      </c>
      <c r="N183" s="7" t="str" cm="1">
        <f t="array" ref="N183">_xlfn.IFS(M183="","Incomplete",LEN(M183)&lt;10,"Invalid",AND(LEN(M183) =10,LEFT(M183,4) &lt;&gt;"+91-"),"+91-"&amp;M183,TRUE,M183)</f>
        <v>Incomplete</v>
      </c>
      <c r="O183" s="8" t="s">
        <v>830</v>
      </c>
      <c r="P183" s="14"/>
      <c r="Q183" s="14" t="str">
        <f t="shared" si="31"/>
        <v>Missing</v>
      </c>
      <c r="R183" s="14" t="str" cm="1">
        <f t="array" ref="R183">_xlfn.IFS(OR(Q183="Missing",Q183="N/A",Q183="Still Employed"),Q183,ISNUMBER(SEARCH(",",Q183)),DATEVALUE(Q183),AND(ISNUMBER(SEARCH("-",Q183)),ISNUMBER(VALUE(LEFT(Q183,4)))),DATE(LEFT(Q183,4),MID(Q183,6,2),RIGHT(Q183,2)),ISNUMBER(SEARCH("-",Q183)),DATE(RIGHT(Q183,4),MID(Q183,4,2),LEFT(Q183,2)),ISNUMBER(SEARCH("/",Q183)),DATE(RIGHT(Q183,4),MID(Q183,4,2),LEFT(Q183,2)),TRUE,"Check Manually")</f>
        <v>Missing</v>
      </c>
      <c r="S183" s="31" t="str">
        <f t="shared" ca="1" si="32"/>
        <v>7 Years, 5 Months, 26 Days</v>
      </c>
      <c r="T183" s="31">
        <f t="shared" ca="1" si="33"/>
        <v>2734.95</v>
      </c>
      <c r="U183" s="31" t="str" cm="1">
        <f t="array" ref="U183">_xlfn.IFS(OR(R183="Missing",R183="N/A",R183="Still Employed"),"Unknown",ISNUMBER(R183),"Exited",TRUE,"Unknown")</f>
        <v>Unknown</v>
      </c>
      <c r="V183" s="31" t="str">
        <f t="shared" si="34"/>
        <v/>
      </c>
      <c r="W183" s="14" t="str">
        <f t="shared" si="35"/>
        <v>Active</v>
      </c>
      <c r="X183" s="19"/>
      <c r="Y183" s="18" t="str">
        <f t="shared" si="28"/>
        <v/>
      </c>
      <c r="Z183" s="22" t="str" cm="1">
        <f t="array" ref="Z183">_xlfn.IFS(Y183="","0",LEFT(Y183,5)="",Y183,LEFT(Y183,1)="₹",REPLACE(Y183,1,1,""),LEFT(Y183,4)="Rs. ",REPLACE(Y183,1,4,""),TRUE,Y183)</f>
        <v>0</v>
      </c>
      <c r="AA183" s="22" t="str">
        <f t="shared" si="29"/>
        <v>0</v>
      </c>
      <c r="AB183" s="7" t="s">
        <v>51</v>
      </c>
      <c r="AC183" s="7" t="str">
        <f t="shared" si="30"/>
        <v>Excellent</v>
      </c>
      <c r="AD183" s="7">
        <v>8</v>
      </c>
      <c r="AE183" cm="1">
        <f t="array" ref="AE183">_xlfn.IFS(AD183="",0,AD183&lt;0,"Negate Leave",AD183&gt;=0,AD183)</f>
        <v>8</v>
      </c>
    </row>
    <row r="184" spans="1:31" x14ac:dyDescent="0.3">
      <c r="A184" s="7">
        <v>5052</v>
      </c>
      <c r="B184" s="7" t="s">
        <v>196</v>
      </c>
      <c r="C184" s="7" t="str">
        <f t="shared" si="25"/>
        <v>Anjali Saxena</v>
      </c>
      <c r="D184" s="7" t="str">
        <f t="shared" si="26"/>
        <v>Anjali Saxena</v>
      </c>
      <c r="E184" s="7" t="s">
        <v>68</v>
      </c>
      <c r="F184" s="7" t="s">
        <v>151</v>
      </c>
      <c r="G184" s="7" t="s">
        <v>76</v>
      </c>
      <c r="H184" s="7" t="str">
        <f>_xlfn.XLOOKUP(G184,Lookup_Tables!$A$4:$A$9,Lookup_Tables!$C$4:$C$9,"Not Found",0)</f>
        <v>Ananya Sen</v>
      </c>
      <c r="I184" s="7" t="s">
        <v>85</v>
      </c>
      <c r="J184" s="7" t="s">
        <v>832</v>
      </c>
      <c r="K184" s="7" t="str">
        <f t="shared" si="27"/>
        <v xml:space="preserve">deepak.naidu@company.com </v>
      </c>
      <c r="L184" s="7" t="s">
        <v>833</v>
      </c>
      <c r="M184" s="7" t="str">
        <f t="shared" si="24"/>
        <v>8378058567</v>
      </c>
      <c r="N184" s="7" t="str" cm="1">
        <f t="array" ref="N184">_xlfn.IFS(M184="","Incomplete",LEN(M184)&lt;10,"Invalid",AND(LEN(M184) =10,LEFT(M184,4) &lt;&gt;"+91-"),"+91-"&amp;M184,TRUE,M184)</f>
        <v>+91-8378058567</v>
      </c>
      <c r="O184" s="8" t="s">
        <v>834</v>
      </c>
      <c r="P184" s="14"/>
      <c r="Q184" s="14" t="str">
        <f t="shared" si="31"/>
        <v>Missing</v>
      </c>
      <c r="R184" s="14" t="str" cm="1">
        <f t="array" ref="R184">_xlfn.IFS(OR(Q184="Missing",Q184="N/A",Q184="Still Employed"),Q184,ISNUMBER(SEARCH(",",Q184)),DATEVALUE(Q184),AND(ISNUMBER(SEARCH("-",Q184)),ISNUMBER(VALUE(LEFT(Q184,4)))),DATE(LEFT(Q184,4),MID(Q184,6,2),RIGHT(Q184,2)),ISNUMBER(SEARCH("-",Q184)),DATE(RIGHT(Q184,4),MID(Q184,4,2),LEFT(Q184,2)),ISNUMBER(SEARCH("/",Q184)),DATE(RIGHT(Q184,4),MID(Q184,4,2),LEFT(Q184,2)),TRUE,"Check Manually")</f>
        <v>Missing</v>
      </c>
      <c r="S184" s="31" t="str">
        <f t="shared" ca="1" si="32"/>
        <v>5 Years, 8 Months, 25 Days</v>
      </c>
      <c r="T184" s="31">
        <f t="shared" ca="1" si="33"/>
        <v>2094.77</v>
      </c>
      <c r="U184" s="31" t="str" cm="1">
        <f t="array" ref="U184">_xlfn.IFS(OR(R184="Missing",R184="N/A",R184="Still Employed"),"Unknown",ISNUMBER(R184),"Exited",TRUE,"Unknown")</f>
        <v>Unknown</v>
      </c>
      <c r="V184" s="31" t="str">
        <f t="shared" si="34"/>
        <v/>
      </c>
      <c r="W184" s="14" t="str">
        <f t="shared" si="35"/>
        <v>Active</v>
      </c>
      <c r="X184" s="19" t="s">
        <v>835</v>
      </c>
      <c r="Y184" s="18" t="str">
        <f t="shared" si="28"/>
        <v>₹87,379</v>
      </c>
      <c r="Z184" s="22" t="str" cm="1">
        <f t="array" ref="Z184">_xlfn.IFS(Y184="","0",LEFT(Y184,5)="",Y184,LEFT(Y184,1)="₹",REPLACE(Y184,1,1,""),LEFT(Y184,4)="Rs. ",REPLACE(Y184,1,4,""),TRUE,Y184)</f>
        <v>87,379</v>
      </c>
      <c r="AA184" s="22" t="str">
        <f t="shared" si="29"/>
        <v>87379</v>
      </c>
      <c r="AB184" s="7" t="s">
        <v>127</v>
      </c>
      <c r="AC184" s="7" t="str">
        <f t="shared" si="30"/>
        <v>Good</v>
      </c>
      <c r="AD184" s="7">
        <v>0</v>
      </c>
      <c r="AE184" cm="1">
        <f t="array" ref="AE184">_xlfn.IFS(AD184="",0,AD184&lt;0,"Negate Leave",AD184&gt;=0,AD184)</f>
        <v>0</v>
      </c>
    </row>
    <row r="185" spans="1:31" x14ac:dyDescent="0.3">
      <c r="A185" s="7">
        <v>5056</v>
      </c>
      <c r="B185" s="7" t="s">
        <v>831</v>
      </c>
      <c r="C185" s="7" t="str">
        <f t="shared" si="25"/>
        <v>Deepak Naidu</v>
      </c>
      <c r="D185" s="7" t="str">
        <f t="shared" si="26"/>
        <v>Deepak Naidu</v>
      </c>
      <c r="E185" s="7" t="s">
        <v>68</v>
      </c>
      <c r="F185" s="7" t="s">
        <v>151</v>
      </c>
      <c r="G185" s="7" t="s">
        <v>76</v>
      </c>
      <c r="H185" s="7" t="str">
        <f>_xlfn.XLOOKUP(G185,Lookup_Tables!$A$4:$A$9,Lookup_Tables!$C$4:$C$9,"Not Found",0)</f>
        <v>Ananya Sen</v>
      </c>
      <c r="I185" s="7" t="s">
        <v>62</v>
      </c>
      <c r="J185" s="7" t="s">
        <v>837</v>
      </c>
      <c r="K185" s="7" t="str">
        <f t="shared" si="27"/>
        <v>aarav.joshi@company.com</v>
      </c>
      <c r="L185" s="7"/>
      <c r="M185" s="7" t="str">
        <f t="shared" si="24"/>
        <v/>
      </c>
      <c r="N185" s="7" t="str" cm="1">
        <f t="array" ref="N185">_xlfn.IFS(M185="","Incomplete",LEN(M185)&lt;10,"Invalid",AND(LEN(M185) =10,LEFT(M185,4) &lt;&gt;"+91-"),"+91-"&amp;M185,TRUE,M185)</f>
        <v>Incomplete</v>
      </c>
      <c r="O185" s="8" t="s">
        <v>838</v>
      </c>
      <c r="P185" s="14" t="s">
        <v>502</v>
      </c>
      <c r="Q185" s="14" t="str">
        <f t="shared" si="31"/>
        <v>2025-06-30</v>
      </c>
      <c r="R185" s="14" cm="1">
        <f t="array" ref="R185">_xlfn.IFS(OR(Q185="Missing",Q185="N/A",Q185="Still Employed"),Q185,ISNUMBER(SEARCH(",",Q185)),DATEVALUE(Q185),AND(ISNUMBER(SEARCH("-",Q185)),ISNUMBER(VALUE(LEFT(Q185,4)))),DATE(LEFT(Q185,4),MID(Q185,6,2),RIGHT(Q185,2)),ISNUMBER(SEARCH("-",Q185)),DATE(RIGHT(Q185,4),MID(Q185,4,2),LEFT(Q185,2)),ISNUMBER(SEARCH("/",Q185)),DATE(RIGHT(Q185,4),MID(Q185,4,2),LEFT(Q185,2)),TRUE,"Check Manually")</f>
        <v>45838</v>
      </c>
      <c r="S185" s="31" t="str">
        <f t="shared" ca="1" si="32"/>
        <v>1 Years, 2 Months, 20 Days</v>
      </c>
      <c r="T185" s="31">
        <f t="shared" ca="1" si="33"/>
        <v>446.13</v>
      </c>
      <c r="U185" s="31" t="str" cm="1">
        <f t="array" ref="U185">_xlfn.IFS(OR(R185="Missing",R185="N/A",R185="Still Employed"),"Unknown",ISNUMBER(R185),"Exited",TRUE,"Unknown")</f>
        <v>Exited</v>
      </c>
      <c r="V185" s="31">
        <f t="shared" si="34"/>
        <v>2025</v>
      </c>
      <c r="W185" s="14" t="str">
        <f t="shared" si="35"/>
        <v>Exited</v>
      </c>
      <c r="X185" s="19"/>
      <c r="Y185" s="18" t="str">
        <f t="shared" si="28"/>
        <v/>
      </c>
      <c r="Z185" s="22" t="str" cm="1">
        <f t="array" ref="Z185">_xlfn.IFS(Y185="","0",LEFT(Y185,5)="",Y185,LEFT(Y185,1)="₹",REPLACE(Y185,1,1,""),LEFT(Y185,4)="Rs. ",REPLACE(Y185,1,4,""),TRUE,Y185)</f>
        <v>0</v>
      </c>
      <c r="AA185" s="22" t="str">
        <f t="shared" si="29"/>
        <v>0</v>
      </c>
      <c r="AB185" s="7" t="s">
        <v>89</v>
      </c>
      <c r="AC185" s="7" t="str">
        <f t="shared" si="30"/>
        <v>Below Average</v>
      </c>
      <c r="AD185" s="7">
        <v>14</v>
      </c>
      <c r="AE185" cm="1">
        <f t="array" ref="AE185">_xlfn.IFS(AD185="",0,AD185&lt;0,"Negate Leave",AD185&gt;=0,AD185)</f>
        <v>14</v>
      </c>
    </row>
    <row r="186" spans="1:31" x14ac:dyDescent="0.3">
      <c r="A186" s="7">
        <v>5333</v>
      </c>
      <c r="B186" s="7" t="s">
        <v>836</v>
      </c>
      <c r="C186" s="7" t="str">
        <f t="shared" si="25"/>
        <v>Aarav  Joshi</v>
      </c>
      <c r="D186" s="7" t="str">
        <f t="shared" si="26"/>
        <v>Aarav Joshi</v>
      </c>
      <c r="E186" s="7" t="s">
        <v>68</v>
      </c>
      <c r="F186" s="7" t="s">
        <v>133</v>
      </c>
      <c r="G186" s="7" t="s">
        <v>69</v>
      </c>
      <c r="H186" s="7" t="str">
        <f>_xlfn.XLOOKUP(G186,Lookup_Tables!$A$4:$A$9,Lookup_Tables!$C$4:$C$9,"Not Found",0)</f>
        <v>Vivek Malhotra</v>
      </c>
      <c r="I186" s="7" t="s">
        <v>55</v>
      </c>
      <c r="J186" s="7" t="s">
        <v>840</v>
      </c>
      <c r="K186" s="7" t="str">
        <f t="shared" si="27"/>
        <v>anjali.chopra@company.com</v>
      </c>
      <c r="L186" s="7" t="s">
        <v>841</v>
      </c>
      <c r="M186" s="7" t="str">
        <f t="shared" si="24"/>
        <v>8056048152</v>
      </c>
      <c r="N186" s="7" t="str" cm="1">
        <f t="array" ref="N186">_xlfn.IFS(M186="","Incomplete",LEN(M186)&lt;10,"Invalid",AND(LEN(M186) =10,LEFT(M186,4) &lt;&gt;"+91-"),"+91-"&amp;M186,TRUE,M186)</f>
        <v>+91-8056048152</v>
      </c>
      <c r="O186" s="8" t="s">
        <v>842</v>
      </c>
      <c r="P186" s="14"/>
      <c r="Q186" s="14" t="str">
        <f t="shared" si="31"/>
        <v>Missing</v>
      </c>
      <c r="R186" s="14" t="str" cm="1">
        <f t="array" ref="R186">_xlfn.IFS(OR(Q186="Missing",Q186="N/A",Q186="Still Employed"),Q186,ISNUMBER(SEARCH(",",Q186)),DATEVALUE(Q186),AND(ISNUMBER(SEARCH("-",Q186)),ISNUMBER(VALUE(LEFT(Q186,4)))),DATE(LEFT(Q186,4),MID(Q186,6,2),RIGHT(Q186,2)),ISNUMBER(SEARCH("-",Q186)),DATE(RIGHT(Q186,4),MID(Q186,4,2),LEFT(Q186,2)),ISNUMBER(SEARCH("/",Q186)),DATE(RIGHT(Q186,4),MID(Q186,4,2),LEFT(Q186,2)),TRUE,"Check Manually")</f>
        <v>Missing</v>
      </c>
      <c r="S186" s="31" t="str">
        <f t="shared" ca="1" si="32"/>
        <v>3 Years, 3 Months, 8 Days</v>
      </c>
      <c r="T186" s="31">
        <f t="shared" ca="1" si="33"/>
        <v>1195.07</v>
      </c>
      <c r="U186" s="31" t="str" cm="1">
        <f t="array" ref="U186">_xlfn.IFS(OR(R186="Missing",R186="N/A",R186="Still Employed"),"Unknown",ISNUMBER(R186),"Exited",TRUE,"Unknown")</f>
        <v>Unknown</v>
      </c>
      <c r="V186" s="31" t="str">
        <f t="shared" si="34"/>
        <v/>
      </c>
      <c r="W186" s="14" t="str">
        <f t="shared" si="35"/>
        <v>Active</v>
      </c>
      <c r="X186" s="19" t="s">
        <v>843</v>
      </c>
      <c r="Y186" s="18" t="str">
        <f t="shared" si="28"/>
        <v>Rs. 65,094</v>
      </c>
      <c r="Z186" s="22" t="str" cm="1">
        <f t="array" ref="Z186">_xlfn.IFS(Y186="","0",LEFT(Y186,5)="",Y186,LEFT(Y186,1)="₹",REPLACE(Y186,1,1,""),LEFT(Y186,4)="Rs. ",REPLACE(Y186,1,4,""),TRUE,Y186)</f>
        <v>65,094</v>
      </c>
      <c r="AA186" s="22" t="str">
        <f t="shared" si="29"/>
        <v>65094</v>
      </c>
      <c r="AB186" s="7" t="s">
        <v>89</v>
      </c>
      <c r="AC186" s="7" t="str">
        <f t="shared" si="30"/>
        <v>Below Average</v>
      </c>
      <c r="AD186" s="7">
        <v>17</v>
      </c>
      <c r="AE186" cm="1">
        <f t="array" ref="AE186">_xlfn.IFS(AD186="",0,AD186&lt;0,"Negate Leave",AD186&gt;=0,AD186)</f>
        <v>17</v>
      </c>
    </row>
    <row r="187" spans="1:31" x14ac:dyDescent="0.3">
      <c r="A187" s="7">
        <v>5310</v>
      </c>
      <c r="B187" s="7" t="s">
        <v>839</v>
      </c>
      <c r="C187" s="7" t="str">
        <f t="shared" si="25"/>
        <v>ANJALI CHOPRA</v>
      </c>
      <c r="D187" s="7" t="str">
        <f t="shared" si="26"/>
        <v>Anjali Chopra</v>
      </c>
      <c r="E187" s="7" t="s">
        <v>61</v>
      </c>
      <c r="F187" s="7" t="s">
        <v>133</v>
      </c>
      <c r="G187" s="7" t="s">
        <v>69</v>
      </c>
      <c r="H187" s="7" t="str">
        <f>_xlfn.XLOOKUP(G187,Lookup_Tables!$A$4:$A$9,Lookup_Tables!$C$4:$C$9,"Not Found",0)</f>
        <v>Vivek Malhotra</v>
      </c>
      <c r="I187" s="7" t="s">
        <v>85</v>
      </c>
      <c r="J187" s="7" t="s">
        <v>845</v>
      </c>
      <c r="K187" s="7" t="str">
        <f t="shared" si="27"/>
        <v>kirti.joshi@company.com</v>
      </c>
      <c r="L187" s="7" t="s">
        <v>846</v>
      </c>
      <c r="M187" s="7" t="str">
        <f t="shared" si="24"/>
        <v>8115356904</v>
      </c>
      <c r="N187" s="7" t="str" cm="1">
        <f t="array" ref="N187">_xlfn.IFS(M187="","Incomplete",LEN(M187)&lt;10,"Invalid",AND(LEN(M187) =10,LEFT(M187,4) &lt;&gt;"+91-"),"+91-"&amp;M187,TRUE,M187)</f>
        <v>+91-8115356904</v>
      </c>
      <c r="O187" s="8" t="s">
        <v>847</v>
      </c>
      <c r="P187" s="14" t="s">
        <v>114</v>
      </c>
      <c r="Q187" s="14" t="str">
        <f t="shared" si="31"/>
        <v>Still Employed</v>
      </c>
      <c r="R187" s="14" t="str" cm="1">
        <f t="array" ref="R187">_xlfn.IFS(OR(Q187="Missing",Q187="N/A",Q187="Still Employed"),Q187,ISNUMBER(SEARCH(",",Q187)),DATEVALUE(Q187),AND(ISNUMBER(SEARCH("-",Q187)),ISNUMBER(VALUE(LEFT(Q187,4)))),DATE(LEFT(Q187,4),MID(Q187,6,2),RIGHT(Q187,2)),ISNUMBER(SEARCH("-",Q187)),DATE(RIGHT(Q187,4),MID(Q187,4,2),LEFT(Q187,2)),ISNUMBER(SEARCH("/",Q187)),DATE(RIGHT(Q187,4),MID(Q187,4,2),LEFT(Q187,2)),TRUE,"Check Manually")</f>
        <v>Still Employed</v>
      </c>
      <c r="S187" s="31" t="str">
        <f t="shared" ca="1" si="32"/>
        <v>6 Years, 8 Months, 20 Days</v>
      </c>
      <c r="T187" s="31">
        <f t="shared" ca="1" si="33"/>
        <v>2455.02</v>
      </c>
      <c r="U187" s="31" t="str" cm="1">
        <f t="array" ref="U187">_xlfn.IFS(OR(R187="Missing",R187="N/A",R187="Still Employed"),"Unknown",ISNUMBER(R187),"Exited",TRUE,"Unknown")</f>
        <v>Unknown</v>
      </c>
      <c r="V187" s="31" t="str">
        <f t="shared" si="34"/>
        <v/>
      </c>
      <c r="W187" s="14" t="str">
        <f t="shared" si="35"/>
        <v>Active</v>
      </c>
      <c r="X187" s="19">
        <v>36216</v>
      </c>
      <c r="Y187" s="18" t="str">
        <f t="shared" si="28"/>
        <v>36216</v>
      </c>
      <c r="Z187" s="22" t="str" cm="1">
        <f t="array" ref="Z187">_xlfn.IFS(Y187="","0",LEFT(Y187,5)="",Y187,LEFT(Y187,1)="₹",REPLACE(Y187,1,1,""),LEFT(Y187,4)="Rs. ",REPLACE(Y187,1,4,""),TRUE,Y187)</f>
        <v>36216</v>
      </c>
      <c r="AA187" s="22" t="str">
        <f t="shared" si="29"/>
        <v>36216</v>
      </c>
      <c r="AB187" s="7" t="s">
        <v>127</v>
      </c>
      <c r="AC187" s="7" t="str">
        <f t="shared" si="30"/>
        <v>Good</v>
      </c>
      <c r="AD187" s="7">
        <v>-3</v>
      </c>
      <c r="AE187" t="str" cm="1">
        <f t="array" ref="AE187">_xlfn.IFS(AD187="",0,AD187&lt;0,"Negate Leave",AD187&gt;=0,AD187)</f>
        <v>Negate Leave</v>
      </c>
    </row>
    <row r="188" spans="1:31" x14ac:dyDescent="0.3">
      <c r="A188" s="7">
        <v>5077</v>
      </c>
      <c r="B188" s="7" t="s">
        <v>844</v>
      </c>
      <c r="C188" s="7" t="str">
        <f t="shared" si="25"/>
        <v>Kirti Joshi</v>
      </c>
      <c r="D188" s="7" t="str">
        <f t="shared" si="26"/>
        <v>Kirti Joshi</v>
      </c>
      <c r="E188" s="7" t="s">
        <v>61</v>
      </c>
      <c r="F188" s="7" t="s">
        <v>219</v>
      </c>
      <c r="G188" s="7" t="s">
        <v>46</v>
      </c>
      <c r="H188" s="7" t="str">
        <f>_xlfn.XLOOKUP(G188,Lookup_Tables!$A$4:$A$9,Lookup_Tables!$C$4:$C$9,"Not Found",0)</f>
        <v>Faisal Ahmed</v>
      </c>
      <c r="I188" s="7" t="s">
        <v>110</v>
      </c>
      <c r="J188" s="7" t="s">
        <v>849</v>
      </c>
      <c r="K188" s="7" t="str">
        <f t="shared" si="27"/>
        <v>karthik.bose@company.com</v>
      </c>
      <c r="L188" s="7" t="s">
        <v>850</v>
      </c>
      <c r="M188" s="7" t="str">
        <f t="shared" si="24"/>
        <v>+91-8214956255</v>
      </c>
      <c r="N188" s="7" t="str" cm="1">
        <f t="array" ref="N188">_xlfn.IFS(M188="","Incomplete",LEN(M188)&lt;10,"Invalid",AND(LEN(M188) =10,LEFT(M188,4) &lt;&gt;"+91-"),"+91-"&amp;M188,TRUE,M188)</f>
        <v>+91-8214956255</v>
      </c>
      <c r="O188" s="8" t="s">
        <v>851</v>
      </c>
      <c r="P188" s="14"/>
      <c r="Q188" s="14" t="str">
        <f t="shared" si="31"/>
        <v>Missing</v>
      </c>
      <c r="R188" s="14" t="str" cm="1">
        <f t="array" ref="R188">_xlfn.IFS(OR(Q188="Missing",Q188="N/A",Q188="Still Employed"),Q188,ISNUMBER(SEARCH(",",Q188)),DATEVALUE(Q188),AND(ISNUMBER(SEARCH("-",Q188)),ISNUMBER(VALUE(LEFT(Q188,4)))),DATE(LEFT(Q188,4),MID(Q188,6,2),RIGHT(Q188,2)),ISNUMBER(SEARCH("-",Q188)),DATE(RIGHT(Q188,4),MID(Q188,4,2),LEFT(Q188,2)),ISNUMBER(SEARCH("/",Q188)),DATE(RIGHT(Q188,4),MID(Q188,4,2),LEFT(Q188,2)),TRUE,"Check Manually")</f>
        <v>Missing</v>
      </c>
      <c r="S188" s="31" t="str">
        <f t="shared" ca="1" si="32"/>
        <v>7 Years, 8 Months, 4 Days</v>
      </c>
      <c r="T188" s="31">
        <f t="shared" ca="1" si="33"/>
        <v>2804.27</v>
      </c>
      <c r="U188" s="31" t="str" cm="1">
        <f t="array" ref="U188">_xlfn.IFS(OR(R188="Missing",R188="N/A",R188="Still Employed"),"Unknown",ISNUMBER(R188),"Exited",TRUE,"Unknown")</f>
        <v>Unknown</v>
      </c>
      <c r="V188" s="31" t="str">
        <f t="shared" si="34"/>
        <v/>
      </c>
      <c r="W188" s="14" t="str">
        <f t="shared" si="35"/>
        <v>Active</v>
      </c>
      <c r="X188" s="19" t="s">
        <v>852</v>
      </c>
      <c r="Y188" s="18" t="str">
        <f t="shared" si="28"/>
        <v>₹138,618</v>
      </c>
      <c r="Z188" s="22" t="str" cm="1">
        <f t="array" ref="Z188">_xlfn.IFS(Y188="","0",LEFT(Y188,5)="",Y188,LEFT(Y188,1)="₹",REPLACE(Y188,1,1,""),LEFT(Y188,4)="Rs. ",REPLACE(Y188,1,4,""),TRUE,Y188)</f>
        <v>138,618</v>
      </c>
      <c r="AA188" s="22" t="str">
        <f t="shared" si="29"/>
        <v>138618</v>
      </c>
      <c r="AB188" s="7" t="s">
        <v>95</v>
      </c>
      <c r="AC188" s="7" t="str">
        <f t="shared" si="30"/>
        <v>Average</v>
      </c>
      <c r="AD188" s="7">
        <v>5</v>
      </c>
      <c r="AE188" cm="1">
        <f t="array" ref="AE188">_xlfn.IFS(AD188="",0,AD188&lt;0,"Negate Leave",AD188&gt;=0,AD188)</f>
        <v>5</v>
      </c>
    </row>
    <row r="189" spans="1:31" x14ac:dyDescent="0.3">
      <c r="A189" s="7">
        <v>5100</v>
      </c>
      <c r="B189" s="7" t="s">
        <v>848</v>
      </c>
      <c r="C189" s="7" t="str">
        <f t="shared" si="25"/>
        <v>Karthik Bose</v>
      </c>
      <c r="D189" s="7" t="str">
        <f t="shared" si="26"/>
        <v>Karthik Bose</v>
      </c>
      <c r="E189" s="7" t="s">
        <v>68</v>
      </c>
      <c r="F189" s="7" t="s">
        <v>389</v>
      </c>
      <c r="G189" s="7" t="s">
        <v>140</v>
      </c>
      <c r="H189" s="7" t="str">
        <f>_xlfn.XLOOKUP(G189,Lookup_Tables!$A$4:$A$9,Lookup_Tables!$C$4:$C$9,"Not Found",0)</f>
        <v>Sunita Rao</v>
      </c>
      <c r="I189" s="7" t="s">
        <v>77</v>
      </c>
      <c r="J189" s="7" t="s">
        <v>854</v>
      </c>
      <c r="K189" s="7" t="str">
        <f t="shared" si="27"/>
        <v>deepak.iyer@company.com</v>
      </c>
      <c r="L189" s="7" t="s">
        <v>855</v>
      </c>
      <c r="M189" s="7" t="str">
        <f t="shared" si="24"/>
        <v>1301517703</v>
      </c>
      <c r="N189" s="7" t="str" cm="1">
        <f t="array" ref="N189">_xlfn.IFS(M189="","Incomplete",LEN(M189)&lt;10,"Invalid",AND(LEN(M189) =10,LEFT(M189,4) &lt;&gt;"+91-"),"+91-"&amp;M189,TRUE,M189)</f>
        <v>+91-1301517703</v>
      </c>
      <c r="O189" s="8" t="s">
        <v>856</v>
      </c>
      <c r="P189" s="14"/>
      <c r="Q189" s="14" t="str">
        <f t="shared" si="31"/>
        <v>Missing</v>
      </c>
      <c r="R189" s="14" t="str" cm="1">
        <f t="array" ref="R189">_xlfn.IFS(OR(Q189="Missing",Q189="N/A",Q189="Still Employed"),Q189,ISNUMBER(SEARCH(",",Q189)),DATEVALUE(Q189),AND(ISNUMBER(SEARCH("-",Q189)),ISNUMBER(VALUE(LEFT(Q189,4)))),DATE(LEFT(Q189,4),MID(Q189,6,2),RIGHT(Q189,2)),ISNUMBER(SEARCH("-",Q189)),DATE(RIGHT(Q189,4),MID(Q189,4,2),LEFT(Q189,2)),ISNUMBER(SEARCH("/",Q189)),DATE(RIGHT(Q189,4),MID(Q189,4,2),LEFT(Q189,2)),TRUE,"Check Manually")</f>
        <v>Missing</v>
      </c>
      <c r="S189" s="31" t="str">
        <f t="shared" ca="1" si="32"/>
        <v>8 Years, 6 Months, 20 Days</v>
      </c>
      <c r="T189" s="31">
        <f t="shared" ca="1" si="33"/>
        <v>3124.64</v>
      </c>
      <c r="U189" s="31" t="str" cm="1">
        <f t="array" ref="U189">_xlfn.IFS(OR(R189="Missing",R189="N/A",R189="Still Employed"),"Unknown",ISNUMBER(R189),"Exited",TRUE,"Unknown")</f>
        <v>Unknown</v>
      </c>
      <c r="V189" s="31" t="str">
        <f t="shared" si="34"/>
        <v/>
      </c>
      <c r="W189" s="14" t="str">
        <f t="shared" si="35"/>
        <v>Active</v>
      </c>
      <c r="X189" s="19" t="s">
        <v>857</v>
      </c>
      <c r="Y189" s="18" t="str">
        <f t="shared" si="28"/>
        <v>₹132,398</v>
      </c>
      <c r="Z189" s="22" t="str" cm="1">
        <f t="array" ref="Z189">_xlfn.IFS(Y189="","0",LEFT(Y189,5)="",Y189,LEFT(Y189,1)="₹",REPLACE(Y189,1,1,""),LEFT(Y189,4)="Rs. ",REPLACE(Y189,1,4,""),TRUE,Y189)</f>
        <v>132,398</v>
      </c>
      <c r="AA189" s="22" t="str">
        <f t="shared" si="29"/>
        <v>132398</v>
      </c>
      <c r="AB189" s="7"/>
      <c r="AC189" s="7" t="str">
        <f t="shared" si="30"/>
        <v>Not Rated</v>
      </c>
      <c r="AD189" s="7">
        <v>10</v>
      </c>
      <c r="AE189" cm="1">
        <f t="array" ref="AE189">_xlfn.IFS(AD189="",0,AD189&lt;0,"Negate Leave",AD189&gt;=0,AD189)</f>
        <v>10</v>
      </c>
    </row>
    <row r="190" spans="1:31" x14ac:dyDescent="0.3">
      <c r="A190" s="7">
        <v>5225</v>
      </c>
      <c r="B190" s="7" t="s">
        <v>853</v>
      </c>
      <c r="C190" s="7" t="str">
        <f t="shared" si="25"/>
        <v>Deepak Iyer</v>
      </c>
      <c r="D190" s="7" t="str">
        <f t="shared" si="26"/>
        <v>Deepak Iyer</v>
      </c>
      <c r="E190" s="7" t="s">
        <v>68</v>
      </c>
      <c r="F190" s="7" t="s">
        <v>133</v>
      </c>
      <c r="G190" s="7" t="s">
        <v>69</v>
      </c>
      <c r="H190" s="7" t="str">
        <f>_xlfn.XLOOKUP(G190,Lookup_Tables!$A$4:$A$9,Lookup_Tables!$C$4:$C$9,"Not Found",0)</f>
        <v>Vivek Malhotra</v>
      </c>
      <c r="I190" s="7" t="s">
        <v>47</v>
      </c>
      <c r="J190" s="7" t="s">
        <v>180</v>
      </c>
      <c r="K190" s="7" t="str">
        <f t="shared" si="27"/>
        <v>anita.trivedi@company.com</v>
      </c>
      <c r="L190" s="7" t="s">
        <v>859</v>
      </c>
      <c r="M190" s="7" t="str">
        <f t="shared" si="24"/>
        <v>9297480402</v>
      </c>
      <c r="N190" s="7" t="str" cm="1">
        <f t="array" ref="N190">_xlfn.IFS(M190="","Incomplete",LEN(M190)&lt;10,"Invalid",AND(LEN(M190) =10,LEFT(M190,4) &lt;&gt;"+91-"),"+91-"&amp;M190,TRUE,M190)</f>
        <v>+91-9297480402</v>
      </c>
      <c r="O190" s="8" t="s">
        <v>860</v>
      </c>
      <c r="P190" s="14" t="s">
        <v>114</v>
      </c>
      <c r="Q190" s="14" t="str">
        <f t="shared" si="31"/>
        <v>Still Employed</v>
      </c>
      <c r="R190" s="14" t="str" cm="1">
        <f t="array" ref="R190">_xlfn.IFS(OR(Q190="Missing",Q190="N/A",Q190="Still Employed"),Q190,ISNUMBER(SEARCH(",",Q190)),DATEVALUE(Q190),AND(ISNUMBER(SEARCH("-",Q190)),ISNUMBER(VALUE(LEFT(Q190,4)))),DATE(LEFT(Q190,4),MID(Q190,6,2),RIGHT(Q190,2)),ISNUMBER(SEARCH("-",Q190)),DATE(RIGHT(Q190,4),MID(Q190,4,2),LEFT(Q190,2)),ISNUMBER(SEARCH("/",Q190)),DATE(RIGHT(Q190,4),MID(Q190,4,2),LEFT(Q190,2)),TRUE,"Check Manually")</f>
        <v>Still Employed</v>
      </c>
      <c r="S190" s="31" t="str">
        <f t="shared" ca="1" si="32"/>
        <v>7 Years, 11 Months, 17 Days</v>
      </c>
      <c r="T190" s="31">
        <f t="shared" ca="1" si="33"/>
        <v>2908.59</v>
      </c>
      <c r="U190" s="31" t="str" cm="1">
        <f t="array" ref="U190">_xlfn.IFS(OR(R190="Missing",R190="N/A",R190="Still Employed"),"Unknown",ISNUMBER(R190),"Exited",TRUE,"Unknown")</f>
        <v>Unknown</v>
      </c>
      <c r="V190" s="31" t="str">
        <f t="shared" si="34"/>
        <v/>
      </c>
      <c r="W190" s="14" t="str">
        <f t="shared" si="35"/>
        <v>Active</v>
      </c>
      <c r="X190" s="19" t="s">
        <v>861</v>
      </c>
      <c r="Y190" s="18" t="str">
        <f t="shared" si="28"/>
        <v>₹139,729</v>
      </c>
      <c r="Z190" s="22" t="str" cm="1">
        <f t="array" ref="Z190">_xlfn.IFS(Y190="","0",LEFT(Y190,5)="",Y190,LEFT(Y190,1)="₹",REPLACE(Y190,1,1,""),LEFT(Y190,4)="Rs. ",REPLACE(Y190,1,4,""),TRUE,Y190)</f>
        <v>139,729</v>
      </c>
      <c r="AA190" s="22" t="str">
        <f t="shared" si="29"/>
        <v>139729</v>
      </c>
      <c r="AB190" s="7" t="s">
        <v>144</v>
      </c>
      <c r="AC190" s="7" t="str">
        <f t="shared" si="30"/>
        <v>Poor</v>
      </c>
      <c r="AD190" s="7">
        <v>4</v>
      </c>
      <c r="AE190" cm="1">
        <f t="array" ref="AE190">_xlfn.IFS(AD190="",0,AD190&lt;0,"Negate Leave",AD190&gt;=0,AD190)</f>
        <v>4</v>
      </c>
    </row>
    <row r="191" spans="1:31" x14ac:dyDescent="0.3">
      <c r="A191" s="7">
        <v>5241</v>
      </c>
      <c r="B191" s="7" t="s">
        <v>858</v>
      </c>
      <c r="C191" s="7" t="str">
        <f t="shared" si="25"/>
        <v>ANITA TRIVEDI</v>
      </c>
      <c r="D191" s="7" t="str">
        <f t="shared" si="26"/>
        <v>Anita Trivedi</v>
      </c>
      <c r="E191" s="7" t="s">
        <v>68</v>
      </c>
      <c r="F191" s="7" t="s">
        <v>151</v>
      </c>
      <c r="G191" s="7" t="s">
        <v>76</v>
      </c>
      <c r="H191" s="7" t="str">
        <f>_xlfn.XLOOKUP(G191,Lookup_Tables!$A$4:$A$9,Lookup_Tables!$C$4:$C$9,"Not Found",0)</f>
        <v>Ananya Sen</v>
      </c>
      <c r="I191" s="7" t="s">
        <v>47</v>
      </c>
      <c r="J191" s="7" t="s">
        <v>863</v>
      </c>
      <c r="K191" s="7" t="str">
        <f t="shared" si="27"/>
        <v>deepak.saxena@company.com</v>
      </c>
      <c r="L191" s="7" t="s">
        <v>864</v>
      </c>
      <c r="M191" s="7" t="str">
        <f t="shared" ref="M191:M252" si="36">SUBSTITUTE(L191," ","")</f>
        <v>+91-7827132430</v>
      </c>
      <c r="N191" s="7" t="str" cm="1">
        <f t="array" ref="N191">_xlfn.IFS(M191="","Incomplete",LEN(M191)&lt;10,"Invalid",AND(LEN(M191) =10,LEFT(M191,4) &lt;&gt;"+91-"),"+91-"&amp;M191,TRUE,M191)</f>
        <v>+91-7827132430</v>
      </c>
      <c r="O191" s="8" t="s">
        <v>865</v>
      </c>
      <c r="P191" s="14"/>
      <c r="Q191" s="14" t="str">
        <f t="shared" si="31"/>
        <v>Missing</v>
      </c>
      <c r="R191" s="14" t="str" cm="1">
        <f t="array" ref="R191">_xlfn.IFS(OR(Q191="Missing",Q191="N/A",Q191="Still Employed"),Q191,ISNUMBER(SEARCH(",",Q191)),DATEVALUE(Q191),AND(ISNUMBER(SEARCH("-",Q191)),ISNUMBER(VALUE(LEFT(Q191,4)))),DATE(LEFT(Q191,4),MID(Q191,6,2),RIGHT(Q191,2)),ISNUMBER(SEARCH("-",Q191)),DATE(RIGHT(Q191,4),MID(Q191,4,2),LEFT(Q191,2)),ISNUMBER(SEARCH("/",Q191)),DATE(RIGHT(Q191,4),MID(Q191,4,2),LEFT(Q191,2)),TRUE,"Check Manually")</f>
        <v>Missing</v>
      </c>
      <c r="S191" s="31" t="str">
        <f t="shared" ca="1" si="32"/>
        <v>4 Years, 10 Months, 10 Days</v>
      </c>
      <c r="T191" s="31">
        <f t="shared" ca="1" si="33"/>
        <v>1775.4</v>
      </c>
      <c r="U191" s="31" t="str" cm="1">
        <f t="array" ref="U191">_xlfn.IFS(OR(R191="Missing",R191="N/A",R191="Still Employed"),"Unknown",ISNUMBER(R191),"Exited",TRUE,"Unknown")</f>
        <v>Unknown</v>
      </c>
      <c r="V191" s="31" t="str">
        <f t="shared" si="34"/>
        <v/>
      </c>
      <c r="W191" s="14" t="str">
        <f t="shared" si="35"/>
        <v>Active</v>
      </c>
      <c r="X191" s="19"/>
      <c r="Y191" s="18" t="str">
        <f t="shared" si="28"/>
        <v/>
      </c>
      <c r="Z191" s="22" t="str" cm="1">
        <f t="array" ref="Z191">_xlfn.IFS(Y191="","0",LEFT(Y191,5)="",Y191,LEFT(Y191,1)="₹",REPLACE(Y191,1,1,""),LEFT(Y191,4)="Rs. ",REPLACE(Y191,1,4,""),TRUE,Y191)</f>
        <v>0</v>
      </c>
      <c r="AA191" s="22" t="str">
        <f t="shared" si="29"/>
        <v>0</v>
      </c>
      <c r="AB191" s="7" t="s">
        <v>95</v>
      </c>
      <c r="AC191" s="7" t="str">
        <f t="shared" si="30"/>
        <v>Average</v>
      </c>
      <c r="AD191" s="7">
        <v>21</v>
      </c>
      <c r="AE191" cm="1">
        <f t="array" ref="AE191">_xlfn.IFS(AD191="",0,AD191&lt;0,"Negate Leave",AD191&gt;=0,AD191)</f>
        <v>21</v>
      </c>
    </row>
    <row r="192" spans="1:31" x14ac:dyDescent="0.3">
      <c r="A192" s="7">
        <v>5243</v>
      </c>
      <c r="B192" s="7" t="s">
        <v>862</v>
      </c>
      <c r="C192" s="7" t="str">
        <f t="shared" ref="C192:C253" si="37">IF(ISNUMBER(SEARCH(",",B192)), TRIM(MID(B192,FIND(",",B192)+1,LEN(B192))&amp;" "&amp;LEFT(B192,FIND(",",B192)-1)), B192)</f>
        <v>Deepak Saxena</v>
      </c>
      <c r="D192" s="7" t="str">
        <f t="shared" ref="D192:D253" si="38">PROPER(TRIM(C192))</f>
        <v>Deepak Saxena</v>
      </c>
      <c r="E192" s="7" t="s">
        <v>68</v>
      </c>
      <c r="F192" s="7" t="s">
        <v>133</v>
      </c>
      <c r="G192" s="7" t="s">
        <v>69</v>
      </c>
      <c r="H192" s="7" t="str">
        <f>_xlfn.XLOOKUP(G192,Lookup_Tables!$A$4:$A$9,Lookup_Tables!$C$4:$C$9,"Not Found",0)</f>
        <v>Vivek Malhotra</v>
      </c>
      <c r="I192" s="7" t="s">
        <v>175</v>
      </c>
      <c r="J192" s="7" t="s">
        <v>867</v>
      </c>
      <c r="K192" s="7" t="str">
        <f t="shared" ref="K192:K253" si="39">IF(J192="","No Email ID",SUBSTITUTE(J192,"companycom","company.com"))</f>
        <v>rohan.trivedi@company.com</v>
      </c>
      <c r="L192" s="7" t="s">
        <v>868</v>
      </c>
      <c r="M192" s="7" t="str">
        <f t="shared" si="36"/>
        <v>+91-2327523682</v>
      </c>
      <c r="N192" s="7" t="str" cm="1">
        <f t="array" ref="N192">_xlfn.IFS(M192="","Incomplete",LEN(M192)&lt;10,"Invalid",AND(LEN(M192) =10,LEFT(M192,4) &lt;&gt;"+91-"),"+91-"&amp;M192,TRUE,M192)</f>
        <v>+91-2327523682</v>
      </c>
      <c r="O192" s="8" t="s">
        <v>869</v>
      </c>
      <c r="P192" s="14"/>
      <c r="Q192" s="14" t="str">
        <f t="shared" si="31"/>
        <v>Missing</v>
      </c>
      <c r="R192" s="14" t="str" cm="1">
        <f t="array" ref="R192">_xlfn.IFS(OR(Q192="Missing",Q192="N/A",Q192="Still Employed"),Q192,ISNUMBER(SEARCH(",",Q192)),DATEVALUE(Q192),AND(ISNUMBER(SEARCH("-",Q192)),ISNUMBER(VALUE(LEFT(Q192,4)))),DATE(LEFT(Q192,4),MID(Q192,6,2),RIGHT(Q192,2)),ISNUMBER(SEARCH("-",Q192)),DATE(RIGHT(Q192,4),MID(Q192,4,2),LEFT(Q192,2)),ISNUMBER(SEARCH("/",Q192)),DATE(RIGHT(Q192,4),MID(Q192,4,2),LEFT(Q192,2)),TRUE,"Check Manually")</f>
        <v>Missing</v>
      </c>
      <c r="S192" s="31" t="str">
        <f t="shared" ca="1" si="32"/>
        <v>8 Years, 4 Months, 18 Days</v>
      </c>
      <c r="T192" s="31">
        <f t="shared" ca="1" si="33"/>
        <v>3061.76</v>
      </c>
      <c r="U192" s="31" t="str" cm="1">
        <f t="array" ref="U192">_xlfn.IFS(OR(R192="Missing",R192="N/A",R192="Still Employed"),"Unknown",ISNUMBER(R192),"Exited",TRUE,"Unknown")</f>
        <v>Unknown</v>
      </c>
      <c r="V192" s="31" t="str">
        <f t="shared" si="34"/>
        <v/>
      </c>
      <c r="W192" s="14" t="str">
        <f t="shared" si="35"/>
        <v>Active</v>
      </c>
      <c r="X192" s="19">
        <v>53874</v>
      </c>
      <c r="Y192" s="18" t="str">
        <f t="shared" ref="Y192:Y253" si="40">TRIM(X192)</f>
        <v>53874</v>
      </c>
      <c r="Z192" s="22" t="str" cm="1">
        <f t="array" ref="Z192">_xlfn.IFS(Y192="","0",LEFT(Y192,5)="",Y192,LEFT(Y192,1)="₹",REPLACE(Y192,1,1,""),LEFT(Y192,4)="Rs. ",REPLACE(Y192,1,4,""),TRUE,Y192)</f>
        <v>53874</v>
      </c>
      <c r="AA192" s="22" t="str">
        <f t="shared" ref="AA192:AA253" si="41">SUBSTITUTE(Z192,",","")</f>
        <v>53874</v>
      </c>
      <c r="AB192" s="7" t="s">
        <v>144</v>
      </c>
      <c r="AC192" s="7" t="str">
        <f t="shared" ref="AC192:AC253" si="42">IF(AB192="","Not Rated",AB192)</f>
        <v>Poor</v>
      </c>
      <c r="AD192" s="7">
        <v>25</v>
      </c>
      <c r="AE192" cm="1">
        <f t="array" ref="AE192">_xlfn.IFS(AD192="",0,AD192&lt;0,"Negate Leave",AD192&gt;=0,AD192)</f>
        <v>25</v>
      </c>
    </row>
    <row r="193" spans="1:31" x14ac:dyDescent="0.3">
      <c r="A193" s="7">
        <v>5059</v>
      </c>
      <c r="B193" s="7" t="s">
        <v>866</v>
      </c>
      <c r="C193" s="7" t="str">
        <f t="shared" si="37"/>
        <v>Rohan Trivedi</v>
      </c>
      <c r="D193" s="7" t="str">
        <f t="shared" si="38"/>
        <v>Rohan Trivedi</v>
      </c>
      <c r="E193" s="7" t="s">
        <v>61</v>
      </c>
      <c r="F193" s="7" t="s">
        <v>219</v>
      </c>
      <c r="G193" s="7" t="s">
        <v>46</v>
      </c>
      <c r="H193" s="7" t="str">
        <f>_xlfn.XLOOKUP(G193,Lookup_Tables!$A$4:$A$9,Lookup_Tables!$C$4:$C$9,"Not Found",0)</f>
        <v>Faisal Ahmed</v>
      </c>
      <c r="I193" s="7" t="s">
        <v>62</v>
      </c>
      <c r="J193" s="7" t="s">
        <v>871</v>
      </c>
      <c r="K193" s="7" t="str">
        <f t="shared" si="39"/>
        <v>neha.shah@company.com</v>
      </c>
      <c r="L193" s="7" t="s">
        <v>872</v>
      </c>
      <c r="M193" s="7" t="str">
        <f t="shared" si="36"/>
        <v>1977458805</v>
      </c>
      <c r="N193" s="7" t="str" cm="1">
        <f t="array" ref="N193">_xlfn.IFS(M193="","Incomplete",LEN(M193)&lt;10,"Invalid",AND(LEN(M193) =10,LEFT(M193,4) &lt;&gt;"+91-"),"+91-"&amp;M193,TRUE,M193)</f>
        <v>+91-1977458805</v>
      </c>
      <c r="O193" s="8" t="s">
        <v>873</v>
      </c>
      <c r="P193" s="14" t="s">
        <v>114</v>
      </c>
      <c r="Q193" s="14" t="str">
        <f t="shared" si="31"/>
        <v>Still Employed</v>
      </c>
      <c r="R193" s="14" t="str" cm="1">
        <f t="array" ref="R193">_xlfn.IFS(OR(Q193="Missing",Q193="N/A",Q193="Still Employed"),Q193,ISNUMBER(SEARCH(",",Q193)),DATEVALUE(Q193),AND(ISNUMBER(SEARCH("-",Q193)),ISNUMBER(VALUE(LEFT(Q193,4)))),DATE(LEFT(Q193,4),MID(Q193,6,2),RIGHT(Q193,2)),ISNUMBER(SEARCH("-",Q193)),DATE(RIGHT(Q193,4),MID(Q193,4,2),LEFT(Q193,2)),ISNUMBER(SEARCH("/",Q193)),DATE(RIGHT(Q193,4),MID(Q193,4,2),LEFT(Q193,2)),TRUE,"Check Manually")</f>
        <v>Still Employed</v>
      </c>
      <c r="S193" s="31" t="str">
        <f t="shared" ca="1" si="32"/>
        <v>6 Years, 2 Months, 3 Days</v>
      </c>
      <c r="T193" s="31">
        <f t="shared" ca="1" si="33"/>
        <v>2255.38</v>
      </c>
      <c r="U193" s="31" t="str" cm="1">
        <f t="array" ref="U193">_xlfn.IFS(OR(R193="Missing",R193="N/A",R193="Still Employed"),"Unknown",ISNUMBER(R193),"Exited",TRUE,"Unknown")</f>
        <v>Unknown</v>
      </c>
      <c r="V193" s="31" t="str">
        <f t="shared" si="34"/>
        <v/>
      </c>
      <c r="W193" s="14" t="str">
        <f t="shared" si="35"/>
        <v>Active</v>
      </c>
      <c r="X193" s="19" t="s">
        <v>874</v>
      </c>
      <c r="Y193" s="18" t="str">
        <f t="shared" si="40"/>
        <v>Rs. 124,726</v>
      </c>
      <c r="Z193" s="22" t="str" cm="1">
        <f t="array" ref="Z193">_xlfn.IFS(Y193="","0",LEFT(Y193,5)="",Y193,LEFT(Y193,1)="₹",REPLACE(Y193,1,1,""),LEFT(Y193,4)="Rs. ",REPLACE(Y193,1,4,""),TRUE,Y193)</f>
        <v>124,726</v>
      </c>
      <c r="AA193" s="22" t="str">
        <f t="shared" si="41"/>
        <v>124726</v>
      </c>
      <c r="AB193" s="7" t="s">
        <v>95</v>
      </c>
      <c r="AC193" s="7" t="str">
        <f t="shared" si="42"/>
        <v>Average</v>
      </c>
      <c r="AD193" s="7">
        <v>12</v>
      </c>
      <c r="AE193" cm="1">
        <f t="array" ref="AE193">_xlfn.IFS(AD193="",0,AD193&lt;0,"Negate Leave",AD193&gt;=0,AD193)</f>
        <v>12</v>
      </c>
    </row>
    <row r="194" spans="1:31" x14ac:dyDescent="0.3">
      <c r="A194" s="7">
        <v>5255</v>
      </c>
      <c r="B194" s="7" t="s">
        <v>870</v>
      </c>
      <c r="C194" s="7" t="str">
        <f t="shared" si="37"/>
        <v>NEHA SHAH</v>
      </c>
      <c r="D194" s="7" t="str">
        <f t="shared" si="38"/>
        <v>Neha Shah</v>
      </c>
      <c r="E194" s="7" t="s">
        <v>68</v>
      </c>
      <c r="F194" s="7" t="s">
        <v>53</v>
      </c>
      <c r="G194" s="7" t="s">
        <v>54</v>
      </c>
      <c r="H194" s="7" t="str">
        <f>_xlfn.XLOOKUP(G194,Lookup_Tables!$A$4:$A$9,Lookup_Tables!$C$4:$C$9,"Not Found",0)</f>
        <v>Leela Iyer</v>
      </c>
      <c r="I194" s="7" t="s">
        <v>110</v>
      </c>
      <c r="J194" s="7" t="s">
        <v>876</v>
      </c>
      <c r="K194" s="7" t="str">
        <f t="shared" si="39"/>
        <v>neha.gupta@company.com</v>
      </c>
      <c r="L194" s="7" t="s">
        <v>877</v>
      </c>
      <c r="M194" s="7" t="str">
        <f t="shared" si="36"/>
        <v>9720510520</v>
      </c>
      <c r="N194" s="7" t="str" cm="1">
        <f t="array" ref="N194">_xlfn.IFS(M194="","Incomplete",LEN(M194)&lt;10,"Invalid",AND(LEN(M194) =10,LEFT(M194,4) &lt;&gt;"+91-"),"+91-"&amp;M194,TRUE,M194)</f>
        <v>+91-9720510520</v>
      </c>
      <c r="O194" s="8" t="s">
        <v>878</v>
      </c>
      <c r="P194" s="14" t="s">
        <v>114</v>
      </c>
      <c r="Q194" s="14" t="str">
        <f t="shared" ref="Q194:Q257" si="43">IF(P194="","Missing",P194)</f>
        <v>Still Employed</v>
      </c>
      <c r="R194" s="14" t="str" cm="1">
        <f t="array" ref="R194">_xlfn.IFS(OR(Q194="Missing",Q194="N/A",Q194="Still Employed"),Q194,ISNUMBER(SEARCH(",",Q194)),DATEVALUE(Q194),AND(ISNUMBER(SEARCH("-",Q194)),ISNUMBER(VALUE(LEFT(Q194,4)))),DATE(LEFT(Q194,4),MID(Q194,6,2),RIGHT(Q194,2)),ISNUMBER(SEARCH("-",Q194)),DATE(RIGHT(Q194,4),MID(Q194,4,2),LEFT(Q194,2)),ISNUMBER(SEARCH("/",Q194)),DATE(RIGHT(Q194,4),MID(Q194,4,2),LEFT(Q194,2)),TRUE,"Check Manually")</f>
        <v>Still Employed</v>
      </c>
      <c r="S194" s="31" t="str">
        <f t="shared" ca="1" si="32"/>
        <v>8 Years, 2 Months, 15 Days</v>
      </c>
      <c r="T194" s="31">
        <f t="shared" ca="1" si="33"/>
        <v>2997.88</v>
      </c>
      <c r="U194" s="31" t="str" cm="1">
        <f t="array" ref="U194">_xlfn.IFS(OR(R194="Missing",R194="N/A",R194="Still Employed"),"Unknown",ISNUMBER(R194),"Exited",TRUE,"Unknown")</f>
        <v>Unknown</v>
      </c>
      <c r="V194" s="31" t="str">
        <f t="shared" si="34"/>
        <v/>
      </c>
      <c r="W194" s="14" t="str">
        <f t="shared" si="35"/>
        <v>Active</v>
      </c>
      <c r="X194" s="19">
        <v>159874</v>
      </c>
      <c r="Y194" s="18" t="str">
        <f t="shared" si="40"/>
        <v>159874</v>
      </c>
      <c r="Z194" s="22" t="str" cm="1">
        <f t="array" ref="Z194">_xlfn.IFS(Y194="","0",LEFT(Y194,5)="",Y194,LEFT(Y194,1)="₹",REPLACE(Y194,1,1,""),LEFT(Y194,4)="Rs. ",REPLACE(Y194,1,4,""),TRUE,Y194)</f>
        <v>159874</v>
      </c>
      <c r="AA194" s="22" t="str">
        <f t="shared" si="41"/>
        <v>159874</v>
      </c>
      <c r="AB194" s="7" t="s">
        <v>89</v>
      </c>
      <c r="AC194" s="7" t="str">
        <f t="shared" si="42"/>
        <v>Below Average</v>
      </c>
      <c r="AD194" s="7">
        <v>23</v>
      </c>
      <c r="AE194" cm="1">
        <f t="array" ref="AE194">_xlfn.IFS(AD194="",0,AD194&lt;0,"Negate Leave",AD194&gt;=0,AD194)</f>
        <v>23</v>
      </c>
    </row>
    <row r="195" spans="1:31" x14ac:dyDescent="0.3">
      <c r="A195" s="7">
        <v>5270</v>
      </c>
      <c r="B195" s="7" t="s">
        <v>875</v>
      </c>
      <c r="C195" s="7" t="str">
        <f t="shared" si="37"/>
        <v>neha gupta</v>
      </c>
      <c r="D195" s="7" t="str">
        <f t="shared" si="38"/>
        <v>Neha Gupta</v>
      </c>
      <c r="E195" s="7" t="s">
        <v>84</v>
      </c>
      <c r="F195" s="7" t="s">
        <v>151</v>
      </c>
      <c r="G195" s="7" t="s">
        <v>76</v>
      </c>
      <c r="H195" s="7" t="str">
        <f>_xlfn.XLOOKUP(G195,Lookup_Tables!$A$4:$A$9,Lookup_Tables!$C$4:$C$9,"Not Found",0)</f>
        <v>Ananya Sen</v>
      </c>
      <c r="I195" s="7" t="s">
        <v>175</v>
      </c>
      <c r="J195" s="7" t="s">
        <v>880</v>
      </c>
      <c r="K195" s="7" t="str">
        <f t="shared" si="39"/>
        <v>varun.joshi@company.com</v>
      </c>
      <c r="L195" s="7" t="s">
        <v>881</v>
      </c>
      <c r="M195" s="7" t="str">
        <f t="shared" si="36"/>
        <v>1803250854</v>
      </c>
      <c r="N195" s="7" t="str" cm="1">
        <f t="array" ref="N195">_xlfn.IFS(M195="","Incomplete",LEN(M195)&lt;10,"Invalid",AND(LEN(M195) =10,LEFT(M195,4) &lt;&gt;"+91-"),"+91-"&amp;M195,TRUE,M195)</f>
        <v>+91-1803250854</v>
      </c>
      <c r="O195" s="8" t="s">
        <v>882</v>
      </c>
      <c r="P195" s="14" t="s">
        <v>126</v>
      </c>
      <c r="Q195" s="14" t="str">
        <f t="shared" si="43"/>
        <v>N/A</v>
      </c>
      <c r="R195" s="14" t="str" cm="1">
        <f t="array" ref="R195">_xlfn.IFS(OR(Q195="Missing",Q195="N/A",Q195="Still Employed"),Q195,ISNUMBER(SEARCH(",",Q195)),DATEVALUE(Q195),AND(ISNUMBER(SEARCH("-",Q195)),ISNUMBER(VALUE(LEFT(Q195,4)))),DATE(LEFT(Q195,4),MID(Q195,6,2),RIGHT(Q195,2)),ISNUMBER(SEARCH("-",Q195)),DATE(RIGHT(Q195,4),MID(Q195,4,2),LEFT(Q195,2)),ISNUMBER(SEARCH("/",Q195)),DATE(RIGHT(Q195,4),MID(Q195,4,2),LEFT(Q195,2)),TRUE,"Check Manually")</f>
        <v>N/A</v>
      </c>
      <c r="S195" s="31" t="str">
        <f t="shared" ref="S195:S258" ca="1" si="44">IF(OR(R195="Missing",R195="N/A",R195="Still Employed"),DATEDIF(O195,TODAY(),"y") &amp;" Years, " &amp;DATEDIF(O195,TODAY(),"ym") &amp; " Months, "&amp;DATEDIF(O195,TODAY(),"md") &amp;" Days",DATEDIF(O195,R195,"y") &amp;" Years, " &amp;DATEDIF(O195,R195,"ym") &amp; " Months, "&amp;DATEDIF(O195,R195,"md") &amp;" Days")</f>
        <v>3 Years, 5 Months, 10 Days</v>
      </c>
      <c r="T195" s="31">
        <f t="shared" ref="T195:T258" ca="1" si="45">VALUE(LEFT(S195,FIND(" Years",S195)-1))*365.25
+ VALUE(MID(S195,FIND(", ",S195)+2,FIND(" Months",S195)-FIND(", ",S195)-2))*30.44
+ VALUE(MID(S195,FIND("Months, ",S195)+8,FIND(" Days",S195)-FIND("Months, ",S195)-8))</f>
        <v>1257.95</v>
      </c>
      <c r="U195" s="31" t="str" cm="1">
        <f t="array" ref="U195">_xlfn.IFS(OR(R195="Missing",R195="N/A",R195="Still Employed"),"Unknown",ISNUMBER(R195),"Exited",TRUE,"Unknown")</f>
        <v>Unknown</v>
      </c>
      <c r="V195" s="31" t="str">
        <f t="shared" ref="V195:V258" si="46">IF(U195="Exited",YEAR(R195),"")</f>
        <v/>
      </c>
      <c r="W195" s="14" t="str">
        <f t="shared" ref="W195:W258" si="47">IF(OR(R195="Missing",R195="N/A",R195="Still Employed"),"Active","Exited")</f>
        <v>Active</v>
      </c>
      <c r="X195" s="19" t="s">
        <v>883</v>
      </c>
      <c r="Y195" s="18" t="str">
        <f t="shared" si="40"/>
        <v>₹151,482</v>
      </c>
      <c r="Z195" s="22" t="str" cm="1">
        <f t="array" ref="Z195">_xlfn.IFS(Y195="","0",LEFT(Y195,5)="",Y195,LEFT(Y195,1)="₹",REPLACE(Y195,1,1,""),LEFT(Y195,4)="Rs. ",REPLACE(Y195,1,4,""),TRUE,Y195)</f>
        <v>151,482</v>
      </c>
      <c r="AA195" s="22" t="str">
        <f t="shared" si="41"/>
        <v>151482</v>
      </c>
      <c r="AB195" s="7" t="s">
        <v>127</v>
      </c>
      <c r="AC195" s="7" t="str">
        <f t="shared" si="42"/>
        <v>Good</v>
      </c>
      <c r="AD195" s="7">
        <v>-3</v>
      </c>
      <c r="AE195" t="str" cm="1">
        <f t="array" ref="AE195">_xlfn.IFS(AD195="",0,AD195&lt;0,"Negate Leave",AD195&gt;=0,AD195)</f>
        <v>Negate Leave</v>
      </c>
    </row>
    <row r="196" spans="1:31" x14ac:dyDescent="0.3">
      <c r="A196" s="7">
        <v>5335</v>
      </c>
      <c r="B196" s="7" t="s">
        <v>879</v>
      </c>
      <c r="C196" s="7" t="str">
        <f t="shared" si="37"/>
        <v>varun joshi</v>
      </c>
      <c r="D196" s="7" t="str">
        <f t="shared" si="38"/>
        <v>Varun Joshi</v>
      </c>
      <c r="E196" s="7" t="s">
        <v>68</v>
      </c>
      <c r="F196" s="7" t="s">
        <v>219</v>
      </c>
      <c r="G196" s="7" t="s">
        <v>46</v>
      </c>
      <c r="H196" s="7" t="str">
        <f>_xlfn.XLOOKUP(G196,Lookup_Tables!$A$4:$A$9,Lookup_Tables!$C$4:$C$9,"Not Found",0)</f>
        <v>Faisal Ahmed</v>
      </c>
      <c r="I196" s="7" t="s">
        <v>70</v>
      </c>
      <c r="J196" s="7" t="s">
        <v>885</v>
      </c>
      <c r="K196" s="7" t="str">
        <f t="shared" si="39"/>
        <v>simran.mehta@company.com</v>
      </c>
      <c r="L196" s="7" t="s">
        <v>886</v>
      </c>
      <c r="M196" s="7" t="str">
        <f t="shared" si="36"/>
        <v>2790559772</v>
      </c>
      <c r="N196" s="7" t="str" cm="1">
        <f t="array" ref="N196">_xlfn.IFS(M196="","Incomplete",LEN(M196)&lt;10,"Invalid",AND(LEN(M196) =10,LEFT(M196,4) &lt;&gt;"+91-"),"+91-"&amp;M196,TRUE,M196)</f>
        <v>+91-2790559772</v>
      </c>
      <c r="O196" s="8" t="s">
        <v>887</v>
      </c>
      <c r="P196" s="14" t="s">
        <v>888</v>
      </c>
      <c r="Q196" s="14" t="str">
        <f t="shared" si="43"/>
        <v>Jul 05, 2022</v>
      </c>
      <c r="R196" s="14" cm="1">
        <f t="array" ref="R196">_xlfn.IFS(OR(Q196="Missing",Q196="N/A",Q196="Still Employed"),Q196,ISNUMBER(SEARCH(",",Q196)),DATEVALUE(Q196),AND(ISNUMBER(SEARCH("-",Q196)),ISNUMBER(VALUE(LEFT(Q196,4)))),DATE(LEFT(Q196,4),MID(Q196,6,2),RIGHT(Q196,2)),ISNUMBER(SEARCH("-",Q196)),DATE(RIGHT(Q196,4),MID(Q196,4,2),LEFT(Q196,2)),ISNUMBER(SEARCH("/",Q196)),DATE(RIGHT(Q196,4),MID(Q196,4,2),LEFT(Q196,2)),TRUE,"Check Manually")</f>
        <v>44747</v>
      </c>
      <c r="S196" s="31" t="str">
        <f t="shared" ca="1" si="44"/>
        <v>4 Years, 4 Months, 3 Days</v>
      </c>
      <c r="T196" s="31">
        <f t="shared" ca="1" si="45"/>
        <v>1585.76</v>
      </c>
      <c r="U196" s="31" t="str" cm="1">
        <f t="array" ref="U196">_xlfn.IFS(OR(R196="Missing",R196="N/A",R196="Still Employed"),"Unknown",ISNUMBER(R196),"Exited",TRUE,"Unknown")</f>
        <v>Exited</v>
      </c>
      <c r="V196" s="31">
        <f t="shared" si="46"/>
        <v>2022</v>
      </c>
      <c r="W196" s="14" t="str">
        <f t="shared" si="47"/>
        <v>Exited</v>
      </c>
      <c r="X196" s="19"/>
      <c r="Y196" s="18" t="str">
        <f t="shared" si="40"/>
        <v/>
      </c>
      <c r="Z196" s="22" t="str" cm="1">
        <f t="array" ref="Z196">_xlfn.IFS(Y196="","0",LEFT(Y196,5)="",Y196,LEFT(Y196,1)="₹",REPLACE(Y196,1,1,""),LEFT(Y196,4)="Rs. ",REPLACE(Y196,1,4,""),TRUE,Y196)</f>
        <v>0</v>
      </c>
      <c r="AA196" s="22" t="str">
        <f t="shared" si="41"/>
        <v>0</v>
      </c>
      <c r="AB196" s="7" t="s">
        <v>95</v>
      </c>
      <c r="AC196" s="7" t="str">
        <f t="shared" si="42"/>
        <v>Average</v>
      </c>
      <c r="AD196" s="7">
        <v>2</v>
      </c>
      <c r="AE196" cm="1">
        <f t="array" ref="AE196">_xlfn.IFS(AD196="",0,AD196&lt;0,"Negate Leave",AD196&gt;=0,AD196)</f>
        <v>2</v>
      </c>
    </row>
    <row r="197" spans="1:31" x14ac:dyDescent="0.3">
      <c r="A197" s="7">
        <v>5066</v>
      </c>
      <c r="B197" s="7" t="s">
        <v>884</v>
      </c>
      <c r="C197" s="7" t="str">
        <f t="shared" si="37"/>
        <v>Simran Mehta</v>
      </c>
      <c r="D197" s="7" t="str">
        <f t="shared" si="38"/>
        <v>Simran Mehta</v>
      </c>
      <c r="E197" s="7" t="s">
        <v>68</v>
      </c>
      <c r="F197" s="7" t="s">
        <v>133</v>
      </c>
      <c r="G197" s="7" t="s">
        <v>69</v>
      </c>
      <c r="H197" s="7" t="str">
        <f>_xlfn.XLOOKUP(G197,Lookup_Tables!$A$4:$A$9,Lookup_Tables!$C$4:$C$9,"Not Found",0)</f>
        <v>Vivek Malhotra</v>
      </c>
      <c r="I197" s="7" t="s">
        <v>62</v>
      </c>
      <c r="J197" s="7" t="s">
        <v>890</v>
      </c>
      <c r="K197" s="7" t="str">
        <f t="shared" si="39"/>
        <v>divya.agarwal@company.com</v>
      </c>
      <c r="L197" s="7" t="s">
        <v>891</v>
      </c>
      <c r="M197" s="7" t="str">
        <f t="shared" si="36"/>
        <v>77061908</v>
      </c>
      <c r="N197" s="7" t="str" cm="1">
        <f t="array" ref="N197">_xlfn.IFS(M197="","Incomplete",LEN(M197)&lt;10,"Invalid",AND(LEN(M197) =10,LEFT(M197,4) &lt;&gt;"+91-"),"+91-"&amp;M197,TRUE,M197)</f>
        <v>Invalid</v>
      </c>
      <c r="O197" s="8" t="s">
        <v>892</v>
      </c>
      <c r="P197" s="14" t="s">
        <v>126</v>
      </c>
      <c r="Q197" s="14" t="str">
        <f t="shared" si="43"/>
        <v>N/A</v>
      </c>
      <c r="R197" s="14" t="str" cm="1">
        <f t="array" ref="R197">_xlfn.IFS(OR(Q197="Missing",Q197="N/A",Q197="Still Employed"),Q197,ISNUMBER(SEARCH(",",Q197)),DATEVALUE(Q197),AND(ISNUMBER(SEARCH("-",Q197)),ISNUMBER(VALUE(LEFT(Q197,4)))),DATE(LEFT(Q197,4),MID(Q197,6,2),RIGHT(Q197,2)),ISNUMBER(SEARCH("-",Q197)),DATE(RIGHT(Q197,4),MID(Q197,4,2),LEFT(Q197,2)),ISNUMBER(SEARCH("/",Q197)),DATE(RIGHT(Q197,4),MID(Q197,4,2),LEFT(Q197,2)),TRUE,"Check Manually")</f>
        <v>N/A</v>
      </c>
      <c r="S197" s="31" t="str">
        <f t="shared" ca="1" si="44"/>
        <v>6 Years, 0 Months, 0 Days</v>
      </c>
      <c r="T197" s="31">
        <f t="shared" ca="1" si="45"/>
        <v>2191.5</v>
      </c>
      <c r="U197" s="31" t="str" cm="1">
        <f t="array" ref="U197">_xlfn.IFS(OR(R197="Missing",R197="N/A",R197="Still Employed"),"Unknown",ISNUMBER(R197),"Exited",TRUE,"Unknown")</f>
        <v>Unknown</v>
      </c>
      <c r="V197" s="31" t="str">
        <f t="shared" si="46"/>
        <v/>
      </c>
      <c r="W197" s="14" t="str">
        <f t="shared" si="47"/>
        <v>Active</v>
      </c>
      <c r="X197" s="19"/>
      <c r="Y197" s="18" t="str">
        <f t="shared" si="40"/>
        <v/>
      </c>
      <c r="Z197" s="22" t="str" cm="1">
        <f t="array" ref="Z197">_xlfn.IFS(Y197="","0",LEFT(Y197,5)="",Y197,LEFT(Y197,1)="₹",REPLACE(Y197,1,1,""),LEFT(Y197,4)="Rs. ",REPLACE(Y197,1,4,""),TRUE,Y197)</f>
        <v>0</v>
      </c>
      <c r="AA197" s="22" t="str">
        <f t="shared" si="41"/>
        <v>0</v>
      </c>
      <c r="AB197" s="7" t="s">
        <v>89</v>
      </c>
      <c r="AC197" s="7" t="str">
        <f t="shared" si="42"/>
        <v>Below Average</v>
      </c>
      <c r="AD197" s="7">
        <v>24</v>
      </c>
      <c r="AE197" cm="1">
        <f t="array" ref="AE197">_xlfn.IFS(AD197="",0,AD197&lt;0,"Negate Leave",AD197&gt;=0,AD197)</f>
        <v>24</v>
      </c>
    </row>
    <row r="198" spans="1:31" x14ac:dyDescent="0.3">
      <c r="A198" s="7">
        <v>5284</v>
      </c>
      <c r="B198" s="7" t="s">
        <v>889</v>
      </c>
      <c r="C198" s="7" t="str">
        <f t="shared" si="37"/>
        <v>DIVYA AGARWAL</v>
      </c>
      <c r="D198" s="7" t="str">
        <f t="shared" si="38"/>
        <v>Divya Agarwal</v>
      </c>
      <c r="E198" s="7" t="s">
        <v>68</v>
      </c>
      <c r="F198" s="7" t="s">
        <v>53</v>
      </c>
      <c r="G198" s="7" t="s">
        <v>54</v>
      </c>
      <c r="H198" s="7" t="str">
        <f>_xlfn.XLOOKUP(G198,Lookup_Tables!$A$4:$A$9,Lookup_Tables!$C$4:$C$9,"Not Found",0)</f>
        <v>Leela Iyer</v>
      </c>
      <c r="I198" s="7" t="s">
        <v>85</v>
      </c>
      <c r="J198" s="7" t="s">
        <v>894</v>
      </c>
      <c r="K198" s="7" t="str">
        <f t="shared" si="39"/>
        <v>arjun.gupta@company.com</v>
      </c>
      <c r="L198" s="7" t="s">
        <v>895</v>
      </c>
      <c r="M198" s="7" t="str">
        <f t="shared" si="36"/>
        <v>8624618957</v>
      </c>
      <c r="N198" s="7" t="str" cm="1">
        <f t="array" ref="N198">_xlfn.IFS(M198="","Incomplete",LEN(M198)&lt;10,"Invalid",AND(LEN(M198) =10,LEFT(M198,4) &lt;&gt;"+91-"),"+91-"&amp;M198,TRUE,M198)</f>
        <v>+91-8624618957</v>
      </c>
      <c r="O198" s="8" t="s">
        <v>896</v>
      </c>
      <c r="P198" s="14"/>
      <c r="Q198" s="14" t="str">
        <f t="shared" si="43"/>
        <v>Missing</v>
      </c>
      <c r="R198" s="14" t="str" cm="1">
        <f t="array" ref="R198">_xlfn.IFS(OR(Q198="Missing",Q198="N/A",Q198="Still Employed"),Q198,ISNUMBER(SEARCH(",",Q198)),DATEVALUE(Q198),AND(ISNUMBER(SEARCH("-",Q198)),ISNUMBER(VALUE(LEFT(Q198,4)))),DATE(LEFT(Q198,4),MID(Q198,6,2),RIGHT(Q198,2)),ISNUMBER(SEARCH("-",Q198)),DATE(RIGHT(Q198,4),MID(Q198,4,2),LEFT(Q198,2)),ISNUMBER(SEARCH("/",Q198)),DATE(RIGHT(Q198,4),MID(Q198,4,2),LEFT(Q198,2)),TRUE,"Check Manually")</f>
        <v>Missing</v>
      </c>
      <c r="S198" s="31" t="str">
        <f t="shared" ca="1" si="44"/>
        <v>6 Years, 7 Months, 1 Days</v>
      </c>
      <c r="T198" s="31">
        <f t="shared" ca="1" si="45"/>
        <v>2405.58</v>
      </c>
      <c r="U198" s="31" t="str" cm="1">
        <f t="array" ref="U198">_xlfn.IFS(OR(R198="Missing",R198="N/A",R198="Still Employed"),"Unknown",ISNUMBER(R198),"Exited",TRUE,"Unknown")</f>
        <v>Unknown</v>
      </c>
      <c r="V198" s="31" t="str">
        <f t="shared" si="46"/>
        <v/>
      </c>
      <c r="W198" s="14" t="str">
        <f t="shared" si="47"/>
        <v>Active</v>
      </c>
      <c r="X198" s="19" t="s">
        <v>897</v>
      </c>
      <c r="Y198" s="18" t="str">
        <f t="shared" si="40"/>
        <v>₹100,748</v>
      </c>
      <c r="Z198" s="22" t="str" cm="1">
        <f t="array" ref="Z198">_xlfn.IFS(Y198="","0",LEFT(Y198,5)="",Y198,LEFT(Y198,1)="₹",REPLACE(Y198,1,1,""),LEFT(Y198,4)="Rs. ",REPLACE(Y198,1,4,""),TRUE,Y198)</f>
        <v>100,748</v>
      </c>
      <c r="AA198" s="22" t="str">
        <f t="shared" si="41"/>
        <v>100748</v>
      </c>
      <c r="AB198" s="7" t="s">
        <v>95</v>
      </c>
      <c r="AC198" s="7" t="str">
        <f t="shared" si="42"/>
        <v>Average</v>
      </c>
      <c r="AD198" s="7">
        <v>17</v>
      </c>
      <c r="AE198" cm="1">
        <f t="array" ref="AE198">_xlfn.IFS(AD198="",0,AD198&lt;0,"Negate Leave",AD198&gt;=0,AD198)</f>
        <v>17</v>
      </c>
    </row>
    <row r="199" spans="1:31" x14ac:dyDescent="0.3">
      <c r="A199" s="7">
        <v>5141</v>
      </c>
      <c r="B199" s="7" t="s">
        <v>893</v>
      </c>
      <c r="C199" s="7" t="str">
        <f t="shared" si="37"/>
        <v>Arjun  Gupta</v>
      </c>
      <c r="D199" s="7" t="str">
        <f t="shared" si="38"/>
        <v>Arjun Gupta</v>
      </c>
      <c r="E199" s="7" t="s">
        <v>61</v>
      </c>
      <c r="F199" s="7" t="s">
        <v>53</v>
      </c>
      <c r="G199" s="7" t="s">
        <v>54</v>
      </c>
      <c r="H199" s="7" t="str">
        <f>_xlfn.XLOOKUP(G199,Lookup_Tables!$A$4:$A$9,Lookup_Tables!$C$4:$C$9,"Not Found",0)</f>
        <v>Leela Iyer</v>
      </c>
      <c r="I199" s="7" t="s">
        <v>47</v>
      </c>
      <c r="J199" s="7" t="s">
        <v>899</v>
      </c>
      <c r="K199" s="7" t="str">
        <f t="shared" si="39"/>
        <v>vikram.naidu@company.com</v>
      </c>
      <c r="L199" s="7" t="s">
        <v>900</v>
      </c>
      <c r="M199" s="7" t="str">
        <f t="shared" si="36"/>
        <v>3966579925</v>
      </c>
      <c r="N199" s="7" t="str" cm="1">
        <f t="array" ref="N199">_xlfn.IFS(M199="","Incomplete",LEN(M199)&lt;10,"Invalid",AND(LEN(M199) =10,LEFT(M199,4) &lt;&gt;"+91-"),"+91-"&amp;M199,TRUE,M199)</f>
        <v>+91-3966579925</v>
      </c>
      <c r="O199" s="8" t="s">
        <v>901</v>
      </c>
      <c r="P199" s="14" t="s">
        <v>126</v>
      </c>
      <c r="Q199" s="14" t="str">
        <f t="shared" si="43"/>
        <v>N/A</v>
      </c>
      <c r="R199" s="14" t="str" cm="1">
        <f t="array" ref="R199">_xlfn.IFS(OR(Q199="Missing",Q199="N/A",Q199="Still Employed"),Q199,ISNUMBER(SEARCH(",",Q199)),DATEVALUE(Q199),AND(ISNUMBER(SEARCH("-",Q199)),ISNUMBER(VALUE(LEFT(Q199,4)))),DATE(LEFT(Q199,4),MID(Q199,6,2),RIGHT(Q199,2)),ISNUMBER(SEARCH("-",Q199)),DATE(RIGHT(Q199,4),MID(Q199,4,2),LEFT(Q199,2)),ISNUMBER(SEARCH("/",Q199)),DATE(RIGHT(Q199,4),MID(Q199,4,2),LEFT(Q199,2)),TRUE,"Check Manually")</f>
        <v>N/A</v>
      </c>
      <c r="S199" s="31" t="str">
        <f t="shared" ca="1" si="44"/>
        <v>8 Years, 6 Months, 2 Days</v>
      </c>
      <c r="T199" s="31">
        <f t="shared" ca="1" si="45"/>
        <v>3106.64</v>
      </c>
      <c r="U199" s="31" t="str" cm="1">
        <f t="array" ref="U199">_xlfn.IFS(OR(R199="Missing",R199="N/A",R199="Still Employed"),"Unknown",ISNUMBER(R199),"Exited",TRUE,"Unknown")</f>
        <v>Unknown</v>
      </c>
      <c r="V199" s="31" t="str">
        <f t="shared" si="46"/>
        <v/>
      </c>
      <c r="W199" s="14" t="str">
        <f t="shared" si="47"/>
        <v>Active</v>
      </c>
      <c r="X199" s="19">
        <v>169961</v>
      </c>
      <c r="Y199" s="18" t="str">
        <f t="shared" si="40"/>
        <v>169961</v>
      </c>
      <c r="Z199" s="22" t="str" cm="1">
        <f t="array" ref="Z199">_xlfn.IFS(Y199="","0",LEFT(Y199,5)="",Y199,LEFT(Y199,1)="₹",REPLACE(Y199,1,1,""),LEFT(Y199,4)="Rs. ",REPLACE(Y199,1,4,""),TRUE,Y199)</f>
        <v>169961</v>
      </c>
      <c r="AA199" s="22" t="str">
        <f t="shared" si="41"/>
        <v>169961</v>
      </c>
      <c r="AB199" s="7" t="s">
        <v>127</v>
      </c>
      <c r="AC199" s="7" t="str">
        <f t="shared" si="42"/>
        <v>Good</v>
      </c>
      <c r="AD199" s="7">
        <v>22</v>
      </c>
      <c r="AE199" cm="1">
        <f t="array" ref="AE199">_xlfn.IFS(AD199="",0,AD199&lt;0,"Negate Leave",AD199&gt;=0,AD199)</f>
        <v>22</v>
      </c>
    </row>
    <row r="200" spans="1:31" x14ac:dyDescent="0.3">
      <c r="A200" s="7">
        <v>5194</v>
      </c>
      <c r="B200" s="7" t="s">
        <v>898</v>
      </c>
      <c r="C200" s="7" t="str">
        <f t="shared" si="37"/>
        <v>Vikram Naidu</v>
      </c>
      <c r="D200" s="7" t="str">
        <f t="shared" si="38"/>
        <v>Vikram Naidu</v>
      </c>
      <c r="E200" s="7" t="s">
        <v>61</v>
      </c>
      <c r="F200" s="7" t="s">
        <v>133</v>
      </c>
      <c r="G200" s="7" t="s">
        <v>69</v>
      </c>
      <c r="H200" s="7" t="str">
        <f>_xlfn.XLOOKUP(G200,Lookup_Tables!$A$4:$A$9,Lookup_Tables!$C$4:$C$9,"Not Found",0)</f>
        <v>Vivek Malhotra</v>
      </c>
      <c r="I200" s="7" t="s">
        <v>85</v>
      </c>
      <c r="J200" s="7" t="s">
        <v>903</v>
      </c>
      <c r="K200" s="7" t="str">
        <f t="shared" si="39"/>
        <v>rohan.gupta@company.com</v>
      </c>
      <c r="L200" s="7" t="s">
        <v>904</v>
      </c>
      <c r="M200" s="7" t="str">
        <f t="shared" si="36"/>
        <v>1721239535</v>
      </c>
      <c r="N200" s="7" t="str" cm="1">
        <f t="array" ref="N200">_xlfn.IFS(M200="","Incomplete",LEN(M200)&lt;10,"Invalid",AND(LEN(M200) =10,LEFT(M200,4) &lt;&gt;"+91-"),"+91-"&amp;M200,TRUE,M200)</f>
        <v>+91-1721239535</v>
      </c>
      <c r="O200" s="8" t="s">
        <v>905</v>
      </c>
      <c r="P200" s="14"/>
      <c r="Q200" s="14" t="str">
        <f t="shared" si="43"/>
        <v>Missing</v>
      </c>
      <c r="R200" s="14" t="str" cm="1">
        <f t="array" ref="R200">_xlfn.IFS(OR(Q200="Missing",Q200="N/A",Q200="Still Employed"),Q200,ISNUMBER(SEARCH(",",Q200)),DATEVALUE(Q200),AND(ISNUMBER(SEARCH("-",Q200)),ISNUMBER(VALUE(LEFT(Q200,4)))),DATE(LEFT(Q200,4),MID(Q200,6,2),RIGHT(Q200,2)),ISNUMBER(SEARCH("-",Q200)),DATE(RIGHT(Q200,4),MID(Q200,4,2),LEFT(Q200,2)),ISNUMBER(SEARCH("/",Q200)),DATE(RIGHT(Q200,4),MID(Q200,4,2),LEFT(Q200,2)),TRUE,"Check Manually")</f>
        <v>Missing</v>
      </c>
      <c r="S200" s="31" t="str">
        <f t="shared" ca="1" si="44"/>
        <v>7 Years, 7 Months, 10 Days</v>
      </c>
      <c r="T200" s="31">
        <f t="shared" ca="1" si="45"/>
        <v>2779.83</v>
      </c>
      <c r="U200" s="31" t="str" cm="1">
        <f t="array" ref="U200">_xlfn.IFS(OR(R200="Missing",R200="N/A",R200="Still Employed"),"Unknown",ISNUMBER(R200),"Exited",TRUE,"Unknown")</f>
        <v>Unknown</v>
      </c>
      <c r="V200" s="31" t="str">
        <f t="shared" si="46"/>
        <v/>
      </c>
      <c r="W200" s="14" t="str">
        <f t="shared" si="47"/>
        <v>Active</v>
      </c>
      <c r="X200" s="19"/>
      <c r="Y200" s="18" t="str">
        <f t="shared" si="40"/>
        <v/>
      </c>
      <c r="Z200" s="22" t="str" cm="1">
        <f t="array" ref="Z200">_xlfn.IFS(Y200="","0",LEFT(Y200,5)="",Y200,LEFT(Y200,1)="₹",REPLACE(Y200,1,1,""),LEFT(Y200,4)="Rs. ",REPLACE(Y200,1,4,""),TRUE,Y200)</f>
        <v>0</v>
      </c>
      <c r="AA200" s="22" t="str">
        <f t="shared" si="41"/>
        <v>0</v>
      </c>
      <c r="AB200" s="7" t="s">
        <v>95</v>
      </c>
      <c r="AC200" s="7" t="str">
        <f t="shared" si="42"/>
        <v>Average</v>
      </c>
      <c r="AD200" s="7">
        <v>5</v>
      </c>
      <c r="AE200" cm="1">
        <f t="array" ref="AE200">_xlfn.IFS(AD200="",0,AD200&lt;0,"Negate Leave",AD200&gt;=0,AD200)</f>
        <v>5</v>
      </c>
    </row>
    <row r="201" spans="1:31" x14ac:dyDescent="0.3">
      <c r="A201" s="7">
        <v>5192</v>
      </c>
      <c r="B201" s="7" t="s">
        <v>902</v>
      </c>
      <c r="C201" s="7" t="str">
        <f t="shared" si="37"/>
        <v>rohan gupta</v>
      </c>
      <c r="D201" s="7" t="str">
        <f t="shared" si="38"/>
        <v>Rohan Gupta</v>
      </c>
      <c r="E201" s="7" t="s">
        <v>68</v>
      </c>
      <c r="F201" s="7" t="s">
        <v>122</v>
      </c>
      <c r="G201" s="7" t="s">
        <v>91</v>
      </c>
      <c r="H201" s="7" t="str">
        <f>_xlfn.XLOOKUP(G201,Lookup_Tables!$A$4:$A$9,Lookup_Tables!$C$4:$C$9,"Not Found",0)</f>
        <v>Rajiv Kapoor</v>
      </c>
      <c r="I201" s="7" t="s">
        <v>70</v>
      </c>
      <c r="J201" s="7" t="s">
        <v>337</v>
      </c>
      <c r="K201" s="7" t="str">
        <f t="shared" si="39"/>
        <v>yash.mehta@company.com</v>
      </c>
      <c r="L201" s="7" t="s">
        <v>906</v>
      </c>
      <c r="M201" s="7" t="str">
        <f t="shared" si="36"/>
        <v>4833742781</v>
      </c>
      <c r="N201" s="7" t="str" cm="1">
        <f t="array" ref="N201">_xlfn.IFS(M201="","Incomplete",LEN(M201)&lt;10,"Invalid",AND(LEN(M201) =10,LEFT(M201,4) &lt;&gt;"+91-"),"+91-"&amp;M201,TRUE,M201)</f>
        <v>+91-4833742781</v>
      </c>
      <c r="O201" s="8" t="s">
        <v>907</v>
      </c>
      <c r="P201" s="14" t="s">
        <v>114</v>
      </c>
      <c r="Q201" s="14" t="str">
        <f t="shared" si="43"/>
        <v>Still Employed</v>
      </c>
      <c r="R201" s="14" t="str" cm="1">
        <f t="array" ref="R201">_xlfn.IFS(OR(Q201="Missing",Q201="N/A",Q201="Still Employed"),Q201,ISNUMBER(SEARCH(",",Q201)),DATEVALUE(Q201),AND(ISNUMBER(SEARCH("-",Q201)),ISNUMBER(VALUE(LEFT(Q201,4)))),DATE(LEFT(Q201,4),MID(Q201,6,2),RIGHT(Q201,2)),ISNUMBER(SEARCH("-",Q201)),DATE(RIGHT(Q201,4),MID(Q201,4,2),LEFT(Q201,2)),ISNUMBER(SEARCH("/",Q201)),DATE(RIGHT(Q201,4),MID(Q201,4,2),LEFT(Q201,2)),TRUE,"Check Manually")</f>
        <v>Still Employed</v>
      </c>
      <c r="S201" s="31" t="str">
        <f t="shared" ca="1" si="44"/>
        <v>5 Years, 1 Months, 5 Days</v>
      </c>
      <c r="T201" s="31">
        <f t="shared" ca="1" si="45"/>
        <v>1861.69</v>
      </c>
      <c r="U201" s="31" t="str" cm="1">
        <f t="array" ref="U201">_xlfn.IFS(OR(R201="Missing",R201="N/A",R201="Still Employed"),"Unknown",ISNUMBER(R201),"Exited",TRUE,"Unknown")</f>
        <v>Unknown</v>
      </c>
      <c r="V201" s="31" t="str">
        <f t="shared" si="46"/>
        <v/>
      </c>
      <c r="W201" s="14" t="str">
        <f t="shared" si="47"/>
        <v>Active</v>
      </c>
      <c r="X201" s="19">
        <v>109352</v>
      </c>
      <c r="Y201" s="18" t="str">
        <f t="shared" si="40"/>
        <v>109352</v>
      </c>
      <c r="Z201" s="22" t="str" cm="1">
        <f t="array" ref="Z201">_xlfn.IFS(Y201="","0",LEFT(Y201,5)="",Y201,LEFT(Y201,1)="₹",REPLACE(Y201,1,1,""),LEFT(Y201,4)="Rs. ",REPLACE(Y201,1,4,""),TRUE,Y201)</f>
        <v>109352</v>
      </c>
      <c r="AA201" s="22" t="str">
        <f t="shared" si="41"/>
        <v>109352</v>
      </c>
      <c r="AB201" s="7" t="s">
        <v>51</v>
      </c>
      <c r="AC201" s="7" t="str">
        <f t="shared" si="42"/>
        <v>Excellent</v>
      </c>
      <c r="AD201" s="7">
        <v>13</v>
      </c>
      <c r="AE201" cm="1">
        <f t="array" ref="AE201">_xlfn.IFS(AD201="",0,AD201&lt;0,"Negate Leave",AD201&gt;=0,AD201)</f>
        <v>13</v>
      </c>
    </row>
    <row r="202" spans="1:31" x14ac:dyDescent="0.3">
      <c r="A202" s="7">
        <v>5297</v>
      </c>
      <c r="B202" s="7" t="s">
        <v>336</v>
      </c>
      <c r="C202" s="7" t="str">
        <f t="shared" si="37"/>
        <v>Yash Mehta</v>
      </c>
      <c r="D202" s="7" t="str">
        <f t="shared" si="38"/>
        <v>Yash Mehta</v>
      </c>
      <c r="E202" s="7" t="s">
        <v>61</v>
      </c>
      <c r="F202" s="7" t="s">
        <v>151</v>
      </c>
      <c r="G202" s="7" t="s">
        <v>76</v>
      </c>
      <c r="H202" s="7" t="str">
        <f>_xlfn.XLOOKUP(G202,Lookup_Tables!$A$4:$A$9,Lookup_Tables!$C$4:$C$9,"Not Found",0)</f>
        <v>Ananya Sen</v>
      </c>
      <c r="I202" s="7" t="s">
        <v>70</v>
      </c>
      <c r="J202" s="7" t="s">
        <v>909</v>
      </c>
      <c r="K202" s="7" t="str">
        <f t="shared" si="39"/>
        <v>deepak.trivedi@company.com</v>
      </c>
      <c r="L202" s="7" t="s">
        <v>910</v>
      </c>
      <c r="M202" s="7" t="str">
        <f t="shared" si="36"/>
        <v>+91-6916346616</v>
      </c>
      <c r="N202" s="7" t="str" cm="1">
        <f t="array" ref="N202">_xlfn.IFS(M202="","Incomplete",LEN(M202)&lt;10,"Invalid",AND(LEN(M202) =10,LEFT(M202,4) &lt;&gt;"+91-"),"+91-"&amp;M202,TRUE,M202)</f>
        <v>+91-6916346616</v>
      </c>
      <c r="O202" s="8" t="s">
        <v>691</v>
      </c>
      <c r="P202" s="14"/>
      <c r="Q202" s="14" t="str">
        <f t="shared" si="43"/>
        <v>Missing</v>
      </c>
      <c r="R202" s="14" t="str" cm="1">
        <f t="array" ref="R202">_xlfn.IFS(OR(Q202="Missing",Q202="N/A",Q202="Still Employed"),Q202,ISNUMBER(SEARCH(",",Q202)),DATEVALUE(Q202),AND(ISNUMBER(SEARCH("-",Q202)),ISNUMBER(VALUE(LEFT(Q202,4)))),DATE(LEFT(Q202,4),MID(Q202,6,2),RIGHT(Q202,2)),ISNUMBER(SEARCH("-",Q202)),DATE(RIGHT(Q202,4),MID(Q202,4,2),LEFT(Q202,2)),ISNUMBER(SEARCH("/",Q202)),DATE(RIGHT(Q202,4),MID(Q202,4,2),LEFT(Q202,2)),TRUE,"Check Manually")</f>
        <v>Missing</v>
      </c>
      <c r="S202" s="31" t="str">
        <f t="shared" ca="1" si="44"/>
        <v>7 Years, 3 Months, 2 Days</v>
      </c>
      <c r="T202" s="31">
        <f t="shared" ca="1" si="45"/>
        <v>2650.07</v>
      </c>
      <c r="U202" s="31" t="str" cm="1">
        <f t="array" ref="U202">_xlfn.IFS(OR(R202="Missing",R202="N/A",R202="Still Employed"),"Unknown",ISNUMBER(R202),"Exited",TRUE,"Unknown")</f>
        <v>Unknown</v>
      </c>
      <c r="V202" s="31" t="str">
        <f t="shared" si="46"/>
        <v/>
      </c>
      <c r="W202" s="14" t="str">
        <f t="shared" si="47"/>
        <v>Active</v>
      </c>
      <c r="X202" s="19">
        <v>87508</v>
      </c>
      <c r="Y202" s="18" t="str">
        <f t="shared" si="40"/>
        <v>87508</v>
      </c>
      <c r="Z202" s="22" t="str" cm="1">
        <f t="array" ref="Z202">_xlfn.IFS(Y202="","0",LEFT(Y202,5)="",Y202,LEFT(Y202,1)="₹",REPLACE(Y202,1,1,""),LEFT(Y202,4)="Rs. ",REPLACE(Y202,1,4,""),TRUE,Y202)</f>
        <v>87508</v>
      </c>
      <c r="AA202" s="22" t="str">
        <f t="shared" si="41"/>
        <v>87508</v>
      </c>
      <c r="AB202" s="7" t="s">
        <v>127</v>
      </c>
      <c r="AC202" s="7" t="str">
        <f t="shared" si="42"/>
        <v>Good</v>
      </c>
      <c r="AD202" s="7">
        <v>1</v>
      </c>
      <c r="AE202" cm="1">
        <f t="array" ref="AE202">_xlfn.IFS(AD202="",0,AD202&lt;0,"Negate Leave",AD202&gt;=0,AD202)</f>
        <v>1</v>
      </c>
    </row>
    <row r="203" spans="1:31" x14ac:dyDescent="0.3">
      <c r="A203" s="7">
        <v>5292</v>
      </c>
      <c r="B203" s="7" t="s">
        <v>908</v>
      </c>
      <c r="C203" s="7" t="str">
        <f t="shared" si="37"/>
        <v>Deepak Trivedi</v>
      </c>
      <c r="D203" s="7" t="str">
        <f t="shared" si="38"/>
        <v>Deepak Trivedi</v>
      </c>
      <c r="E203" s="7" t="s">
        <v>68</v>
      </c>
      <c r="F203" s="7" t="s">
        <v>151</v>
      </c>
      <c r="G203" s="7" t="s">
        <v>76</v>
      </c>
      <c r="H203" s="7" t="str">
        <f>_xlfn.XLOOKUP(G203,Lookup_Tables!$A$4:$A$9,Lookup_Tables!$C$4:$C$9,"Not Found",0)</f>
        <v>Ananya Sen</v>
      </c>
      <c r="I203" s="7" t="s">
        <v>85</v>
      </c>
      <c r="J203" s="7" t="s">
        <v>912</v>
      </c>
      <c r="K203" s="7" t="str">
        <f t="shared" si="39"/>
        <v>neha.desai@company.com</v>
      </c>
      <c r="L203" s="7" t="s">
        <v>913</v>
      </c>
      <c r="M203" s="7" t="str">
        <f t="shared" si="36"/>
        <v>5742141360</v>
      </c>
      <c r="N203" s="7" t="str" cm="1">
        <f t="array" ref="N203">_xlfn.IFS(M203="","Incomplete",LEN(M203)&lt;10,"Invalid",AND(LEN(M203) =10,LEFT(M203,4) &lt;&gt;"+91-"),"+91-"&amp;M203,TRUE,M203)</f>
        <v>+91-5742141360</v>
      </c>
      <c r="O203" s="8" t="s">
        <v>914</v>
      </c>
      <c r="P203" s="14" t="s">
        <v>114</v>
      </c>
      <c r="Q203" s="14" t="str">
        <f t="shared" si="43"/>
        <v>Still Employed</v>
      </c>
      <c r="R203" s="14" t="str" cm="1">
        <f t="array" ref="R203">_xlfn.IFS(OR(Q203="Missing",Q203="N/A",Q203="Still Employed"),Q203,ISNUMBER(SEARCH(",",Q203)),DATEVALUE(Q203),AND(ISNUMBER(SEARCH("-",Q203)),ISNUMBER(VALUE(LEFT(Q203,4)))),DATE(LEFT(Q203,4),MID(Q203,6,2),RIGHT(Q203,2)),ISNUMBER(SEARCH("-",Q203)),DATE(RIGHT(Q203,4),MID(Q203,4,2),LEFT(Q203,2)),ISNUMBER(SEARCH("/",Q203)),DATE(RIGHT(Q203,4),MID(Q203,4,2),LEFT(Q203,2)),TRUE,"Check Manually")</f>
        <v>Still Employed</v>
      </c>
      <c r="S203" s="31" t="str">
        <f t="shared" ca="1" si="44"/>
        <v>7 Years, 11 Months, 5 Days</v>
      </c>
      <c r="T203" s="31">
        <f t="shared" ca="1" si="45"/>
        <v>2896.59</v>
      </c>
      <c r="U203" s="31" t="str" cm="1">
        <f t="array" ref="U203">_xlfn.IFS(OR(R203="Missing",R203="N/A",R203="Still Employed"),"Unknown",ISNUMBER(R203),"Exited",TRUE,"Unknown")</f>
        <v>Unknown</v>
      </c>
      <c r="V203" s="31" t="str">
        <f t="shared" si="46"/>
        <v/>
      </c>
      <c r="W203" s="14" t="str">
        <f t="shared" si="47"/>
        <v>Active</v>
      </c>
      <c r="X203" s="19"/>
      <c r="Y203" s="18" t="str">
        <f t="shared" si="40"/>
        <v/>
      </c>
      <c r="Z203" s="22" t="str" cm="1">
        <f t="array" ref="Z203">_xlfn.IFS(Y203="","0",LEFT(Y203,5)="",Y203,LEFT(Y203,1)="₹",REPLACE(Y203,1,1,""),LEFT(Y203,4)="Rs. ",REPLACE(Y203,1,4,""),TRUE,Y203)</f>
        <v>0</v>
      </c>
      <c r="AA203" s="22" t="str">
        <f t="shared" si="41"/>
        <v>0</v>
      </c>
      <c r="AB203" s="7" t="s">
        <v>95</v>
      </c>
      <c r="AC203" s="7" t="str">
        <f t="shared" si="42"/>
        <v>Average</v>
      </c>
      <c r="AD203" s="7">
        <v>14</v>
      </c>
      <c r="AE203" cm="1">
        <f t="array" ref="AE203">_xlfn.IFS(AD203="",0,AD203&lt;0,"Negate Leave",AD203&gt;=0,AD203)</f>
        <v>14</v>
      </c>
    </row>
    <row r="204" spans="1:31" x14ac:dyDescent="0.3">
      <c r="A204" s="7">
        <v>5273</v>
      </c>
      <c r="B204" s="7" t="s">
        <v>911</v>
      </c>
      <c r="C204" s="7" t="str">
        <f t="shared" si="37"/>
        <v>Neha Desai</v>
      </c>
      <c r="D204" s="7" t="str">
        <f t="shared" si="38"/>
        <v>Neha Desai</v>
      </c>
      <c r="E204" s="7" t="s">
        <v>61</v>
      </c>
      <c r="F204" s="7" t="s">
        <v>133</v>
      </c>
      <c r="G204" s="7" t="s">
        <v>69</v>
      </c>
      <c r="H204" s="7" t="str">
        <f>_xlfn.XLOOKUP(G204,Lookup_Tables!$A$4:$A$9,Lookup_Tables!$C$4:$C$9,"Not Found",0)</f>
        <v>Vivek Malhotra</v>
      </c>
      <c r="I204" s="7" t="s">
        <v>175</v>
      </c>
      <c r="J204" s="7" t="s">
        <v>197</v>
      </c>
      <c r="K204" s="7" t="str">
        <f t="shared" si="39"/>
        <v>anjali.saxena@company.com</v>
      </c>
      <c r="L204" s="7" t="s">
        <v>919</v>
      </c>
      <c r="M204" s="7" t="str">
        <f t="shared" si="36"/>
        <v>00751925</v>
      </c>
      <c r="N204" s="7" t="str" cm="1">
        <f t="array" ref="N204">_xlfn.IFS(M204="","Incomplete",LEN(M204)&lt;10,"Invalid",AND(LEN(M204) =10,LEFT(M204,4) &lt;&gt;"+91-"),"+91-"&amp;M204,TRUE,M204)</f>
        <v>Invalid</v>
      </c>
      <c r="O204" s="8" t="s">
        <v>920</v>
      </c>
      <c r="P204" s="14" t="s">
        <v>114</v>
      </c>
      <c r="Q204" s="14" t="str">
        <f t="shared" si="43"/>
        <v>Still Employed</v>
      </c>
      <c r="R204" s="14" t="str" cm="1">
        <f t="array" ref="R204">_xlfn.IFS(OR(Q204="Missing",Q204="N/A",Q204="Still Employed"),Q204,ISNUMBER(SEARCH(",",Q204)),DATEVALUE(Q204),AND(ISNUMBER(SEARCH("-",Q204)),ISNUMBER(VALUE(LEFT(Q204,4)))),DATE(LEFT(Q204,4),MID(Q204,6,2),RIGHT(Q204,2)),ISNUMBER(SEARCH("-",Q204)),DATE(RIGHT(Q204,4),MID(Q204,4,2),LEFT(Q204,2)),ISNUMBER(SEARCH("/",Q204)),DATE(RIGHT(Q204,4),MID(Q204,4,2),LEFT(Q204,2)),TRUE,"Check Manually")</f>
        <v>Still Employed</v>
      </c>
      <c r="S204" s="31" t="str">
        <f t="shared" ca="1" si="44"/>
        <v>4 Years, 10 Months, 26 Days</v>
      </c>
      <c r="T204" s="31">
        <f t="shared" ca="1" si="45"/>
        <v>1791.4</v>
      </c>
      <c r="U204" s="31" t="str" cm="1">
        <f t="array" ref="U204">_xlfn.IFS(OR(R204="Missing",R204="N/A",R204="Still Employed"),"Unknown",ISNUMBER(R204),"Exited",TRUE,"Unknown")</f>
        <v>Unknown</v>
      </c>
      <c r="V204" s="31" t="str">
        <f t="shared" si="46"/>
        <v/>
      </c>
      <c r="W204" s="14" t="str">
        <f t="shared" si="47"/>
        <v>Active</v>
      </c>
      <c r="X204" s="19">
        <v>87417</v>
      </c>
      <c r="Y204" s="18" t="str">
        <f t="shared" si="40"/>
        <v>87417</v>
      </c>
      <c r="Z204" s="22" t="str" cm="1">
        <f t="array" ref="Z204">_xlfn.IFS(Y204="","0",LEFT(Y204,5)="",Y204,LEFT(Y204,1)="₹",REPLACE(Y204,1,1,""),LEFT(Y204,4)="Rs. ",REPLACE(Y204,1,4,""),TRUE,Y204)</f>
        <v>87417</v>
      </c>
      <c r="AA204" s="22" t="str">
        <f t="shared" si="41"/>
        <v>87417</v>
      </c>
      <c r="AB204" s="7" t="s">
        <v>127</v>
      </c>
      <c r="AC204" s="7" t="str">
        <f t="shared" si="42"/>
        <v>Good</v>
      </c>
      <c r="AD204" s="7">
        <v>23</v>
      </c>
      <c r="AE204" cm="1">
        <f t="array" ref="AE204">_xlfn.IFS(AD204="",0,AD204&lt;0,"Negate Leave",AD204&gt;=0,AD204)</f>
        <v>23</v>
      </c>
    </row>
    <row r="205" spans="1:31" x14ac:dyDescent="0.3">
      <c r="A205" s="7">
        <v>5210</v>
      </c>
      <c r="B205" s="7" t="s">
        <v>915</v>
      </c>
      <c r="C205" s="7" t="str">
        <f t="shared" si="37"/>
        <v>YASH KULKARNI</v>
      </c>
      <c r="D205" s="7" t="str">
        <f t="shared" si="38"/>
        <v>Yash Kulkarni</v>
      </c>
      <c r="E205" s="7" t="s">
        <v>68</v>
      </c>
      <c r="F205" s="7" t="s">
        <v>122</v>
      </c>
      <c r="G205" s="7" t="s">
        <v>91</v>
      </c>
      <c r="H205" s="7" t="str">
        <f>_xlfn.XLOOKUP(G205,Lookup_Tables!$A$4:$A$9,Lookup_Tables!$C$4:$C$9,"Not Found",0)</f>
        <v>Rajiv Kapoor</v>
      </c>
      <c r="I205" s="7" t="s">
        <v>85</v>
      </c>
      <c r="J205" s="7" t="s">
        <v>885</v>
      </c>
      <c r="K205" s="7" t="str">
        <f t="shared" si="39"/>
        <v>simran.mehta@company.com</v>
      </c>
      <c r="L205" s="7" t="s">
        <v>922</v>
      </c>
      <c r="M205" s="7" t="str">
        <f t="shared" si="36"/>
        <v>76334906</v>
      </c>
      <c r="N205" s="7" t="str" cm="1">
        <f t="array" ref="N205">_xlfn.IFS(M205="","Incomplete",LEN(M205)&lt;10,"Invalid",AND(LEN(M205) =10,LEFT(M205,4) &lt;&gt;"+91-"),"+91-"&amp;M205,TRUE,M205)</f>
        <v>Invalid</v>
      </c>
      <c r="O205" s="8" t="s">
        <v>923</v>
      </c>
      <c r="P205" s="14" t="s">
        <v>74</v>
      </c>
      <c r="Q205" s="14" t="str">
        <f t="shared" si="43"/>
        <v>Jun 30, 2025</v>
      </c>
      <c r="R205" s="14" cm="1">
        <f t="array" ref="R205">_xlfn.IFS(OR(Q205="Missing",Q205="N/A",Q205="Still Employed"),Q205,ISNUMBER(SEARCH(",",Q205)),DATEVALUE(Q205),AND(ISNUMBER(SEARCH("-",Q205)),ISNUMBER(VALUE(LEFT(Q205,4)))),DATE(LEFT(Q205,4),MID(Q205,6,2),RIGHT(Q205,2)),ISNUMBER(SEARCH("-",Q205)),DATE(RIGHT(Q205,4),MID(Q205,4,2),LEFT(Q205,2)),ISNUMBER(SEARCH("/",Q205)),DATE(RIGHT(Q205,4),MID(Q205,4,2),LEFT(Q205,2)),TRUE,"Check Manually")</f>
        <v>45838</v>
      </c>
      <c r="S205" s="31" t="str">
        <f t="shared" ca="1" si="44"/>
        <v>4 Years, 5 Months, 4 Days</v>
      </c>
      <c r="T205" s="31">
        <f t="shared" ca="1" si="45"/>
        <v>1617.2</v>
      </c>
      <c r="U205" s="31" t="str" cm="1">
        <f t="array" ref="U205">_xlfn.IFS(OR(R205="Missing",R205="N/A",R205="Still Employed"),"Unknown",ISNUMBER(R205),"Exited",TRUE,"Unknown")</f>
        <v>Exited</v>
      </c>
      <c r="V205" s="31">
        <f t="shared" si="46"/>
        <v>2025</v>
      </c>
      <c r="W205" s="14" t="str">
        <f t="shared" si="47"/>
        <v>Exited</v>
      </c>
      <c r="X205" s="19">
        <v>166065</v>
      </c>
      <c r="Y205" s="18" t="str">
        <f t="shared" si="40"/>
        <v>166065</v>
      </c>
      <c r="Z205" s="22" t="str" cm="1">
        <f t="array" ref="Z205">_xlfn.IFS(Y205="","0",LEFT(Y205,5)="",Y205,LEFT(Y205,1)="₹",REPLACE(Y205,1,1,""),LEFT(Y205,4)="Rs. ",REPLACE(Y205,1,4,""),TRUE,Y205)</f>
        <v>166065</v>
      </c>
      <c r="AA205" s="22" t="str">
        <f t="shared" si="41"/>
        <v>166065</v>
      </c>
      <c r="AB205" s="7" t="s">
        <v>144</v>
      </c>
      <c r="AC205" s="7" t="str">
        <f t="shared" si="42"/>
        <v>Poor</v>
      </c>
      <c r="AD205" s="7">
        <v>11</v>
      </c>
      <c r="AE205" cm="1">
        <f t="array" ref="AE205">_xlfn.IFS(AD205="",0,AD205&lt;0,"Negate Leave",AD205&gt;=0,AD205)</f>
        <v>11</v>
      </c>
    </row>
    <row r="206" spans="1:31" x14ac:dyDescent="0.3">
      <c r="A206" s="7">
        <v>5314</v>
      </c>
      <c r="B206" s="7" t="s">
        <v>918</v>
      </c>
      <c r="C206" s="7" t="str">
        <f t="shared" si="37"/>
        <v>Anjali Saxena</v>
      </c>
      <c r="D206" s="7" t="str">
        <f t="shared" si="38"/>
        <v>Anjali Saxena</v>
      </c>
      <c r="E206" s="7" t="s">
        <v>61</v>
      </c>
      <c r="F206" s="7" t="s">
        <v>151</v>
      </c>
      <c r="G206" s="7" t="s">
        <v>76</v>
      </c>
      <c r="H206" s="7" t="str">
        <f>_xlfn.XLOOKUP(G206,Lookup_Tables!$A$4:$A$9,Lookup_Tables!$C$4:$C$9,"Not Found",0)</f>
        <v>Ananya Sen</v>
      </c>
      <c r="I206" s="7" t="s">
        <v>77</v>
      </c>
      <c r="J206" s="7" t="s">
        <v>925</v>
      </c>
      <c r="K206" s="7" t="str">
        <f t="shared" si="39"/>
        <v>arjun.naidu@company.com</v>
      </c>
      <c r="L206" s="7" t="s">
        <v>926</v>
      </c>
      <c r="M206" s="7" t="str">
        <f t="shared" si="36"/>
        <v>6563048137</v>
      </c>
      <c r="N206" s="7" t="str" cm="1">
        <f t="array" ref="N206">_xlfn.IFS(M206="","Incomplete",LEN(M206)&lt;10,"Invalid",AND(LEN(M206) =10,LEFT(M206,4) &lt;&gt;"+91-"),"+91-"&amp;M206,TRUE,M206)</f>
        <v>+91-6563048137</v>
      </c>
      <c r="O206" s="8" t="s">
        <v>927</v>
      </c>
      <c r="P206" s="14"/>
      <c r="Q206" s="14" t="str">
        <f t="shared" si="43"/>
        <v>Missing</v>
      </c>
      <c r="R206" s="14" t="str" cm="1">
        <f t="array" ref="R206">_xlfn.IFS(OR(Q206="Missing",Q206="N/A",Q206="Still Employed"),Q206,ISNUMBER(SEARCH(",",Q206)),DATEVALUE(Q206),AND(ISNUMBER(SEARCH("-",Q206)),ISNUMBER(VALUE(LEFT(Q206,4)))),DATE(LEFT(Q206,4),MID(Q206,6,2),RIGHT(Q206,2)),ISNUMBER(SEARCH("-",Q206)),DATE(RIGHT(Q206,4),MID(Q206,4,2),LEFT(Q206,2)),ISNUMBER(SEARCH("/",Q206)),DATE(RIGHT(Q206,4),MID(Q206,4,2),LEFT(Q206,2)),TRUE,"Check Manually")</f>
        <v>Missing</v>
      </c>
      <c r="S206" s="31" t="str">
        <f t="shared" ca="1" si="44"/>
        <v>5 Years, 8 Months, 2 Days</v>
      </c>
      <c r="T206" s="31">
        <f t="shared" ca="1" si="45"/>
        <v>2071.77</v>
      </c>
      <c r="U206" s="31" t="str" cm="1">
        <f t="array" ref="U206">_xlfn.IFS(OR(R206="Missing",R206="N/A",R206="Still Employed"),"Unknown",ISNUMBER(R206),"Exited",TRUE,"Unknown")</f>
        <v>Unknown</v>
      </c>
      <c r="V206" s="31" t="str">
        <f t="shared" si="46"/>
        <v/>
      </c>
      <c r="W206" s="14" t="str">
        <f t="shared" si="47"/>
        <v>Active</v>
      </c>
      <c r="X206" s="19">
        <v>132050</v>
      </c>
      <c r="Y206" s="18" t="str">
        <f t="shared" si="40"/>
        <v>132050</v>
      </c>
      <c r="Z206" s="22" t="str" cm="1">
        <f t="array" ref="Z206">_xlfn.IFS(Y206="","0",LEFT(Y206,5)="",Y206,LEFT(Y206,1)="₹",REPLACE(Y206,1,1,""),LEFT(Y206,4)="Rs. ",REPLACE(Y206,1,4,""),TRUE,Y206)</f>
        <v>132050</v>
      </c>
      <c r="AA206" s="22" t="str">
        <f t="shared" si="41"/>
        <v>132050</v>
      </c>
      <c r="AB206" s="7" t="s">
        <v>127</v>
      </c>
      <c r="AC206" s="7" t="str">
        <f t="shared" si="42"/>
        <v>Good</v>
      </c>
      <c r="AD206" s="7">
        <v>4</v>
      </c>
      <c r="AE206" cm="1">
        <f t="array" ref="AE206">_xlfn.IFS(AD206="",0,AD206&lt;0,"Negate Leave",AD206&gt;=0,AD206)</f>
        <v>4</v>
      </c>
    </row>
    <row r="207" spans="1:31" x14ac:dyDescent="0.3">
      <c r="A207" s="7">
        <v>5068</v>
      </c>
      <c r="B207" s="7" t="s">
        <v>921</v>
      </c>
      <c r="C207" s="7" t="str">
        <f t="shared" si="37"/>
        <v>Simran Mehta</v>
      </c>
      <c r="D207" s="7" t="str">
        <f t="shared" si="38"/>
        <v>Simran Mehta</v>
      </c>
      <c r="E207" s="7" t="s">
        <v>61</v>
      </c>
      <c r="F207" s="7" t="s">
        <v>122</v>
      </c>
      <c r="G207" s="7" t="s">
        <v>91</v>
      </c>
      <c r="H207" s="7" t="str">
        <f>_xlfn.XLOOKUP(G207,Lookup_Tables!$A$4:$A$9,Lookup_Tables!$C$4:$C$9,"Not Found",0)</f>
        <v>Rajiv Kapoor</v>
      </c>
      <c r="I207" s="7" t="s">
        <v>175</v>
      </c>
      <c r="J207" s="7" t="s">
        <v>536</v>
      </c>
      <c r="K207" s="7" t="str">
        <f t="shared" si="39"/>
        <v>ritu.kulkarni@company.com</v>
      </c>
      <c r="L207" s="7" t="s">
        <v>928</v>
      </c>
      <c r="M207" s="7" t="str">
        <f t="shared" si="36"/>
        <v>3957614565</v>
      </c>
      <c r="N207" s="7" t="str" cm="1">
        <f t="array" ref="N207">_xlfn.IFS(M207="","Incomplete",LEN(M207)&lt;10,"Invalid",AND(LEN(M207) =10,LEFT(M207,4) &lt;&gt;"+91-"),"+91-"&amp;M207,TRUE,M207)</f>
        <v>+91-3957614565</v>
      </c>
      <c r="O207" s="8" t="s">
        <v>929</v>
      </c>
      <c r="P207" s="14" t="s">
        <v>108</v>
      </c>
      <c r="Q207" s="14" t="str">
        <f t="shared" si="43"/>
        <v>30/06/2025</v>
      </c>
      <c r="R207" s="14" cm="1">
        <f t="array" ref="R207">_xlfn.IFS(OR(Q207="Missing",Q207="N/A",Q207="Still Employed"),Q207,ISNUMBER(SEARCH(",",Q207)),DATEVALUE(Q207),AND(ISNUMBER(SEARCH("-",Q207)),ISNUMBER(VALUE(LEFT(Q207,4)))),DATE(LEFT(Q207,4),MID(Q207,6,2),RIGHT(Q207,2)),ISNUMBER(SEARCH("-",Q207)),DATE(RIGHT(Q207,4),MID(Q207,4,2),LEFT(Q207,2)),ISNUMBER(SEARCH("/",Q207)),DATE(RIGHT(Q207,4),MID(Q207,4,2),LEFT(Q207,2)),TRUE,"Check Manually")</f>
        <v>45838</v>
      </c>
      <c r="S207" s="31" t="str">
        <f t="shared" ca="1" si="44"/>
        <v>4 Years, 1 Months, 26 Days</v>
      </c>
      <c r="T207" s="31">
        <f t="shared" ca="1" si="45"/>
        <v>1517.44</v>
      </c>
      <c r="U207" s="31" t="str" cm="1">
        <f t="array" ref="U207">_xlfn.IFS(OR(R207="Missing",R207="N/A",R207="Still Employed"),"Unknown",ISNUMBER(R207),"Exited",TRUE,"Unknown")</f>
        <v>Exited</v>
      </c>
      <c r="V207" s="31">
        <f t="shared" si="46"/>
        <v>2025</v>
      </c>
      <c r="W207" s="14" t="str">
        <f t="shared" si="47"/>
        <v>Exited</v>
      </c>
      <c r="X207" s="19" t="s">
        <v>930</v>
      </c>
      <c r="Y207" s="18" t="str">
        <f t="shared" si="40"/>
        <v>Rs. 84,059</v>
      </c>
      <c r="Z207" s="22" t="str" cm="1">
        <f t="array" ref="Z207">_xlfn.IFS(Y207="","0",LEFT(Y207,5)="",Y207,LEFT(Y207,1)="₹",REPLACE(Y207,1,1,""),LEFT(Y207,4)="Rs. ",REPLACE(Y207,1,4,""),TRUE,Y207)</f>
        <v>84,059</v>
      </c>
      <c r="AA207" s="22" t="str">
        <f t="shared" si="41"/>
        <v>84059</v>
      </c>
      <c r="AB207" s="7" t="s">
        <v>95</v>
      </c>
      <c r="AC207" s="7" t="str">
        <f t="shared" si="42"/>
        <v>Average</v>
      </c>
      <c r="AD207" s="7">
        <v>16</v>
      </c>
      <c r="AE207" cm="1">
        <f t="array" ref="AE207">_xlfn.IFS(AD207="",0,AD207&lt;0,"Negate Leave",AD207&gt;=0,AD207)</f>
        <v>16</v>
      </c>
    </row>
    <row r="208" spans="1:31" x14ac:dyDescent="0.3">
      <c r="A208" s="7">
        <v>5029</v>
      </c>
      <c r="B208" s="7" t="s">
        <v>924</v>
      </c>
      <c r="C208" s="7" t="str">
        <f t="shared" si="37"/>
        <v>Arjun Naidu</v>
      </c>
      <c r="D208" s="7" t="str">
        <f t="shared" si="38"/>
        <v>Arjun Naidu</v>
      </c>
      <c r="E208" s="7" t="s">
        <v>68</v>
      </c>
      <c r="F208" s="7" t="s">
        <v>53</v>
      </c>
      <c r="G208" s="7" t="s">
        <v>54</v>
      </c>
      <c r="H208" s="7" t="str">
        <f>_xlfn.XLOOKUP(G208,Lookup_Tables!$A$4:$A$9,Lookup_Tables!$C$4:$C$9,"Not Found",0)</f>
        <v>Leela Iyer</v>
      </c>
      <c r="I208" s="7" t="s">
        <v>62</v>
      </c>
      <c r="J208" s="7"/>
      <c r="K208" s="7" t="str">
        <f t="shared" si="39"/>
        <v>No Email ID</v>
      </c>
      <c r="L208" s="7" t="s">
        <v>931</v>
      </c>
      <c r="M208" s="7" t="str">
        <f t="shared" si="36"/>
        <v>+91-1773643289</v>
      </c>
      <c r="N208" s="7" t="str" cm="1">
        <f t="array" ref="N208">_xlfn.IFS(M208="","Incomplete",LEN(M208)&lt;10,"Invalid",AND(LEN(M208) =10,LEFT(M208,4) &lt;&gt;"+91-"),"+91-"&amp;M208,TRUE,M208)</f>
        <v>+91-1773643289</v>
      </c>
      <c r="O208" s="8" t="s">
        <v>932</v>
      </c>
      <c r="P208" s="14"/>
      <c r="Q208" s="14" t="str">
        <f t="shared" si="43"/>
        <v>Missing</v>
      </c>
      <c r="R208" s="14" t="str" cm="1">
        <f t="array" ref="R208">_xlfn.IFS(OR(Q208="Missing",Q208="N/A",Q208="Still Employed"),Q208,ISNUMBER(SEARCH(",",Q208)),DATEVALUE(Q208),AND(ISNUMBER(SEARCH("-",Q208)),ISNUMBER(VALUE(LEFT(Q208,4)))),DATE(LEFT(Q208,4),MID(Q208,6,2),RIGHT(Q208,2)),ISNUMBER(SEARCH("-",Q208)),DATE(RIGHT(Q208,4),MID(Q208,4,2),LEFT(Q208,2)),ISNUMBER(SEARCH("/",Q208)),DATE(RIGHT(Q208,4),MID(Q208,4,2),LEFT(Q208,2)),TRUE,"Check Manually")</f>
        <v>Missing</v>
      </c>
      <c r="S208" s="31" t="str">
        <f t="shared" ca="1" si="44"/>
        <v>8 Years, 4 Months, 12 Days</v>
      </c>
      <c r="T208" s="31">
        <f t="shared" ca="1" si="45"/>
        <v>3055.76</v>
      </c>
      <c r="U208" s="31" t="str" cm="1">
        <f t="array" ref="U208">_xlfn.IFS(OR(R208="Missing",R208="N/A",R208="Still Employed"),"Unknown",ISNUMBER(R208),"Exited",TRUE,"Unknown")</f>
        <v>Unknown</v>
      </c>
      <c r="V208" s="31" t="str">
        <f t="shared" si="46"/>
        <v/>
      </c>
      <c r="W208" s="14" t="str">
        <f t="shared" si="47"/>
        <v>Active</v>
      </c>
      <c r="X208" s="19" t="s">
        <v>933</v>
      </c>
      <c r="Y208" s="18" t="str">
        <f t="shared" si="40"/>
        <v>Rs. 94,903</v>
      </c>
      <c r="Z208" s="22" t="str" cm="1">
        <f t="array" ref="Z208">_xlfn.IFS(Y208="","0",LEFT(Y208,5)="",Y208,LEFT(Y208,1)="₹",REPLACE(Y208,1,1,""),LEFT(Y208,4)="Rs. ",REPLACE(Y208,1,4,""),TRUE,Y208)</f>
        <v>94,903</v>
      </c>
      <c r="AA208" s="22" t="str">
        <f t="shared" si="41"/>
        <v>94903</v>
      </c>
      <c r="AB208" s="7" t="s">
        <v>51</v>
      </c>
      <c r="AC208" s="7" t="str">
        <f t="shared" si="42"/>
        <v>Excellent</v>
      </c>
      <c r="AD208" s="7">
        <v>23</v>
      </c>
      <c r="AE208" cm="1">
        <f t="array" ref="AE208">_xlfn.IFS(AD208="",0,AD208&lt;0,"Negate Leave",AD208&gt;=0,AD208)</f>
        <v>23</v>
      </c>
    </row>
    <row r="209" spans="1:31" x14ac:dyDescent="0.3">
      <c r="A209" s="7">
        <v>5144</v>
      </c>
      <c r="B209" s="7" t="s">
        <v>535</v>
      </c>
      <c r="C209" s="7" t="str">
        <f t="shared" si="37"/>
        <v>Ritu Kulkarni</v>
      </c>
      <c r="D209" s="7" t="str">
        <f t="shared" si="38"/>
        <v>Ritu Kulkarni</v>
      </c>
      <c r="E209" s="7" t="s">
        <v>61</v>
      </c>
      <c r="F209" s="7" t="s">
        <v>219</v>
      </c>
      <c r="G209" s="7" t="s">
        <v>46</v>
      </c>
      <c r="H209" s="7" t="str">
        <f>_xlfn.XLOOKUP(G209,Lookup_Tables!$A$4:$A$9,Lookup_Tables!$C$4:$C$9,"Not Found",0)</f>
        <v>Faisal Ahmed</v>
      </c>
      <c r="I209" s="7" t="s">
        <v>175</v>
      </c>
      <c r="J209" s="7" t="s">
        <v>935</v>
      </c>
      <c r="K209" s="7" t="str">
        <f t="shared" si="39"/>
        <v>aaravagarwal@company.com</v>
      </c>
      <c r="L209" s="7"/>
      <c r="M209" s="7" t="str">
        <f t="shared" si="36"/>
        <v/>
      </c>
      <c r="N209" s="7" t="str" cm="1">
        <f t="array" ref="N209">_xlfn.IFS(M209="","Incomplete",LEN(M209)&lt;10,"Invalid",AND(LEN(M209) =10,LEFT(M209,4) &lt;&gt;"+91-"),"+91-"&amp;M209,TRUE,M209)</f>
        <v>Incomplete</v>
      </c>
      <c r="O209" s="8" t="s">
        <v>936</v>
      </c>
      <c r="P209" s="14"/>
      <c r="Q209" s="14" t="str">
        <f t="shared" si="43"/>
        <v>Missing</v>
      </c>
      <c r="R209" s="14" t="str" cm="1">
        <f t="array" ref="R209">_xlfn.IFS(OR(Q209="Missing",Q209="N/A",Q209="Still Employed"),Q209,ISNUMBER(SEARCH(",",Q209)),DATEVALUE(Q209),AND(ISNUMBER(SEARCH("-",Q209)),ISNUMBER(VALUE(LEFT(Q209,4)))),DATE(LEFT(Q209,4),MID(Q209,6,2),RIGHT(Q209,2)),ISNUMBER(SEARCH("-",Q209)),DATE(RIGHT(Q209,4),MID(Q209,4,2),LEFT(Q209,2)),ISNUMBER(SEARCH("/",Q209)),DATE(RIGHT(Q209,4),MID(Q209,4,2),LEFT(Q209,2)),TRUE,"Check Manually")</f>
        <v>Missing</v>
      </c>
      <c r="S209" s="31" t="str">
        <f t="shared" ca="1" si="44"/>
        <v>4 Years, 4 Months, 2 Days</v>
      </c>
      <c r="T209" s="31">
        <f t="shared" ca="1" si="45"/>
        <v>1584.76</v>
      </c>
      <c r="U209" s="31" t="str" cm="1">
        <f t="array" ref="U209">_xlfn.IFS(OR(R209="Missing",R209="N/A",R209="Still Employed"),"Unknown",ISNUMBER(R209),"Exited",TRUE,"Unknown")</f>
        <v>Unknown</v>
      </c>
      <c r="V209" s="31" t="str">
        <f t="shared" si="46"/>
        <v/>
      </c>
      <c r="W209" s="14" t="str">
        <f t="shared" si="47"/>
        <v>Active</v>
      </c>
      <c r="X209" s="19" t="s">
        <v>937</v>
      </c>
      <c r="Y209" s="18" t="str">
        <f t="shared" si="40"/>
        <v>₹51,253</v>
      </c>
      <c r="Z209" s="22" t="str" cm="1">
        <f t="array" ref="Z209">_xlfn.IFS(Y209="","0",LEFT(Y209,5)="",Y209,LEFT(Y209,1)="₹",REPLACE(Y209,1,1,""),LEFT(Y209,4)="Rs. ",REPLACE(Y209,1,4,""),TRUE,Y209)</f>
        <v>51,253</v>
      </c>
      <c r="AA209" s="22" t="str">
        <f t="shared" si="41"/>
        <v>51253</v>
      </c>
      <c r="AB209" s="7" t="s">
        <v>51</v>
      </c>
      <c r="AC209" s="7" t="str">
        <f t="shared" si="42"/>
        <v>Excellent</v>
      </c>
      <c r="AD209" s="7">
        <v>17</v>
      </c>
      <c r="AE209" cm="1">
        <f t="array" ref="AE209">_xlfn.IFS(AD209="",0,AD209&lt;0,"Negate Leave",AD209&gt;=0,AD209)</f>
        <v>17</v>
      </c>
    </row>
    <row r="210" spans="1:31" x14ac:dyDescent="0.3">
      <c r="A210" s="7">
        <v>5261</v>
      </c>
      <c r="B210" s="7" t="s">
        <v>540</v>
      </c>
      <c r="C210" s="7" t="str">
        <f t="shared" si="37"/>
        <v>Amit Gupta</v>
      </c>
      <c r="D210" s="7" t="str">
        <f t="shared" si="38"/>
        <v>Amit Gupta</v>
      </c>
      <c r="E210" s="7" t="s">
        <v>84</v>
      </c>
      <c r="F210" s="7" t="s">
        <v>151</v>
      </c>
      <c r="G210" s="7" t="s">
        <v>76</v>
      </c>
      <c r="H210" s="7" t="str">
        <f>_xlfn.XLOOKUP(G210,Lookup_Tables!$A$4:$A$9,Lookup_Tables!$C$4:$C$9,"Not Found",0)</f>
        <v>Ananya Sen</v>
      </c>
      <c r="I210" s="7" t="s">
        <v>175</v>
      </c>
      <c r="J210" s="7" t="s">
        <v>939</v>
      </c>
      <c r="K210" s="7" t="str">
        <f t="shared" si="39"/>
        <v>suresh.menon@company.com</v>
      </c>
      <c r="L210" s="7" t="s">
        <v>940</v>
      </c>
      <c r="M210" s="7" t="str">
        <f t="shared" si="36"/>
        <v>9616216894</v>
      </c>
      <c r="N210" s="7" t="str" cm="1">
        <f t="array" ref="N210">_xlfn.IFS(M210="","Incomplete",LEN(M210)&lt;10,"Invalid",AND(LEN(M210) =10,LEFT(M210,4) &lt;&gt;"+91-"),"+91-"&amp;M210,TRUE,M210)</f>
        <v>+91-9616216894</v>
      </c>
      <c r="O210" s="8" t="s">
        <v>941</v>
      </c>
      <c r="P210" s="14"/>
      <c r="Q210" s="14" t="str">
        <f t="shared" si="43"/>
        <v>Missing</v>
      </c>
      <c r="R210" s="14" t="str" cm="1">
        <f t="array" ref="R210">_xlfn.IFS(OR(Q210="Missing",Q210="N/A",Q210="Still Employed"),Q210,ISNUMBER(SEARCH(",",Q210)),DATEVALUE(Q210),AND(ISNUMBER(SEARCH("-",Q210)),ISNUMBER(VALUE(LEFT(Q210,4)))),DATE(LEFT(Q210,4),MID(Q210,6,2),RIGHT(Q210,2)),ISNUMBER(SEARCH("-",Q210)),DATE(RIGHT(Q210,4),MID(Q210,4,2),LEFT(Q210,2)),ISNUMBER(SEARCH("/",Q210)),DATE(RIGHT(Q210,4),MID(Q210,4,2),LEFT(Q210,2)),TRUE,"Check Manually")</f>
        <v>Missing</v>
      </c>
      <c r="S210" s="31" t="str">
        <f t="shared" ca="1" si="44"/>
        <v>8 Years, 3 Months, 9 Days</v>
      </c>
      <c r="T210" s="31">
        <f t="shared" ca="1" si="45"/>
        <v>3022.32</v>
      </c>
      <c r="U210" s="31" t="str" cm="1">
        <f t="array" ref="U210">_xlfn.IFS(OR(R210="Missing",R210="N/A",R210="Still Employed"),"Unknown",ISNUMBER(R210),"Exited",TRUE,"Unknown")</f>
        <v>Unknown</v>
      </c>
      <c r="V210" s="31" t="str">
        <f t="shared" si="46"/>
        <v/>
      </c>
      <c r="W210" s="14" t="str">
        <f t="shared" si="47"/>
        <v>Active</v>
      </c>
      <c r="X210" s="19">
        <v>149465</v>
      </c>
      <c r="Y210" s="18" t="str">
        <f t="shared" si="40"/>
        <v>149465</v>
      </c>
      <c r="Z210" s="22" t="str" cm="1">
        <f t="array" ref="Z210">_xlfn.IFS(Y210="","0",LEFT(Y210,5)="",Y210,LEFT(Y210,1)="₹",REPLACE(Y210,1,1,""),LEFT(Y210,4)="Rs. ",REPLACE(Y210,1,4,""),TRUE,Y210)</f>
        <v>149465</v>
      </c>
      <c r="AA210" s="22" t="str">
        <f t="shared" si="41"/>
        <v>149465</v>
      </c>
      <c r="AB210" s="7" t="s">
        <v>127</v>
      </c>
      <c r="AC210" s="7" t="str">
        <f t="shared" si="42"/>
        <v>Good</v>
      </c>
      <c r="AD210" s="7">
        <v>20</v>
      </c>
      <c r="AE210" cm="1">
        <f t="array" ref="AE210">_xlfn.IFS(AD210="",0,AD210&lt;0,"Negate Leave",AD210&gt;=0,AD210)</f>
        <v>20</v>
      </c>
    </row>
    <row r="211" spans="1:31" x14ac:dyDescent="0.3">
      <c r="A211" s="7">
        <v>5032</v>
      </c>
      <c r="B211" s="7" t="s">
        <v>934</v>
      </c>
      <c r="C211" s="7" t="str">
        <f t="shared" si="37"/>
        <v>Aarav Agarwal</v>
      </c>
      <c r="D211" s="7" t="str">
        <f t="shared" si="38"/>
        <v>Aarav Agarwal</v>
      </c>
      <c r="E211" s="7" t="s">
        <v>68</v>
      </c>
      <c r="F211" s="7" t="s">
        <v>219</v>
      </c>
      <c r="G211" s="7" t="s">
        <v>46</v>
      </c>
      <c r="H211" s="7" t="str">
        <f>_xlfn.XLOOKUP(G211,Lookup_Tables!$A$4:$A$9,Lookup_Tables!$C$4:$C$9,"Not Found",0)</f>
        <v>Faisal Ahmed</v>
      </c>
      <c r="I211" s="7" t="s">
        <v>47</v>
      </c>
      <c r="J211" s="7" t="s">
        <v>943</v>
      </c>
      <c r="K211" s="7" t="str">
        <f t="shared" si="39"/>
        <v>simran.bose@company.com</v>
      </c>
      <c r="L211" s="7" t="s">
        <v>944</v>
      </c>
      <c r="M211" s="7" t="str">
        <f t="shared" si="36"/>
        <v>3918682067</v>
      </c>
      <c r="N211" s="7" t="str" cm="1">
        <f t="array" ref="N211">_xlfn.IFS(M211="","Incomplete",LEN(M211)&lt;10,"Invalid",AND(LEN(M211) =10,LEFT(M211,4) &lt;&gt;"+91-"),"+91-"&amp;M211,TRUE,M211)</f>
        <v>+91-3918682067</v>
      </c>
      <c r="O211" s="8" t="s">
        <v>326</v>
      </c>
      <c r="P211" s="14"/>
      <c r="Q211" s="14" t="str">
        <f t="shared" si="43"/>
        <v>Missing</v>
      </c>
      <c r="R211" s="14" t="str" cm="1">
        <f t="array" ref="R211">_xlfn.IFS(OR(Q211="Missing",Q211="N/A",Q211="Still Employed"),Q211,ISNUMBER(SEARCH(",",Q211)),DATEVALUE(Q211),AND(ISNUMBER(SEARCH("-",Q211)),ISNUMBER(VALUE(LEFT(Q211,4)))),DATE(LEFT(Q211,4),MID(Q211,6,2),RIGHT(Q211,2)),ISNUMBER(SEARCH("-",Q211)),DATE(RIGHT(Q211,4),MID(Q211,4,2),LEFT(Q211,2)),ISNUMBER(SEARCH("/",Q211)),DATE(RIGHT(Q211,4),MID(Q211,4,2),LEFT(Q211,2)),TRUE,"Check Manually")</f>
        <v>Missing</v>
      </c>
      <c r="S211" s="31" t="str">
        <f t="shared" ca="1" si="44"/>
        <v>7 Years, 0 Months, 17 Days</v>
      </c>
      <c r="T211" s="31">
        <f t="shared" ca="1" si="45"/>
        <v>2573.75</v>
      </c>
      <c r="U211" s="31" t="str" cm="1">
        <f t="array" ref="U211">_xlfn.IFS(OR(R211="Missing",R211="N/A",R211="Still Employed"),"Unknown",ISNUMBER(R211),"Exited",TRUE,"Unknown")</f>
        <v>Unknown</v>
      </c>
      <c r="V211" s="31" t="str">
        <f t="shared" si="46"/>
        <v/>
      </c>
      <c r="W211" s="14" t="str">
        <f t="shared" si="47"/>
        <v>Active</v>
      </c>
      <c r="X211" s="19">
        <v>167447</v>
      </c>
      <c r="Y211" s="18" t="str">
        <f t="shared" si="40"/>
        <v>167447</v>
      </c>
      <c r="Z211" s="22" t="str" cm="1">
        <f t="array" ref="Z211">_xlfn.IFS(Y211="","0",LEFT(Y211,5)="",Y211,LEFT(Y211,1)="₹",REPLACE(Y211,1,1,""),LEFT(Y211,4)="Rs. ",REPLACE(Y211,1,4,""),TRUE,Y211)</f>
        <v>167447</v>
      </c>
      <c r="AA211" s="22" t="str">
        <f t="shared" si="41"/>
        <v>167447</v>
      </c>
      <c r="AB211" s="7" t="s">
        <v>89</v>
      </c>
      <c r="AC211" s="7" t="str">
        <f t="shared" si="42"/>
        <v>Below Average</v>
      </c>
      <c r="AD211" s="7">
        <v>12</v>
      </c>
      <c r="AE211" cm="1">
        <f t="array" ref="AE211">_xlfn.IFS(AD211="",0,AD211&lt;0,"Negate Leave",AD211&gt;=0,AD211)</f>
        <v>12</v>
      </c>
    </row>
    <row r="212" spans="1:31" x14ac:dyDescent="0.3">
      <c r="A212" s="7">
        <v>5347</v>
      </c>
      <c r="B212" s="7" t="s">
        <v>938</v>
      </c>
      <c r="C212" s="7" t="str">
        <f t="shared" si="37"/>
        <v>Suresh Menon</v>
      </c>
      <c r="D212" s="7" t="str">
        <f t="shared" si="38"/>
        <v>Suresh Menon</v>
      </c>
      <c r="E212" s="7" t="s">
        <v>61</v>
      </c>
      <c r="F212" s="7" t="s">
        <v>133</v>
      </c>
      <c r="G212" s="7" t="s">
        <v>69</v>
      </c>
      <c r="H212" s="7" t="str">
        <f>_xlfn.XLOOKUP(G212,Lookup_Tables!$A$4:$A$9,Lookup_Tables!$C$4:$C$9,"Not Found",0)</f>
        <v>Vivek Malhotra</v>
      </c>
      <c r="I212" s="7" t="s">
        <v>110</v>
      </c>
      <c r="J212" s="7" t="s">
        <v>759</v>
      </c>
      <c r="K212" s="7" t="str">
        <f t="shared" si="39"/>
        <v>priya.reddy@company.com</v>
      </c>
      <c r="L212" s="7"/>
      <c r="M212" s="7" t="str">
        <f t="shared" si="36"/>
        <v/>
      </c>
      <c r="N212" s="7" t="str" cm="1">
        <f t="array" ref="N212">_xlfn.IFS(M212="","Incomplete",LEN(M212)&lt;10,"Invalid",AND(LEN(M212) =10,LEFT(M212,4) &lt;&gt;"+91-"),"+91-"&amp;M212,TRUE,M212)</f>
        <v>Incomplete</v>
      </c>
      <c r="O212" s="8" t="s">
        <v>946</v>
      </c>
      <c r="P212" s="14" t="s">
        <v>114</v>
      </c>
      <c r="Q212" s="14" t="str">
        <f t="shared" si="43"/>
        <v>Still Employed</v>
      </c>
      <c r="R212" s="14" t="str" cm="1">
        <f t="array" ref="R212">_xlfn.IFS(OR(Q212="Missing",Q212="N/A",Q212="Still Employed"),Q212,ISNUMBER(SEARCH(",",Q212)),DATEVALUE(Q212),AND(ISNUMBER(SEARCH("-",Q212)),ISNUMBER(VALUE(LEFT(Q212,4)))),DATE(LEFT(Q212,4),MID(Q212,6,2),RIGHT(Q212,2)),ISNUMBER(SEARCH("-",Q212)),DATE(RIGHT(Q212,4),MID(Q212,4,2),LEFT(Q212,2)),ISNUMBER(SEARCH("/",Q212)),DATE(RIGHT(Q212,4),MID(Q212,4,2),LEFT(Q212,2)),TRUE,"Check Manually")</f>
        <v>Still Employed</v>
      </c>
      <c r="S212" s="31" t="str">
        <f t="shared" ca="1" si="44"/>
        <v>6 Years, 8 Months, 24 Days</v>
      </c>
      <c r="T212" s="31">
        <f t="shared" ca="1" si="45"/>
        <v>2459.02</v>
      </c>
      <c r="U212" s="31" t="str" cm="1">
        <f t="array" ref="U212">_xlfn.IFS(OR(R212="Missing",R212="N/A",R212="Still Employed"),"Unknown",ISNUMBER(R212),"Exited",TRUE,"Unknown")</f>
        <v>Unknown</v>
      </c>
      <c r="V212" s="31" t="str">
        <f t="shared" si="46"/>
        <v/>
      </c>
      <c r="W212" s="14" t="str">
        <f t="shared" si="47"/>
        <v>Active</v>
      </c>
      <c r="X212" s="19" t="s">
        <v>947</v>
      </c>
      <c r="Y212" s="18" t="str">
        <f t="shared" si="40"/>
        <v>Rs. 111,945</v>
      </c>
      <c r="Z212" s="22" t="str" cm="1">
        <f t="array" ref="Z212">_xlfn.IFS(Y212="","0",LEFT(Y212,5)="",Y212,LEFT(Y212,1)="₹",REPLACE(Y212,1,1,""),LEFT(Y212,4)="Rs. ",REPLACE(Y212,1,4,""),TRUE,Y212)</f>
        <v>111,945</v>
      </c>
      <c r="AA212" s="22" t="str">
        <f t="shared" si="41"/>
        <v>111945</v>
      </c>
      <c r="AB212" s="7" t="s">
        <v>89</v>
      </c>
      <c r="AC212" s="7" t="str">
        <f t="shared" si="42"/>
        <v>Below Average</v>
      </c>
      <c r="AD212" s="7">
        <v>2</v>
      </c>
      <c r="AE212" cm="1">
        <f t="array" ref="AE212">_xlfn.IFS(AD212="",0,AD212&lt;0,"Negate Leave",AD212&gt;=0,AD212)</f>
        <v>2</v>
      </c>
    </row>
    <row r="213" spans="1:31" x14ac:dyDescent="0.3">
      <c r="A213" s="7">
        <v>5321</v>
      </c>
      <c r="B213" s="7" t="s">
        <v>942</v>
      </c>
      <c r="C213" s="7" t="str">
        <f t="shared" si="37"/>
        <v>Simran Bose</v>
      </c>
      <c r="D213" s="7" t="str">
        <f t="shared" si="38"/>
        <v>Simran Bose</v>
      </c>
      <c r="E213" s="7" t="s">
        <v>61</v>
      </c>
      <c r="F213" s="7" t="s">
        <v>219</v>
      </c>
      <c r="G213" s="7" t="s">
        <v>46</v>
      </c>
      <c r="H213" s="7" t="str">
        <f>_xlfn.XLOOKUP(G213,Lookup_Tables!$A$4:$A$9,Lookup_Tables!$C$4:$C$9,"Not Found",0)</f>
        <v>Faisal Ahmed</v>
      </c>
      <c r="I213" s="7" t="s">
        <v>70</v>
      </c>
      <c r="J213" s="7" t="s">
        <v>92</v>
      </c>
      <c r="K213" s="7" t="str">
        <f t="shared" si="39"/>
        <v>priya.kapoor@company.com</v>
      </c>
      <c r="L213" s="7" t="s">
        <v>949</v>
      </c>
      <c r="M213" s="7" t="str">
        <f t="shared" si="36"/>
        <v>3083793881</v>
      </c>
      <c r="N213" s="7" t="str" cm="1">
        <f t="array" ref="N213">_xlfn.IFS(M213="","Incomplete",LEN(M213)&lt;10,"Invalid",AND(LEN(M213) =10,LEFT(M213,4) &lt;&gt;"+91-"),"+91-"&amp;M213,TRUE,M213)</f>
        <v>+91-3083793881</v>
      </c>
      <c r="O213" s="8" t="s">
        <v>950</v>
      </c>
      <c r="P213" s="14" t="s">
        <v>108</v>
      </c>
      <c r="Q213" s="14" t="str">
        <f t="shared" si="43"/>
        <v>30/06/2025</v>
      </c>
      <c r="R213" s="14" cm="1">
        <f t="array" ref="R213">_xlfn.IFS(OR(Q213="Missing",Q213="N/A",Q213="Still Employed"),Q213,ISNUMBER(SEARCH(",",Q213)),DATEVALUE(Q213),AND(ISNUMBER(SEARCH("-",Q213)),ISNUMBER(VALUE(LEFT(Q213,4)))),DATE(LEFT(Q213,4),MID(Q213,6,2),RIGHT(Q213,2)),ISNUMBER(SEARCH("-",Q213)),DATE(RIGHT(Q213,4),MID(Q213,4,2),LEFT(Q213,2)),ISNUMBER(SEARCH("/",Q213)),DATE(RIGHT(Q213,4),MID(Q213,4,2),LEFT(Q213,2)),TRUE,"Check Manually")</f>
        <v>45838</v>
      </c>
      <c r="S213" s="31" t="str">
        <f t="shared" ca="1" si="44"/>
        <v>1 Years, 6 Months, 15 Days</v>
      </c>
      <c r="T213" s="31">
        <f t="shared" ca="1" si="45"/>
        <v>562.89</v>
      </c>
      <c r="U213" s="31" t="str" cm="1">
        <f t="array" ref="U213">_xlfn.IFS(OR(R213="Missing",R213="N/A",R213="Still Employed"),"Unknown",ISNUMBER(R213),"Exited",TRUE,"Unknown")</f>
        <v>Exited</v>
      </c>
      <c r="V213" s="31">
        <f t="shared" si="46"/>
        <v>2025</v>
      </c>
      <c r="W213" s="14" t="str">
        <f t="shared" si="47"/>
        <v>Exited</v>
      </c>
      <c r="X213" s="19"/>
      <c r="Y213" s="18" t="str">
        <f t="shared" si="40"/>
        <v/>
      </c>
      <c r="Z213" s="22" t="str" cm="1">
        <f t="array" ref="Z213">_xlfn.IFS(Y213="","0",LEFT(Y213,5)="",Y213,LEFT(Y213,1)="₹",REPLACE(Y213,1,1,""),LEFT(Y213,4)="Rs. ",REPLACE(Y213,1,4,""),TRUE,Y213)</f>
        <v>0</v>
      </c>
      <c r="AA213" s="22" t="str">
        <f t="shared" si="41"/>
        <v>0</v>
      </c>
      <c r="AB213" s="7" t="s">
        <v>89</v>
      </c>
      <c r="AC213" s="7" t="str">
        <f t="shared" si="42"/>
        <v>Below Average</v>
      </c>
      <c r="AD213" s="7">
        <v>-3</v>
      </c>
      <c r="AE213" t="str" cm="1">
        <f t="array" ref="AE213">_xlfn.IFS(AD213="",0,AD213&lt;0,"Negate Leave",AD213&gt;=0,AD213)</f>
        <v>Negate Leave</v>
      </c>
    </row>
    <row r="214" spans="1:31" x14ac:dyDescent="0.3">
      <c r="A214" s="7">
        <v>5075</v>
      </c>
      <c r="B214" s="7" t="s">
        <v>945</v>
      </c>
      <c r="C214" s="7" t="str">
        <f t="shared" si="37"/>
        <v>Priya Reddy</v>
      </c>
      <c r="D214" s="7" t="str">
        <f t="shared" si="38"/>
        <v>Priya Reddy</v>
      </c>
      <c r="E214" s="7" t="s">
        <v>61</v>
      </c>
      <c r="F214" s="7" t="s">
        <v>133</v>
      </c>
      <c r="G214" s="7" t="s">
        <v>69</v>
      </c>
      <c r="H214" s="7" t="str">
        <f>_xlfn.XLOOKUP(G214,Lookup_Tables!$A$4:$A$9,Lookup_Tables!$C$4:$C$9,"Not Found",0)</f>
        <v>Vivek Malhotra</v>
      </c>
      <c r="I214" s="7" t="s">
        <v>62</v>
      </c>
      <c r="J214" s="7" t="s">
        <v>952</v>
      </c>
      <c r="K214" s="7" t="str">
        <f t="shared" si="39"/>
        <v>deepak.agarwal@company.com</v>
      </c>
      <c r="L214" s="7" t="s">
        <v>953</v>
      </c>
      <c r="M214" s="7" t="str">
        <f t="shared" si="36"/>
        <v>6841470089</v>
      </c>
      <c r="N214" s="7" t="str" cm="1">
        <f t="array" ref="N214">_xlfn.IFS(M214="","Incomplete",LEN(M214)&lt;10,"Invalid",AND(LEN(M214) =10,LEFT(M214,4) &lt;&gt;"+91-"),"+91-"&amp;M214,TRUE,M214)</f>
        <v>+91-6841470089</v>
      </c>
      <c r="O214" s="8" t="s">
        <v>954</v>
      </c>
      <c r="P214" s="14" t="s">
        <v>114</v>
      </c>
      <c r="Q214" s="14" t="str">
        <f t="shared" si="43"/>
        <v>Still Employed</v>
      </c>
      <c r="R214" s="14" t="str" cm="1">
        <f t="array" ref="R214">_xlfn.IFS(OR(Q214="Missing",Q214="N/A",Q214="Still Employed"),Q214,ISNUMBER(SEARCH(",",Q214)),DATEVALUE(Q214),AND(ISNUMBER(SEARCH("-",Q214)),ISNUMBER(VALUE(LEFT(Q214,4)))),DATE(LEFT(Q214,4),MID(Q214,6,2),RIGHT(Q214,2)),ISNUMBER(SEARCH("-",Q214)),DATE(RIGHT(Q214,4),MID(Q214,4,2),LEFT(Q214,2)),ISNUMBER(SEARCH("/",Q214)),DATE(RIGHT(Q214,4),MID(Q214,4,2),LEFT(Q214,2)),TRUE,"Check Manually")</f>
        <v>Still Employed</v>
      </c>
      <c r="S214" s="31" t="str">
        <f t="shared" ca="1" si="44"/>
        <v>6 Years, 10 Months, 6 Days</v>
      </c>
      <c r="T214" s="31">
        <f t="shared" ca="1" si="45"/>
        <v>2501.9</v>
      </c>
      <c r="U214" s="31" t="str" cm="1">
        <f t="array" ref="U214">_xlfn.IFS(OR(R214="Missing",R214="N/A",R214="Still Employed"),"Unknown",ISNUMBER(R214),"Exited",TRUE,"Unknown")</f>
        <v>Unknown</v>
      </c>
      <c r="V214" s="31" t="str">
        <f t="shared" si="46"/>
        <v/>
      </c>
      <c r="W214" s="14" t="str">
        <f t="shared" si="47"/>
        <v>Active</v>
      </c>
      <c r="X214" s="19" t="s">
        <v>955</v>
      </c>
      <c r="Y214" s="18" t="str">
        <f t="shared" si="40"/>
        <v>₹142,930</v>
      </c>
      <c r="Z214" s="22" t="str" cm="1">
        <f t="array" ref="Z214">_xlfn.IFS(Y214="","0",LEFT(Y214,5)="",Y214,LEFT(Y214,1)="₹",REPLACE(Y214,1,1,""),LEFT(Y214,4)="Rs. ",REPLACE(Y214,1,4,""),TRUE,Y214)</f>
        <v>142,930</v>
      </c>
      <c r="AA214" s="22" t="str">
        <f t="shared" si="41"/>
        <v>142930</v>
      </c>
      <c r="AB214" s="7" t="s">
        <v>95</v>
      </c>
      <c r="AC214" s="7" t="str">
        <f t="shared" si="42"/>
        <v>Average</v>
      </c>
      <c r="AD214" s="7">
        <v>4</v>
      </c>
      <c r="AE214" cm="1">
        <f t="array" ref="AE214">_xlfn.IFS(AD214="",0,AD214&lt;0,"Negate Leave",AD214&gt;=0,AD214)</f>
        <v>4</v>
      </c>
    </row>
    <row r="215" spans="1:31" x14ac:dyDescent="0.3">
      <c r="A215" s="7">
        <v>5226</v>
      </c>
      <c r="B215" s="7" t="s">
        <v>948</v>
      </c>
      <c r="C215" s="7" t="str">
        <f t="shared" si="37"/>
        <v>Priya  Kapoor</v>
      </c>
      <c r="D215" s="7" t="str">
        <f t="shared" si="38"/>
        <v>Priya Kapoor</v>
      </c>
      <c r="E215" s="7" t="s">
        <v>84</v>
      </c>
      <c r="F215" s="7" t="s">
        <v>219</v>
      </c>
      <c r="G215" s="7" t="s">
        <v>46</v>
      </c>
      <c r="H215" s="7" t="str">
        <f>_xlfn.XLOOKUP(G215,Lookup_Tables!$A$4:$A$9,Lookup_Tables!$C$4:$C$9,"Not Found",0)</f>
        <v>Faisal Ahmed</v>
      </c>
      <c r="I215" s="7" t="s">
        <v>175</v>
      </c>
      <c r="J215" s="7" t="s">
        <v>957</v>
      </c>
      <c r="K215" s="7" t="str">
        <f t="shared" si="39"/>
        <v>rohan.bose@company.com</v>
      </c>
      <c r="L215" s="7"/>
      <c r="M215" s="7" t="str">
        <f t="shared" si="36"/>
        <v/>
      </c>
      <c r="N215" s="7" t="str" cm="1">
        <f t="array" ref="N215">_xlfn.IFS(M215="","Incomplete",LEN(M215)&lt;10,"Invalid",AND(LEN(M215) =10,LEFT(M215,4) &lt;&gt;"+91-"),"+91-"&amp;M215,TRUE,M215)</f>
        <v>Incomplete</v>
      </c>
      <c r="O215" s="8" t="s">
        <v>958</v>
      </c>
      <c r="P215" s="14"/>
      <c r="Q215" s="14" t="str">
        <f t="shared" si="43"/>
        <v>Missing</v>
      </c>
      <c r="R215" s="14" t="str" cm="1">
        <f t="array" ref="R215">_xlfn.IFS(OR(Q215="Missing",Q215="N/A",Q215="Still Employed"),Q215,ISNUMBER(SEARCH(",",Q215)),DATEVALUE(Q215),AND(ISNUMBER(SEARCH("-",Q215)),ISNUMBER(VALUE(LEFT(Q215,4)))),DATE(LEFT(Q215,4),MID(Q215,6,2),RIGHT(Q215,2)),ISNUMBER(SEARCH("-",Q215)),DATE(RIGHT(Q215,4),MID(Q215,4,2),LEFT(Q215,2)),ISNUMBER(SEARCH("/",Q215)),DATE(RIGHT(Q215,4),MID(Q215,4,2),LEFT(Q215,2)),TRUE,"Check Manually")</f>
        <v>Missing</v>
      </c>
      <c r="S215" s="31" t="str">
        <f t="shared" ca="1" si="44"/>
        <v>2 Years, 2 Months, 7 Days</v>
      </c>
      <c r="T215" s="31">
        <f t="shared" ca="1" si="45"/>
        <v>798.38</v>
      </c>
      <c r="U215" s="31" t="str" cm="1">
        <f t="array" ref="U215">_xlfn.IFS(OR(R215="Missing",R215="N/A",R215="Still Employed"),"Unknown",ISNUMBER(R215),"Exited",TRUE,"Unknown")</f>
        <v>Unknown</v>
      </c>
      <c r="V215" s="31" t="str">
        <f t="shared" si="46"/>
        <v/>
      </c>
      <c r="W215" s="14" t="str">
        <f t="shared" si="47"/>
        <v>Active</v>
      </c>
      <c r="X215" s="19" t="s">
        <v>959</v>
      </c>
      <c r="Y215" s="18" t="str">
        <f t="shared" si="40"/>
        <v>₹162,349</v>
      </c>
      <c r="Z215" s="22" t="str" cm="1">
        <f t="array" ref="Z215">_xlfn.IFS(Y215="","0",LEFT(Y215,5)="",Y215,LEFT(Y215,1)="₹",REPLACE(Y215,1,1,""),LEFT(Y215,4)="Rs. ",REPLACE(Y215,1,4,""),TRUE,Y215)</f>
        <v>162,349</v>
      </c>
      <c r="AA215" s="22" t="str">
        <f t="shared" si="41"/>
        <v>162349</v>
      </c>
      <c r="AB215" s="7" t="s">
        <v>127</v>
      </c>
      <c r="AC215" s="7" t="str">
        <f t="shared" si="42"/>
        <v>Good</v>
      </c>
      <c r="AD215" s="7"/>
      <c r="AE215" cm="1">
        <f t="array" ref="AE215">_xlfn.IFS(AD215="",0,AD215&lt;0,"Negate Leave",AD215&gt;=0,AD215)</f>
        <v>0</v>
      </c>
    </row>
    <row r="216" spans="1:31" x14ac:dyDescent="0.3">
      <c r="A216" s="7">
        <v>5145</v>
      </c>
      <c r="B216" s="7" t="s">
        <v>951</v>
      </c>
      <c r="C216" s="7" t="str">
        <f t="shared" si="37"/>
        <v>Deepak Agarwal</v>
      </c>
      <c r="D216" s="7" t="str">
        <f t="shared" si="38"/>
        <v>Deepak Agarwal</v>
      </c>
      <c r="E216" s="7" t="s">
        <v>68</v>
      </c>
      <c r="F216" s="7" t="s">
        <v>389</v>
      </c>
      <c r="G216" s="7" t="s">
        <v>140</v>
      </c>
      <c r="H216" s="7" t="str">
        <f>_xlfn.XLOOKUP(G216,Lookup_Tables!$A$4:$A$9,Lookup_Tables!$C$4:$C$9,"Not Found",0)</f>
        <v>Sunita Rao</v>
      </c>
      <c r="I216" s="7" t="s">
        <v>175</v>
      </c>
      <c r="J216" s="7" t="s">
        <v>961</v>
      </c>
      <c r="K216" s="7" t="str">
        <f t="shared" si="39"/>
        <v xml:space="preserve">vikram.pillai@company.com </v>
      </c>
      <c r="L216" s="7" t="s">
        <v>962</v>
      </c>
      <c r="M216" s="7" t="str">
        <f t="shared" si="36"/>
        <v>7509619239</v>
      </c>
      <c r="N216" s="7" t="str" cm="1">
        <f t="array" ref="N216">_xlfn.IFS(M216="","Incomplete",LEN(M216)&lt;10,"Invalid",AND(LEN(M216) =10,LEFT(M216,4) &lt;&gt;"+91-"),"+91-"&amp;M216,TRUE,M216)</f>
        <v>+91-7509619239</v>
      </c>
      <c r="O216" s="8" t="s">
        <v>963</v>
      </c>
      <c r="P216" s="14" t="s">
        <v>126</v>
      </c>
      <c r="Q216" s="14" t="str">
        <f t="shared" si="43"/>
        <v>N/A</v>
      </c>
      <c r="R216" s="14" t="str" cm="1">
        <f t="array" ref="R216">_xlfn.IFS(OR(Q216="Missing",Q216="N/A",Q216="Still Employed"),Q216,ISNUMBER(SEARCH(",",Q216)),DATEVALUE(Q216),AND(ISNUMBER(SEARCH("-",Q216)),ISNUMBER(VALUE(LEFT(Q216,4)))),DATE(LEFT(Q216,4),MID(Q216,6,2),RIGHT(Q216,2)),ISNUMBER(SEARCH("-",Q216)),DATE(RIGHT(Q216,4),MID(Q216,4,2),LEFT(Q216,2)),ISNUMBER(SEARCH("/",Q216)),DATE(RIGHT(Q216,4),MID(Q216,4,2),LEFT(Q216,2)),TRUE,"Check Manually")</f>
        <v>N/A</v>
      </c>
      <c r="S216" s="31" t="str">
        <f t="shared" ca="1" si="44"/>
        <v>7 Years, 3 Months, 29 Days</v>
      </c>
      <c r="T216" s="31">
        <f t="shared" ca="1" si="45"/>
        <v>2677.07</v>
      </c>
      <c r="U216" s="31" t="str" cm="1">
        <f t="array" ref="U216">_xlfn.IFS(OR(R216="Missing",R216="N/A",R216="Still Employed"),"Unknown",ISNUMBER(R216),"Exited",TRUE,"Unknown")</f>
        <v>Unknown</v>
      </c>
      <c r="V216" s="31" t="str">
        <f t="shared" si="46"/>
        <v/>
      </c>
      <c r="W216" s="14" t="str">
        <f t="shared" si="47"/>
        <v>Active</v>
      </c>
      <c r="X216" s="19" t="s">
        <v>964</v>
      </c>
      <c r="Y216" s="18" t="str">
        <f t="shared" si="40"/>
        <v>Rs. 86,731</v>
      </c>
      <c r="Z216" s="22" t="str" cm="1">
        <f t="array" ref="Z216">_xlfn.IFS(Y216="","0",LEFT(Y216,5)="",Y216,LEFT(Y216,1)="₹",REPLACE(Y216,1,1,""),LEFT(Y216,4)="Rs. ",REPLACE(Y216,1,4,""),TRUE,Y216)</f>
        <v>86,731</v>
      </c>
      <c r="AA216" s="22" t="str">
        <f t="shared" si="41"/>
        <v>86731</v>
      </c>
      <c r="AB216" s="7" t="s">
        <v>127</v>
      </c>
      <c r="AC216" s="7" t="str">
        <f t="shared" si="42"/>
        <v>Good</v>
      </c>
      <c r="AD216" s="7">
        <v>3</v>
      </c>
      <c r="AE216" cm="1">
        <f t="array" ref="AE216">_xlfn.IFS(AD216="",0,AD216&lt;0,"Negate Leave",AD216&gt;=0,AD216)</f>
        <v>3</v>
      </c>
    </row>
    <row r="217" spans="1:31" x14ac:dyDescent="0.3">
      <c r="A217" s="7">
        <v>5021</v>
      </c>
      <c r="B217" s="7" t="s">
        <v>956</v>
      </c>
      <c r="C217" s="7" t="str">
        <f t="shared" si="37"/>
        <v>Rohan Bose</v>
      </c>
      <c r="D217" s="7" t="str">
        <f t="shared" si="38"/>
        <v>Rohan Bose</v>
      </c>
      <c r="E217" s="7" t="s">
        <v>61</v>
      </c>
      <c r="F217" s="7" t="s">
        <v>219</v>
      </c>
      <c r="G217" s="7" t="s">
        <v>46</v>
      </c>
      <c r="H217" s="7" t="str">
        <f>_xlfn.XLOOKUP(G217,Lookup_Tables!$A$4:$A$9,Lookup_Tables!$C$4:$C$9,"Not Found",0)</f>
        <v>Faisal Ahmed</v>
      </c>
      <c r="I217" s="7" t="s">
        <v>85</v>
      </c>
      <c r="J217" s="7" t="s">
        <v>966</v>
      </c>
      <c r="K217" s="7" t="str">
        <f t="shared" si="39"/>
        <v>karthik.mehta@company.com</v>
      </c>
      <c r="L217" s="7" t="s">
        <v>967</v>
      </c>
      <c r="M217" s="7" t="str">
        <f t="shared" si="36"/>
        <v>+91-4683673221</v>
      </c>
      <c r="N217" s="7" t="str" cm="1">
        <f t="array" ref="N217">_xlfn.IFS(M217="","Incomplete",LEN(M217)&lt;10,"Invalid",AND(LEN(M217) =10,LEFT(M217,4) &lt;&gt;"+91-"),"+91-"&amp;M217,TRUE,M217)</f>
        <v>+91-4683673221</v>
      </c>
      <c r="O217" s="8" t="s">
        <v>968</v>
      </c>
      <c r="P217" s="14"/>
      <c r="Q217" s="14" t="str">
        <f t="shared" si="43"/>
        <v>Missing</v>
      </c>
      <c r="R217" s="14" t="str" cm="1">
        <f t="array" ref="R217">_xlfn.IFS(OR(Q217="Missing",Q217="N/A",Q217="Still Employed"),Q217,ISNUMBER(SEARCH(",",Q217)),DATEVALUE(Q217),AND(ISNUMBER(SEARCH("-",Q217)),ISNUMBER(VALUE(LEFT(Q217,4)))),DATE(LEFT(Q217,4),MID(Q217,6,2),RIGHT(Q217,2)),ISNUMBER(SEARCH("-",Q217)),DATE(RIGHT(Q217,4),MID(Q217,4,2),LEFT(Q217,2)),ISNUMBER(SEARCH("/",Q217)),DATE(RIGHT(Q217,4),MID(Q217,4,2),LEFT(Q217,2)),TRUE,"Check Manually")</f>
        <v>Missing</v>
      </c>
      <c r="S217" s="31" t="str">
        <f t="shared" ca="1" si="44"/>
        <v>7 Years, 10 Months, 12 Days</v>
      </c>
      <c r="T217" s="31">
        <f t="shared" ca="1" si="45"/>
        <v>2873.15</v>
      </c>
      <c r="U217" s="31" t="str" cm="1">
        <f t="array" ref="U217">_xlfn.IFS(OR(R217="Missing",R217="N/A",R217="Still Employed"),"Unknown",ISNUMBER(R217),"Exited",TRUE,"Unknown")</f>
        <v>Unknown</v>
      </c>
      <c r="V217" s="31" t="str">
        <f t="shared" si="46"/>
        <v/>
      </c>
      <c r="W217" s="14" t="str">
        <f t="shared" si="47"/>
        <v>Active</v>
      </c>
      <c r="X217" s="19">
        <v>145243</v>
      </c>
      <c r="Y217" s="18" t="str">
        <f t="shared" si="40"/>
        <v>145243</v>
      </c>
      <c r="Z217" s="22" t="str" cm="1">
        <f t="array" ref="Z217">_xlfn.IFS(Y217="","0",LEFT(Y217,5)="",Y217,LEFT(Y217,1)="₹",REPLACE(Y217,1,1,""),LEFT(Y217,4)="Rs. ",REPLACE(Y217,1,4,""),TRUE,Y217)</f>
        <v>145243</v>
      </c>
      <c r="AA217" s="22" t="str">
        <f t="shared" si="41"/>
        <v>145243</v>
      </c>
      <c r="AB217" s="7" t="s">
        <v>127</v>
      </c>
      <c r="AC217" s="7" t="str">
        <f t="shared" si="42"/>
        <v>Good</v>
      </c>
      <c r="AD217" s="7">
        <v>20</v>
      </c>
      <c r="AE217" cm="1">
        <f t="array" ref="AE217">_xlfn.IFS(AD217="",0,AD217&lt;0,"Negate Leave",AD217&gt;=0,AD217)</f>
        <v>20</v>
      </c>
    </row>
    <row r="218" spans="1:31" x14ac:dyDescent="0.3">
      <c r="A218" s="7">
        <v>5039</v>
      </c>
      <c r="B218" s="7" t="s">
        <v>960</v>
      </c>
      <c r="C218" s="7" t="str">
        <f t="shared" si="37"/>
        <v>Vikram Pillai</v>
      </c>
      <c r="D218" s="7" t="str">
        <f t="shared" si="38"/>
        <v>Vikram Pillai</v>
      </c>
      <c r="E218" s="7" t="s">
        <v>68</v>
      </c>
      <c r="F218" s="7" t="s">
        <v>151</v>
      </c>
      <c r="G218" s="7" t="s">
        <v>76</v>
      </c>
      <c r="H218" s="7" t="str">
        <f>_xlfn.XLOOKUP(G218,Lookup_Tables!$A$4:$A$9,Lookup_Tables!$C$4:$C$9,"Not Found",0)</f>
        <v>Ananya Sen</v>
      </c>
      <c r="I218" s="7" t="s">
        <v>55</v>
      </c>
      <c r="J218" s="7" t="s">
        <v>970</v>
      </c>
      <c r="K218" s="7" t="str">
        <f t="shared" si="39"/>
        <v>meenal.shah@company.com</v>
      </c>
      <c r="L218" s="7" t="s">
        <v>971</v>
      </c>
      <c r="M218" s="7" t="str">
        <f t="shared" si="36"/>
        <v>3255366934</v>
      </c>
      <c r="N218" s="7" t="str" cm="1">
        <f t="array" ref="N218">_xlfn.IFS(M218="","Incomplete",LEN(M218)&lt;10,"Invalid",AND(LEN(M218) =10,LEFT(M218,4) &lt;&gt;"+91-"),"+91-"&amp;M218,TRUE,M218)</f>
        <v>+91-3255366934</v>
      </c>
      <c r="O218" s="8" t="s">
        <v>972</v>
      </c>
      <c r="P218" s="14"/>
      <c r="Q218" s="14" t="str">
        <f t="shared" si="43"/>
        <v>Missing</v>
      </c>
      <c r="R218" s="14" t="str" cm="1">
        <f t="array" ref="R218">_xlfn.IFS(OR(Q218="Missing",Q218="N/A",Q218="Still Employed"),Q218,ISNUMBER(SEARCH(",",Q218)),DATEVALUE(Q218),AND(ISNUMBER(SEARCH("-",Q218)),ISNUMBER(VALUE(LEFT(Q218,4)))),DATE(LEFT(Q218,4),MID(Q218,6,2),RIGHT(Q218,2)),ISNUMBER(SEARCH("-",Q218)),DATE(RIGHT(Q218,4),MID(Q218,4,2),LEFT(Q218,2)),ISNUMBER(SEARCH("/",Q218)),DATE(RIGHT(Q218,4),MID(Q218,4,2),LEFT(Q218,2)),TRUE,"Check Manually")</f>
        <v>Missing</v>
      </c>
      <c r="S218" s="31" t="str">
        <f t="shared" ca="1" si="44"/>
        <v>7 Years, 1 Months, 5 Days</v>
      </c>
      <c r="T218" s="31">
        <f t="shared" ca="1" si="45"/>
        <v>2592.19</v>
      </c>
      <c r="U218" s="31" t="str" cm="1">
        <f t="array" ref="U218">_xlfn.IFS(OR(R218="Missing",R218="N/A",R218="Still Employed"),"Unknown",ISNUMBER(R218),"Exited",TRUE,"Unknown")</f>
        <v>Unknown</v>
      </c>
      <c r="V218" s="31" t="str">
        <f t="shared" si="46"/>
        <v/>
      </c>
      <c r="W218" s="14" t="str">
        <f t="shared" si="47"/>
        <v>Active</v>
      </c>
      <c r="X218" s="19">
        <v>68500</v>
      </c>
      <c r="Y218" s="18" t="str">
        <f t="shared" si="40"/>
        <v>68500</v>
      </c>
      <c r="Z218" s="22" t="str" cm="1">
        <f t="array" ref="Z218">_xlfn.IFS(Y218="","0",LEFT(Y218,5)="",Y218,LEFT(Y218,1)="₹",REPLACE(Y218,1,1,""),LEFT(Y218,4)="Rs. ",REPLACE(Y218,1,4,""),TRUE,Y218)</f>
        <v>68500</v>
      </c>
      <c r="AA218" s="22" t="str">
        <f t="shared" si="41"/>
        <v>68500</v>
      </c>
      <c r="AB218" s="7" t="s">
        <v>89</v>
      </c>
      <c r="AC218" s="7" t="str">
        <f t="shared" si="42"/>
        <v>Below Average</v>
      </c>
      <c r="AD218" s="7">
        <v>18</v>
      </c>
      <c r="AE218" cm="1">
        <f t="array" ref="AE218">_xlfn.IFS(AD218="",0,AD218&lt;0,"Negate Leave",AD218&gt;=0,AD218)</f>
        <v>18</v>
      </c>
    </row>
    <row r="219" spans="1:31" x14ac:dyDescent="0.3">
      <c r="A219" s="7">
        <v>5057</v>
      </c>
      <c r="B219" s="7" t="s">
        <v>965</v>
      </c>
      <c r="C219" s="7" t="str">
        <f t="shared" si="37"/>
        <v>Karthik Mehta</v>
      </c>
      <c r="D219" s="7" t="str">
        <f t="shared" si="38"/>
        <v>Karthik Mehta</v>
      </c>
      <c r="E219" s="7" t="s">
        <v>68</v>
      </c>
      <c r="F219" s="7" t="s">
        <v>219</v>
      </c>
      <c r="G219" s="7" t="s">
        <v>46</v>
      </c>
      <c r="H219" s="7" t="str">
        <f>_xlfn.XLOOKUP(G219,Lookup_Tables!$A$4:$A$9,Lookup_Tables!$C$4:$C$9,"Not Found",0)</f>
        <v>Faisal Ahmed</v>
      </c>
      <c r="I219" s="7" t="s">
        <v>70</v>
      </c>
      <c r="J219" s="7" t="s">
        <v>974</v>
      </c>
      <c r="K219" s="7" t="str">
        <f t="shared" si="39"/>
        <v>sneha.trivedi@company.com</v>
      </c>
      <c r="L219" s="7" t="s">
        <v>975</v>
      </c>
      <c r="M219" s="7" t="str">
        <f t="shared" si="36"/>
        <v>3194275879</v>
      </c>
      <c r="N219" s="7" t="str" cm="1">
        <f t="array" ref="N219">_xlfn.IFS(M219="","Incomplete",LEN(M219)&lt;10,"Invalid",AND(LEN(M219) =10,LEFT(M219,4) &lt;&gt;"+91-"),"+91-"&amp;M219,TRUE,M219)</f>
        <v>+91-3194275879</v>
      </c>
      <c r="O219" s="8" t="s">
        <v>976</v>
      </c>
      <c r="P219" s="14" t="s">
        <v>977</v>
      </c>
      <c r="Q219" s="14" t="str">
        <f t="shared" si="43"/>
        <v>Oct 22, 2024</v>
      </c>
      <c r="R219" s="14" cm="1">
        <f t="array" ref="R219">_xlfn.IFS(OR(Q219="Missing",Q219="N/A",Q219="Still Employed"),Q219,ISNUMBER(SEARCH(",",Q219)),DATEVALUE(Q219),AND(ISNUMBER(SEARCH("-",Q219)),ISNUMBER(VALUE(LEFT(Q219,4)))),DATE(LEFT(Q219,4),MID(Q219,6,2),RIGHT(Q219,2)),ISNUMBER(SEARCH("-",Q219)),DATE(RIGHT(Q219,4),MID(Q219,4,2),LEFT(Q219,2)),ISNUMBER(SEARCH("/",Q219)),DATE(RIGHT(Q219,4),MID(Q219,4,2),LEFT(Q219,2)),TRUE,"Check Manually")</f>
        <v>45587</v>
      </c>
      <c r="S219" s="31" t="str">
        <f t="shared" ca="1" si="44"/>
        <v>4 Years, 8 Months, 19 Days</v>
      </c>
      <c r="T219" s="31">
        <f t="shared" ca="1" si="45"/>
        <v>1723.52</v>
      </c>
      <c r="U219" s="31" t="str" cm="1">
        <f t="array" ref="U219">_xlfn.IFS(OR(R219="Missing",R219="N/A",R219="Still Employed"),"Unknown",ISNUMBER(R219),"Exited",TRUE,"Unknown")</f>
        <v>Exited</v>
      </c>
      <c r="V219" s="31">
        <f t="shared" si="46"/>
        <v>2024</v>
      </c>
      <c r="W219" s="14" t="str">
        <f t="shared" si="47"/>
        <v>Exited</v>
      </c>
      <c r="X219" s="19">
        <v>150421</v>
      </c>
      <c r="Y219" s="18" t="str">
        <f t="shared" si="40"/>
        <v>150421</v>
      </c>
      <c r="Z219" s="22" t="str" cm="1">
        <f t="array" ref="Z219">_xlfn.IFS(Y219="","0",LEFT(Y219,5)="",Y219,LEFT(Y219,1)="₹",REPLACE(Y219,1,1,""),LEFT(Y219,4)="Rs. ",REPLACE(Y219,1,4,""),TRUE,Y219)</f>
        <v>150421</v>
      </c>
      <c r="AA219" s="22" t="str">
        <f t="shared" si="41"/>
        <v>150421</v>
      </c>
      <c r="AB219" s="7" t="s">
        <v>127</v>
      </c>
      <c r="AC219" s="7" t="str">
        <f t="shared" si="42"/>
        <v>Good</v>
      </c>
      <c r="AD219" s="7">
        <v>-3</v>
      </c>
      <c r="AE219" t="str" cm="1">
        <f t="array" ref="AE219">_xlfn.IFS(AD219="",0,AD219&lt;0,"Negate Leave",AD219&gt;=0,AD219)</f>
        <v>Negate Leave</v>
      </c>
    </row>
    <row r="220" spans="1:31" x14ac:dyDescent="0.3">
      <c r="A220" s="7">
        <v>5092</v>
      </c>
      <c r="B220" s="7" t="s">
        <v>969</v>
      </c>
      <c r="C220" s="7" t="str">
        <f t="shared" si="37"/>
        <v>Meenal Shah</v>
      </c>
      <c r="D220" s="7" t="str">
        <f t="shared" si="38"/>
        <v>Meenal Shah</v>
      </c>
      <c r="E220" s="7" t="s">
        <v>84</v>
      </c>
      <c r="F220" s="7" t="s">
        <v>133</v>
      </c>
      <c r="G220" s="7" t="s">
        <v>69</v>
      </c>
      <c r="H220" s="7" t="str">
        <f>_xlfn.XLOOKUP(G220,Lookup_Tables!$A$4:$A$9,Lookup_Tables!$C$4:$C$9,"Not Found",0)</f>
        <v>Vivek Malhotra</v>
      </c>
      <c r="I220" s="7" t="s">
        <v>85</v>
      </c>
      <c r="J220" s="7" t="s">
        <v>979</v>
      </c>
      <c r="K220" s="7" t="str">
        <f t="shared" si="39"/>
        <v>neha.bhatt@company.com</v>
      </c>
      <c r="L220" s="7" t="s">
        <v>980</v>
      </c>
      <c r="M220" s="7" t="str">
        <f t="shared" si="36"/>
        <v>+91-8844536849</v>
      </c>
      <c r="N220" s="7" t="str" cm="1">
        <f t="array" ref="N220">_xlfn.IFS(M220="","Incomplete",LEN(M220)&lt;10,"Invalid",AND(LEN(M220) =10,LEFT(M220,4) &lt;&gt;"+91-"),"+91-"&amp;M220,TRUE,M220)</f>
        <v>+91-8844536849</v>
      </c>
      <c r="O220" s="8" t="s">
        <v>981</v>
      </c>
      <c r="P220" s="14" t="s">
        <v>126</v>
      </c>
      <c r="Q220" s="14" t="str">
        <f t="shared" si="43"/>
        <v>N/A</v>
      </c>
      <c r="R220" s="14" t="str" cm="1">
        <f t="array" ref="R220">_xlfn.IFS(OR(Q220="Missing",Q220="N/A",Q220="Still Employed"),Q220,ISNUMBER(SEARCH(",",Q220)),DATEVALUE(Q220),AND(ISNUMBER(SEARCH("-",Q220)),ISNUMBER(VALUE(LEFT(Q220,4)))),DATE(LEFT(Q220,4),MID(Q220,6,2),RIGHT(Q220,2)),ISNUMBER(SEARCH("-",Q220)),DATE(RIGHT(Q220,4),MID(Q220,4,2),LEFT(Q220,2)),ISNUMBER(SEARCH("/",Q220)),DATE(RIGHT(Q220,4),MID(Q220,4,2),LEFT(Q220,2)),TRUE,"Check Manually")</f>
        <v>N/A</v>
      </c>
      <c r="S220" s="31" t="str">
        <f t="shared" ca="1" si="44"/>
        <v>2 Years, 10 Months, 4 Days</v>
      </c>
      <c r="T220" s="31">
        <f t="shared" ca="1" si="45"/>
        <v>1038.9000000000001</v>
      </c>
      <c r="U220" s="31" t="str" cm="1">
        <f t="array" ref="U220">_xlfn.IFS(OR(R220="Missing",R220="N/A",R220="Still Employed"),"Unknown",ISNUMBER(R220),"Exited",TRUE,"Unknown")</f>
        <v>Unknown</v>
      </c>
      <c r="V220" s="31" t="str">
        <f t="shared" si="46"/>
        <v/>
      </c>
      <c r="W220" s="14" t="str">
        <f t="shared" si="47"/>
        <v>Active</v>
      </c>
      <c r="X220" s="19">
        <v>164959</v>
      </c>
      <c r="Y220" s="18" t="str">
        <f t="shared" si="40"/>
        <v>164959</v>
      </c>
      <c r="Z220" s="22" t="str" cm="1">
        <f t="array" ref="Z220">_xlfn.IFS(Y220="","0",LEFT(Y220,5)="",Y220,LEFT(Y220,1)="₹",REPLACE(Y220,1,1,""),LEFT(Y220,4)="Rs. ",REPLACE(Y220,1,4,""),TRUE,Y220)</f>
        <v>164959</v>
      </c>
      <c r="AA220" s="22" t="str">
        <f t="shared" si="41"/>
        <v>164959</v>
      </c>
      <c r="AB220" s="7" t="s">
        <v>127</v>
      </c>
      <c r="AC220" s="7" t="str">
        <f t="shared" si="42"/>
        <v>Good</v>
      </c>
      <c r="AD220" s="7">
        <v>5</v>
      </c>
      <c r="AE220" cm="1">
        <f t="array" ref="AE220">_xlfn.IFS(AD220="",0,AD220&lt;0,"Negate Leave",AD220&gt;=0,AD220)</f>
        <v>5</v>
      </c>
    </row>
    <row r="221" spans="1:31" x14ac:dyDescent="0.3">
      <c r="A221" s="7">
        <v>5349</v>
      </c>
      <c r="B221" s="7" t="s">
        <v>973</v>
      </c>
      <c r="C221" s="7" t="str">
        <f t="shared" si="37"/>
        <v>Sneha Trivedi</v>
      </c>
      <c r="D221" s="7" t="str">
        <f t="shared" si="38"/>
        <v>Sneha Trivedi</v>
      </c>
      <c r="E221" s="7" t="s">
        <v>61</v>
      </c>
      <c r="F221" s="7" t="s">
        <v>389</v>
      </c>
      <c r="G221" s="7" t="s">
        <v>140</v>
      </c>
      <c r="H221" s="7" t="str">
        <f>_xlfn.XLOOKUP(G221,Lookup_Tables!$A$4:$A$9,Lookup_Tables!$C$4:$C$9,"Not Found",0)</f>
        <v>Sunita Rao</v>
      </c>
      <c r="I221" s="7" t="s">
        <v>110</v>
      </c>
      <c r="J221" s="7" t="s">
        <v>623</v>
      </c>
      <c r="K221" s="7" t="str">
        <f t="shared" si="39"/>
        <v>deepak.naidu@company.com</v>
      </c>
      <c r="L221" s="7" t="s">
        <v>983</v>
      </c>
      <c r="M221" s="7" t="str">
        <f t="shared" si="36"/>
        <v>+91-6411288126</v>
      </c>
      <c r="N221" s="7" t="str" cm="1">
        <f t="array" ref="N221">_xlfn.IFS(M221="","Incomplete",LEN(M221)&lt;10,"Invalid",AND(LEN(M221) =10,LEFT(M221,4) &lt;&gt;"+91-"),"+91-"&amp;M221,TRUE,M221)</f>
        <v>+91-6411288126</v>
      </c>
      <c r="O221" s="8" t="s">
        <v>198</v>
      </c>
      <c r="P221" s="14"/>
      <c r="Q221" s="14" t="str">
        <f t="shared" si="43"/>
        <v>Missing</v>
      </c>
      <c r="R221" s="14" t="str" cm="1">
        <f t="array" ref="R221">_xlfn.IFS(OR(Q221="Missing",Q221="N/A",Q221="Still Employed"),Q221,ISNUMBER(SEARCH(",",Q221)),DATEVALUE(Q221),AND(ISNUMBER(SEARCH("-",Q221)),ISNUMBER(VALUE(LEFT(Q221,4)))),DATE(LEFT(Q221,4),MID(Q221,6,2),RIGHT(Q221,2)),ISNUMBER(SEARCH("-",Q221)),DATE(RIGHT(Q221,4),MID(Q221,4,2),LEFT(Q221,2)),ISNUMBER(SEARCH("/",Q221)),DATE(RIGHT(Q221,4),MID(Q221,4,2),LEFT(Q221,2)),TRUE,"Check Manually")</f>
        <v>Missing</v>
      </c>
      <c r="S221" s="31" t="str">
        <f t="shared" ca="1" si="44"/>
        <v>7 Years, 8 Months, 14 Days</v>
      </c>
      <c r="T221" s="31">
        <f t="shared" ca="1" si="45"/>
        <v>2814.27</v>
      </c>
      <c r="U221" s="31" t="str" cm="1">
        <f t="array" ref="U221">_xlfn.IFS(OR(R221="Missing",R221="N/A",R221="Still Employed"),"Unknown",ISNUMBER(R221),"Exited",TRUE,"Unknown")</f>
        <v>Unknown</v>
      </c>
      <c r="V221" s="31" t="str">
        <f t="shared" si="46"/>
        <v/>
      </c>
      <c r="W221" s="14" t="str">
        <f t="shared" si="47"/>
        <v>Active</v>
      </c>
      <c r="X221" s="19">
        <v>71853</v>
      </c>
      <c r="Y221" s="18" t="str">
        <f t="shared" si="40"/>
        <v>71853</v>
      </c>
      <c r="Z221" s="22" t="str" cm="1">
        <f t="array" ref="Z221">_xlfn.IFS(Y221="","0",LEFT(Y221,5)="",Y221,LEFT(Y221,1)="₹",REPLACE(Y221,1,1,""),LEFT(Y221,4)="Rs. ",REPLACE(Y221,1,4,""),TRUE,Y221)</f>
        <v>71853</v>
      </c>
      <c r="AA221" s="22" t="str">
        <f t="shared" si="41"/>
        <v>71853</v>
      </c>
      <c r="AB221" s="7"/>
      <c r="AC221" s="7" t="str">
        <f t="shared" si="42"/>
        <v>Not Rated</v>
      </c>
      <c r="AD221" s="7">
        <v>20</v>
      </c>
      <c r="AE221" cm="1">
        <f t="array" ref="AE221">_xlfn.IFS(AD221="",0,AD221&lt;0,"Negate Leave",AD221&gt;=0,AD221)</f>
        <v>20</v>
      </c>
    </row>
    <row r="222" spans="1:31" x14ac:dyDescent="0.3">
      <c r="A222" s="7">
        <v>5232</v>
      </c>
      <c r="B222" s="7" t="s">
        <v>978</v>
      </c>
      <c r="C222" s="7" t="str">
        <f t="shared" si="37"/>
        <v>neha bhatt</v>
      </c>
      <c r="D222" s="7" t="str">
        <f t="shared" si="38"/>
        <v>Neha Bhatt</v>
      </c>
      <c r="E222" s="7" t="s">
        <v>61</v>
      </c>
      <c r="F222" s="7" t="s">
        <v>53</v>
      </c>
      <c r="G222" s="7" t="s">
        <v>54</v>
      </c>
      <c r="H222" s="7" t="str">
        <f>_xlfn.XLOOKUP(G222,Lookup_Tables!$A$4:$A$9,Lookup_Tables!$C$4:$C$9,"Not Found",0)</f>
        <v>Leela Iyer</v>
      </c>
      <c r="I222" s="7" t="s">
        <v>77</v>
      </c>
      <c r="J222" s="7"/>
      <c r="K222" s="7" t="str">
        <f t="shared" si="39"/>
        <v>No Email ID</v>
      </c>
      <c r="L222" s="7"/>
      <c r="M222" s="7" t="str">
        <f t="shared" si="36"/>
        <v/>
      </c>
      <c r="N222" s="7" t="str" cm="1">
        <f t="array" ref="N222">_xlfn.IFS(M222="","Incomplete",LEN(M222)&lt;10,"Invalid",AND(LEN(M222) =10,LEFT(M222,4) &lt;&gt;"+91-"),"+91-"&amp;M222,TRUE,M222)</f>
        <v>Incomplete</v>
      </c>
      <c r="O222" s="8" t="s">
        <v>984</v>
      </c>
      <c r="P222" s="14" t="s">
        <v>114</v>
      </c>
      <c r="Q222" s="14" t="str">
        <f t="shared" si="43"/>
        <v>Still Employed</v>
      </c>
      <c r="R222" s="14" t="str" cm="1">
        <f t="array" ref="R222">_xlfn.IFS(OR(Q222="Missing",Q222="N/A",Q222="Still Employed"),Q222,ISNUMBER(SEARCH(",",Q222)),DATEVALUE(Q222),AND(ISNUMBER(SEARCH("-",Q222)),ISNUMBER(VALUE(LEFT(Q222,4)))),DATE(LEFT(Q222,4),MID(Q222,6,2),RIGHT(Q222,2)),ISNUMBER(SEARCH("-",Q222)),DATE(RIGHT(Q222,4),MID(Q222,4,2),LEFT(Q222,2)),ISNUMBER(SEARCH("/",Q222)),DATE(RIGHT(Q222,4),MID(Q222,4,2),LEFT(Q222,2)),TRUE,"Check Manually")</f>
        <v>Still Employed</v>
      </c>
      <c r="S222" s="31" t="str">
        <f t="shared" ca="1" si="44"/>
        <v>5 Years, 3 Months, 12 Days</v>
      </c>
      <c r="T222" s="31">
        <f t="shared" ca="1" si="45"/>
        <v>1929.57</v>
      </c>
      <c r="U222" s="31" t="str" cm="1">
        <f t="array" ref="U222">_xlfn.IFS(OR(R222="Missing",R222="N/A",R222="Still Employed"),"Unknown",ISNUMBER(R222),"Exited",TRUE,"Unknown")</f>
        <v>Unknown</v>
      </c>
      <c r="V222" s="31" t="str">
        <f t="shared" si="46"/>
        <v/>
      </c>
      <c r="W222" s="14" t="str">
        <f t="shared" si="47"/>
        <v>Active</v>
      </c>
      <c r="X222" s="19"/>
      <c r="Y222" s="18" t="str">
        <f t="shared" si="40"/>
        <v/>
      </c>
      <c r="Z222" s="22" t="str" cm="1">
        <f t="array" ref="Z222">_xlfn.IFS(Y222="","0",LEFT(Y222,5)="",Y222,LEFT(Y222,1)="₹",REPLACE(Y222,1,1,""),LEFT(Y222,4)="Rs. ",REPLACE(Y222,1,4,""),TRUE,Y222)</f>
        <v>0</v>
      </c>
      <c r="AA222" s="22" t="str">
        <f t="shared" si="41"/>
        <v>0</v>
      </c>
      <c r="AB222" s="7" t="s">
        <v>127</v>
      </c>
      <c r="AC222" s="7" t="str">
        <f t="shared" si="42"/>
        <v>Good</v>
      </c>
      <c r="AD222" s="7">
        <v>-3</v>
      </c>
      <c r="AE222" t="str" cm="1">
        <f t="array" ref="AE222">_xlfn.IFS(AD222="",0,AD222&lt;0,"Negate Leave",AD222&gt;=0,AD222)</f>
        <v>Negate Leave</v>
      </c>
    </row>
    <row r="223" spans="1:31" x14ac:dyDescent="0.3">
      <c r="A223" s="7">
        <v>5191</v>
      </c>
      <c r="B223" s="7" t="s">
        <v>982</v>
      </c>
      <c r="C223" s="7" t="str">
        <f t="shared" si="37"/>
        <v>Deepak Naidu</v>
      </c>
      <c r="D223" s="7" t="str">
        <f t="shared" si="38"/>
        <v>Deepak Naidu</v>
      </c>
      <c r="E223" s="7" t="s">
        <v>84</v>
      </c>
      <c r="F223" s="7" t="s">
        <v>389</v>
      </c>
      <c r="G223" s="7" t="s">
        <v>140</v>
      </c>
      <c r="H223" s="7" t="str">
        <f>_xlfn.XLOOKUP(G223,Lookup_Tables!$A$4:$A$9,Lookup_Tables!$C$4:$C$9,"Not Found",0)</f>
        <v>Sunita Rao</v>
      </c>
      <c r="I223" s="7" t="s">
        <v>85</v>
      </c>
      <c r="J223" s="7" t="s">
        <v>48</v>
      </c>
      <c r="K223" s="7" t="str">
        <f t="shared" si="39"/>
        <v>rajesh.trivedi@company.com</v>
      </c>
      <c r="L223" s="7"/>
      <c r="M223" s="7" t="str">
        <f t="shared" si="36"/>
        <v/>
      </c>
      <c r="N223" s="7" t="str" cm="1">
        <f t="array" ref="N223">_xlfn.IFS(M223="","Incomplete",LEN(M223)&lt;10,"Invalid",AND(LEN(M223) =10,LEFT(M223,4) &lt;&gt;"+91-"),"+91-"&amp;M223,TRUE,M223)</f>
        <v>Incomplete</v>
      </c>
      <c r="O223" s="8" t="s">
        <v>986</v>
      </c>
      <c r="P223" s="14"/>
      <c r="Q223" s="14" t="str">
        <f t="shared" si="43"/>
        <v>Missing</v>
      </c>
      <c r="R223" s="14" t="str" cm="1">
        <f t="array" ref="R223">_xlfn.IFS(OR(Q223="Missing",Q223="N/A",Q223="Still Employed"),Q223,ISNUMBER(SEARCH(",",Q223)),DATEVALUE(Q223),AND(ISNUMBER(SEARCH("-",Q223)),ISNUMBER(VALUE(LEFT(Q223,4)))),DATE(LEFT(Q223,4),MID(Q223,6,2),RIGHT(Q223,2)),ISNUMBER(SEARCH("-",Q223)),DATE(RIGHT(Q223,4),MID(Q223,4,2),LEFT(Q223,2)),ISNUMBER(SEARCH("/",Q223)),DATE(RIGHT(Q223,4),MID(Q223,4,2),LEFT(Q223,2)),TRUE,"Check Manually")</f>
        <v>Missing</v>
      </c>
      <c r="S223" s="31" t="str">
        <f t="shared" ca="1" si="44"/>
        <v>2 Years, 6 Months, 3 Days</v>
      </c>
      <c r="T223" s="31">
        <f t="shared" ca="1" si="45"/>
        <v>916.14</v>
      </c>
      <c r="U223" s="31" t="str" cm="1">
        <f t="array" ref="U223">_xlfn.IFS(OR(R223="Missing",R223="N/A",R223="Still Employed"),"Unknown",ISNUMBER(R223),"Exited",TRUE,"Unknown")</f>
        <v>Unknown</v>
      </c>
      <c r="V223" s="31" t="str">
        <f t="shared" si="46"/>
        <v/>
      </c>
      <c r="W223" s="14" t="str">
        <f t="shared" si="47"/>
        <v>Active</v>
      </c>
      <c r="X223" s="19">
        <v>161873</v>
      </c>
      <c r="Y223" s="18" t="str">
        <f t="shared" si="40"/>
        <v>161873</v>
      </c>
      <c r="Z223" s="22" t="str" cm="1">
        <f t="array" ref="Z223">_xlfn.IFS(Y223="","0",LEFT(Y223,5)="",Y223,LEFT(Y223,1)="₹",REPLACE(Y223,1,1,""),LEFT(Y223,4)="Rs. ",REPLACE(Y223,1,4,""),TRUE,Y223)</f>
        <v>161873</v>
      </c>
      <c r="AA223" s="22" t="str">
        <f t="shared" si="41"/>
        <v>161873</v>
      </c>
      <c r="AB223" s="7" t="s">
        <v>144</v>
      </c>
      <c r="AC223" s="7" t="str">
        <f t="shared" si="42"/>
        <v>Poor</v>
      </c>
      <c r="AD223" s="7">
        <v>16</v>
      </c>
      <c r="AE223" cm="1">
        <f t="array" ref="AE223">_xlfn.IFS(AD223="",0,AD223&lt;0,"Negate Leave",AD223&gt;=0,AD223)</f>
        <v>16</v>
      </c>
    </row>
    <row r="224" spans="1:31" x14ac:dyDescent="0.3">
      <c r="A224" s="7">
        <v>5323</v>
      </c>
      <c r="B224" s="7" t="s">
        <v>771</v>
      </c>
      <c r="C224" s="7" t="str">
        <f t="shared" si="37"/>
        <v>Meenal Naidu</v>
      </c>
      <c r="D224" s="7" t="str">
        <f t="shared" si="38"/>
        <v>Meenal Naidu</v>
      </c>
      <c r="E224" s="7" t="s">
        <v>61</v>
      </c>
      <c r="F224" s="7" t="s">
        <v>219</v>
      </c>
      <c r="G224" s="7" t="s">
        <v>46</v>
      </c>
      <c r="H224" s="7" t="str">
        <f>_xlfn.XLOOKUP(G224,Lookup_Tables!$A$4:$A$9,Lookup_Tables!$C$4:$C$9,"Not Found",0)</f>
        <v>Faisal Ahmed</v>
      </c>
      <c r="I224" s="7" t="s">
        <v>77</v>
      </c>
      <c r="J224" s="7" t="s">
        <v>988</v>
      </c>
      <c r="K224" s="7" t="str">
        <f t="shared" si="39"/>
        <v>pooja.iyer@company.com</v>
      </c>
      <c r="L224" s="7" t="s">
        <v>989</v>
      </c>
      <c r="M224" s="7" t="str">
        <f t="shared" si="36"/>
        <v>+91-3272941176</v>
      </c>
      <c r="N224" s="7" t="str" cm="1">
        <f t="array" ref="N224">_xlfn.IFS(M224="","Incomplete",LEN(M224)&lt;10,"Invalid",AND(LEN(M224) =10,LEFT(M224,4) &lt;&gt;"+91-"),"+91-"&amp;M224,TRUE,M224)</f>
        <v>+91-3272941176</v>
      </c>
      <c r="O224" s="8" t="s">
        <v>990</v>
      </c>
      <c r="P224" s="14"/>
      <c r="Q224" s="14" t="str">
        <f t="shared" si="43"/>
        <v>Missing</v>
      </c>
      <c r="R224" s="14" t="str" cm="1">
        <f t="array" ref="R224">_xlfn.IFS(OR(Q224="Missing",Q224="N/A",Q224="Still Employed"),Q224,ISNUMBER(SEARCH(",",Q224)),DATEVALUE(Q224),AND(ISNUMBER(SEARCH("-",Q224)),ISNUMBER(VALUE(LEFT(Q224,4)))),DATE(LEFT(Q224,4),MID(Q224,6,2),RIGHT(Q224,2)),ISNUMBER(SEARCH("-",Q224)),DATE(RIGHT(Q224,4),MID(Q224,4,2),LEFT(Q224,2)),ISNUMBER(SEARCH("/",Q224)),DATE(RIGHT(Q224,4),MID(Q224,4,2),LEFT(Q224,2)),TRUE,"Check Manually")</f>
        <v>Missing</v>
      </c>
      <c r="S224" s="31" t="str">
        <f t="shared" ca="1" si="44"/>
        <v>4 Years, 7 Months, 20 Days</v>
      </c>
      <c r="T224" s="31">
        <f t="shared" ca="1" si="45"/>
        <v>1694.08</v>
      </c>
      <c r="U224" s="31" t="str" cm="1">
        <f t="array" ref="U224">_xlfn.IFS(OR(R224="Missing",R224="N/A",R224="Still Employed"),"Unknown",ISNUMBER(R224),"Exited",TRUE,"Unknown")</f>
        <v>Unknown</v>
      </c>
      <c r="V224" s="31" t="str">
        <f t="shared" si="46"/>
        <v/>
      </c>
      <c r="W224" s="14" t="str">
        <f t="shared" si="47"/>
        <v>Active</v>
      </c>
      <c r="X224" s="19">
        <v>124352</v>
      </c>
      <c r="Y224" s="18" t="str">
        <f t="shared" si="40"/>
        <v>124352</v>
      </c>
      <c r="Z224" s="22" t="str" cm="1">
        <f t="array" ref="Z224">_xlfn.IFS(Y224="","0",LEFT(Y224,5)="",Y224,LEFT(Y224,1)="₹",REPLACE(Y224,1,1,""),LEFT(Y224,4)="Rs. ",REPLACE(Y224,1,4,""),TRUE,Y224)</f>
        <v>124352</v>
      </c>
      <c r="AA224" s="22" t="str">
        <f t="shared" si="41"/>
        <v>124352</v>
      </c>
      <c r="AB224" s="7" t="s">
        <v>51</v>
      </c>
      <c r="AC224" s="7" t="str">
        <f t="shared" si="42"/>
        <v>Excellent</v>
      </c>
      <c r="AD224" s="7">
        <v>-1</v>
      </c>
      <c r="AE224" t="str" cm="1">
        <f t="array" ref="AE224">_xlfn.IFS(AD224="",0,AD224&lt;0,"Negate Leave",AD224&gt;=0,AD224)</f>
        <v>Negate Leave</v>
      </c>
    </row>
    <row r="225" spans="1:31" x14ac:dyDescent="0.3">
      <c r="A225" s="7">
        <v>5309</v>
      </c>
      <c r="B225" s="7" t="s">
        <v>985</v>
      </c>
      <c r="C225" s="7" t="str">
        <f t="shared" si="37"/>
        <v>Rajesh Trivedi</v>
      </c>
      <c r="D225" s="7" t="str">
        <f t="shared" si="38"/>
        <v>Rajesh Trivedi</v>
      </c>
      <c r="E225" s="7" t="s">
        <v>61</v>
      </c>
      <c r="F225" s="7" t="s">
        <v>122</v>
      </c>
      <c r="G225" s="7" t="s">
        <v>91</v>
      </c>
      <c r="H225" s="7" t="str">
        <f>_xlfn.XLOOKUP(G225,Lookup_Tables!$A$4:$A$9,Lookup_Tables!$C$4:$C$9,"Not Found",0)</f>
        <v>Rajiv Kapoor</v>
      </c>
      <c r="I225" s="7" t="s">
        <v>110</v>
      </c>
      <c r="J225" s="7" t="s">
        <v>992</v>
      </c>
      <c r="K225" s="7" t="str">
        <f t="shared" si="39"/>
        <v>meenal.kulkarni@company.com</v>
      </c>
      <c r="L225" s="7" t="s">
        <v>993</v>
      </c>
      <c r="M225" s="7" t="str">
        <f t="shared" si="36"/>
        <v>3658410973</v>
      </c>
      <c r="N225" s="7" t="str" cm="1">
        <f t="array" ref="N225">_xlfn.IFS(M225="","Incomplete",LEN(M225)&lt;10,"Invalid",AND(LEN(M225) =10,LEFT(M225,4) &lt;&gt;"+91-"),"+91-"&amp;M225,TRUE,M225)</f>
        <v>+91-3658410973</v>
      </c>
      <c r="O225" s="8" t="s">
        <v>994</v>
      </c>
      <c r="P225" s="14" t="s">
        <v>126</v>
      </c>
      <c r="Q225" s="14" t="str">
        <f t="shared" si="43"/>
        <v>N/A</v>
      </c>
      <c r="R225" s="14" t="str" cm="1">
        <f t="array" ref="R225">_xlfn.IFS(OR(Q225="Missing",Q225="N/A",Q225="Still Employed"),Q225,ISNUMBER(SEARCH(",",Q225)),DATEVALUE(Q225),AND(ISNUMBER(SEARCH("-",Q225)),ISNUMBER(VALUE(LEFT(Q225,4)))),DATE(LEFT(Q225,4),MID(Q225,6,2),RIGHT(Q225,2)),ISNUMBER(SEARCH("-",Q225)),DATE(RIGHT(Q225,4),MID(Q225,4,2),LEFT(Q225,2)),ISNUMBER(SEARCH("/",Q225)),DATE(RIGHT(Q225,4),MID(Q225,4,2),LEFT(Q225,2)),TRUE,"Check Manually")</f>
        <v>N/A</v>
      </c>
      <c r="S225" s="31" t="str">
        <f t="shared" ca="1" si="44"/>
        <v>3 Years, 8 Months, 0 Days</v>
      </c>
      <c r="T225" s="31">
        <f t="shared" ca="1" si="45"/>
        <v>1339.27</v>
      </c>
      <c r="U225" s="31" t="str" cm="1">
        <f t="array" ref="U225">_xlfn.IFS(OR(R225="Missing",R225="N/A",R225="Still Employed"),"Unknown",ISNUMBER(R225),"Exited",TRUE,"Unknown")</f>
        <v>Unknown</v>
      </c>
      <c r="V225" s="31" t="str">
        <f t="shared" si="46"/>
        <v/>
      </c>
      <c r="W225" s="14" t="str">
        <f t="shared" si="47"/>
        <v>Active</v>
      </c>
      <c r="X225" s="19">
        <v>135137</v>
      </c>
      <c r="Y225" s="18" t="str">
        <f t="shared" si="40"/>
        <v>135137</v>
      </c>
      <c r="Z225" s="22" t="str" cm="1">
        <f t="array" ref="Z225">_xlfn.IFS(Y225="","0",LEFT(Y225,5)="",Y225,LEFT(Y225,1)="₹",REPLACE(Y225,1,1,""),LEFT(Y225,4)="Rs. ",REPLACE(Y225,1,4,""),TRUE,Y225)</f>
        <v>135137</v>
      </c>
      <c r="AA225" s="22" t="str">
        <f t="shared" si="41"/>
        <v>135137</v>
      </c>
      <c r="AB225" s="7" t="s">
        <v>144</v>
      </c>
      <c r="AC225" s="7" t="str">
        <f t="shared" si="42"/>
        <v>Poor</v>
      </c>
      <c r="AD225" s="7">
        <v>7</v>
      </c>
      <c r="AE225" cm="1">
        <f t="array" ref="AE225">_xlfn.IFS(AD225="",0,AD225&lt;0,"Negate Leave",AD225&gt;=0,AD225)</f>
        <v>7</v>
      </c>
    </row>
    <row r="226" spans="1:31" x14ac:dyDescent="0.3">
      <c r="A226" s="7">
        <v>5032</v>
      </c>
      <c r="B226" s="7" t="s">
        <v>934</v>
      </c>
      <c r="C226" s="7" t="str">
        <f t="shared" si="37"/>
        <v>Aarav Agarwal</v>
      </c>
      <c r="D226" s="7" t="str">
        <f t="shared" si="38"/>
        <v>Aarav Agarwal</v>
      </c>
      <c r="E226" s="7" t="s">
        <v>61</v>
      </c>
      <c r="F226" s="7" t="s">
        <v>389</v>
      </c>
      <c r="G226" s="7" t="s">
        <v>140</v>
      </c>
      <c r="H226" s="7" t="str">
        <f>_xlfn.XLOOKUP(G226,Lookup_Tables!$A$4:$A$9,Lookup_Tables!$C$4:$C$9,"Not Found",0)</f>
        <v>Sunita Rao</v>
      </c>
      <c r="I226" s="7" t="s">
        <v>70</v>
      </c>
      <c r="J226" s="7" t="s">
        <v>996</v>
      </c>
      <c r="K226" s="7" t="str">
        <f t="shared" si="39"/>
        <v>tanvi.desai@company.com</v>
      </c>
      <c r="L226" s="7" t="s">
        <v>997</v>
      </c>
      <c r="M226" s="7" t="str">
        <f t="shared" si="36"/>
        <v>4940132850</v>
      </c>
      <c r="N226" s="7" t="str" cm="1">
        <f t="array" ref="N226">_xlfn.IFS(M226="","Incomplete",LEN(M226)&lt;10,"Invalid",AND(LEN(M226) =10,LEFT(M226,4) &lt;&gt;"+91-"),"+91-"&amp;M226,TRUE,M226)</f>
        <v>+91-4940132850</v>
      </c>
      <c r="O226" s="8" t="s">
        <v>998</v>
      </c>
      <c r="P226" s="14"/>
      <c r="Q226" s="14" t="str">
        <f t="shared" si="43"/>
        <v>Missing</v>
      </c>
      <c r="R226" s="14" t="str" cm="1">
        <f t="array" ref="R226">_xlfn.IFS(OR(Q226="Missing",Q226="N/A",Q226="Still Employed"),Q226,ISNUMBER(SEARCH(",",Q226)),DATEVALUE(Q226),AND(ISNUMBER(SEARCH("-",Q226)),ISNUMBER(VALUE(LEFT(Q226,4)))),DATE(LEFT(Q226,4),MID(Q226,6,2),RIGHT(Q226,2)),ISNUMBER(SEARCH("-",Q226)),DATE(RIGHT(Q226,4),MID(Q226,4,2),LEFT(Q226,2)),ISNUMBER(SEARCH("/",Q226)),DATE(RIGHT(Q226,4),MID(Q226,4,2),LEFT(Q226,2)),TRUE,"Check Manually")</f>
        <v>Missing</v>
      </c>
      <c r="S226" s="31" t="str">
        <f t="shared" ca="1" si="44"/>
        <v>2 Years, 4 Months, 28 Days</v>
      </c>
      <c r="T226" s="31">
        <f t="shared" ca="1" si="45"/>
        <v>880.26</v>
      </c>
      <c r="U226" s="31" t="str" cm="1">
        <f t="array" ref="U226">_xlfn.IFS(OR(R226="Missing",R226="N/A",R226="Still Employed"),"Unknown",ISNUMBER(R226),"Exited",TRUE,"Unknown")</f>
        <v>Unknown</v>
      </c>
      <c r="V226" s="31" t="str">
        <f t="shared" si="46"/>
        <v/>
      </c>
      <c r="W226" s="14" t="str">
        <f t="shared" si="47"/>
        <v>Active</v>
      </c>
      <c r="X226" s="19"/>
      <c r="Y226" s="18" t="str">
        <f t="shared" si="40"/>
        <v/>
      </c>
      <c r="Z226" s="22" t="str" cm="1">
        <f t="array" ref="Z226">_xlfn.IFS(Y226="","0",LEFT(Y226,5)="",Y226,LEFT(Y226,1)="₹",REPLACE(Y226,1,1,""),LEFT(Y226,4)="Rs. ",REPLACE(Y226,1,4,""),TRUE,Y226)</f>
        <v>0</v>
      </c>
      <c r="AA226" s="22" t="str">
        <f t="shared" si="41"/>
        <v>0</v>
      </c>
      <c r="AB226" s="7" t="s">
        <v>144</v>
      </c>
      <c r="AC226" s="7" t="str">
        <f t="shared" si="42"/>
        <v>Poor</v>
      </c>
      <c r="AD226" s="7">
        <v>17</v>
      </c>
      <c r="AE226" cm="1">
        <f t="array" ref="AE226">_xlfn.IFS(AD226="",0,AD226&lt;0,"Negate Leave",AD226&gt;=0,AD226)</f>
        <v>17</v>
      </c>
    </row>
    <row r="227" spans="1:31" x14ac:dyDescent="0.3">
      <c r="A227" s="7">
        <v>5317</v>
      </c>
      <c r="B227" s="7" t="s">
        <v>987</v>
      </c>
      <c r="C227" s="7" t="str">
        <f t="shared" si="37"/>
        <v>Pooja Iyer</v>
      </c>
      <c r="D227" s="7" t="str">
        <f t="shared" si="38"/>
        <v>Pooja Iyer</v>
      </c>
      <c r="E227" s="7" t="s">
        <v>68</v>
      </c>
      <c r="F227" s="7" t="s">
        <v>133</v>
      </c>
      <c r="G227" s="7" t="s">
        <v>69</v>
      </c>
      <c r="H227" s="7" t="str">
        <f>_xlfn.XLOOKUP(G227,Lookup_Tables!$A$4:$A$9,Lookup_Tables!$C$4:$C$9,"Not Found",0)</f>
        <v>Vivek Malhotra</v>
      </c>
      <c r="I227" s="7" t="s">
        <v>47</v>
      </c>
      <c r="J227" s="7" t="s">
        <v>1000</v>
      </c>
      <c r="K227" s="7" t="str">
        <f t="shared" si="39"/>
        <v>divya.bhatt@company.com</v>
      </c>
      <c r="L227" s="7"/>
      <c r="M227" s="7" t="str">
        <f t="shared" si="36"/>
        <v/>
      </c>
      <c r="N227" s="7" t="str" cm="1">
        <f t="array" ref="N227">_xlfn.IFS(M227="","Incomplete",LEN(M227)&lt;10,"Invalid",AND(LEN(M227) =10,LEFT(M227,4) &lt;&gt;"+91-"),"+91-"&amp;M227,TRUE,M227)</f>
        <v>Incomplete</v>
      </c>
      <c r="O227" s="8" t="s">
        <v>1001</v>
      </c>
      <c r="P227" s="14"/>
      <c r="Q227" s="14" t="str">
        <f t="shared" si="43"/>
        <v>Missing</v>
      </c>
      <c r="R227" s="14" t="str" cm="1">
        <f t="array" ref="R227">_xlfn.IFS(OR(Q227="Missing",Q227="N/A",Q227="Still Employed"),Q227,ISNUMBER(SEARCH(",",Q227)),DATEVALUE(Q227),AND(ISNUMBER(SEARCH("-",Q227)),ISNUMBER(VALUE(LEFT(Q227,4)))),DATE(LEFT(Q227,4),MID(Q227,6,2),RIGHT(Q227,2)),ISNUMBER(SEARCH("-",Q227)),DATE(RIGHT(Q227,4),MID(Q227,4,2),LEFT(Q227,2)),ISNUMBER(SEARCH("/",Q227)),DATE(RIGHT(Q227,4),MID(Q227,4,2),LEFT(Q227,2)),TRUE,"Check Manually")</f>
        <v>Missing</v>
      </c>
      <c r="S227" s="31" t="str">
        <f t="shared" ca="1" si="44"/>
        <v>4 Years, 6 Months, 3 Days</v>
      </c>
      <c r="T227" s="31">
        <f t="shared" ca="1" si="45"/>
        <v>1646.64</v>
      </c>
      <c r="U227" s="31" t="str" cm="1">
        <f t="array" ref="U227">_xlfn.IFS(OR(R227="Missing",R227="N/A",R227="Still Employed"),"Unknown",ISNUMBER(R227),"Exited",TRUE,"Unknown")</f>
        <v>Unknown</v>
      </c>
      <c r="V227" s="31" t="str">
        <f t="shared" si="46"/>
        <v/>
      </c>
      <c r="W227" s="14" t="str">
        <f t="shared" si="47"/>
        <v>Active</v>
      </c>
      <c r="X227" s="19">
        <v>120756</v>
      </c>
      <c r="Y227" s="18" t="str">
        <f t="shared" si="40"/>
        <v>120756</v>
      </c>
      <c r="Z227" s="22" t="str" cm="1">
        <f t="array" ref="Z227">_xlfn.IFS(Y227="","0",LEFT(Y227,5)="",Y227,LEFT(Y227,1)="₹",REPLACE(Y227,1,1,""),LEFT(Y227,4)="Rs. ",REPLACE(Y227,1,4,""),TRUE,Y227)</f>
        <v>120756</v>
      </c>
      <c r="AA227" s="22" t="str">
        <f t="shared" si="41"/>
        <v>120756</v>
      </c>
      <c r="AB227" s="7" t="s">
        <v>95</v>
      </c>
      <c r="AC227" s="7" t="str">
        <f t="shared" si="42"/>
        <v>Average</v>
      </c>
      <c r="AD227" s="7">
        <v>25</v>
      </c>
      <c r="AE227" cm="1">
        <f t="array" ref="AE227">_xlfn.IFS(AD227="",0,AD227&lt;0,"Negate Leave",AD227&gt;=0,AD227)</f>
        <v>25</v>
      </c>
    </row>
    <row r="228" spans="1:31" x14ac:dyDescent="0.3">
      <c r="A228" s="7">
        <v>5170</v>
      </c>
      <c r="B228" s="7" t="s">
        <v>991</v>
      </c>
      <c r="C228" s="7" t="str">
        <f t="shared" si="37"/>
        <v>meenal kulkarni</v>
      </c>
      <c r="D228" s="7" t="str">
        <f t="shared" si="38"/>
        <v>Meenal Kulkarni</v>
      </c>
      <c r="E228" s="7" t="s">
        <v>61</v>
      </c>
      <c r="F228" s="7" t="s">
        <v>133</v>
      </c>
      <c r="G228" s="7" t="s">
        <v>69</v>
      </c>
      <c r="H228" s="7" t="str">
        <f>_xlfn.XLOOKUP(G228,Lookup_Tables!$A$4:$A$9,Lookup_Tables!$C$4:$C$9,"Not Found",0)</f>
        <v>Vivek Malhotra</v>
      </c>
      <c r="I228" s="7" t="s">
        <v>70</v>
      </c>
      <c r="J228" s="7" t="s">
        <v>1003</v>
      </c>
      <c r="K228" s="7" t="str">
        <f t="shared" si="39"/>
        <v>suresh.naidu@company.com</v>
      </c>
      <c r="L228" s="7" t="s">
        <v>1004</v>
      </c>
      <c r="M228" s="7" t="str">
        <f t="shared" si="36"/>
        <v>8498114333</v>
      </c>
      <c r="N228" s="7" t="str" cm="1">
        <f t="array" ref="N228">_xlfn.IFS(M228="","Incomplete",LEN(M228)&lt;10,"Invalid",AND(LEN(M228) =10,LEFT(M228,4) &lt;&gt;"+91-"),"+91-"&amp;M228,TRUE,M228)</f>
        <v>+91-8498114333</v>
      </c>
      <c r="O228" s="8" t="s">
        <v>1005</v>
      </c>
      <c r="P228" s="14" t="s">
        <v>74</v>
      </c>
      <c r="Q228" s="14" t="str">
        <f t="shared" si="43"/>
        <v>Jun 30, 2025</v>
      </c>
      <c r="R228" s="14" cm="1">
        <f t="array" ref="R228">_xlfn.IFS(OR(Q228="Missing",Q228="N/A",Q228="Still Employed"),Q228,ISNUMBER(SEARCH(",",Q228)),DATEVALUE(Q228),AND(ISNUMBER(SEARCH("-",Q228)),ISNUMBER(VALUE(LEFT(Q228,4)))),DATE(LEFT(Q228,4),MID(Q228,6,2),RIGHT(Q228,2)),ISNUMBER(SEARCH("-",Q228)),DATE(RIGHT(Q228,4),MID(Q228,4,2),LEFT(Q228,2)),ISNUMBER(SEARCH("/",Q228)),DATE(RIGHT(Q228,4),MID(Q228,4,2),LEFT(Q228,2)),TRUE,"Check Manually")</f>
        <v>45838</v>
      </c>
      <c r="S228" s="31" t="str">
        <f t="shared" ca="1" si="44"/>
        <v>2 Years, 3 Months, 5 Days</v>
      </c>
      <c r="T228" s="31">
        <f t="shared" ca="1" si="45"/>
        <v>826.82</v>
      </c>
      <c r="U228" s="31" t="str" cm="1">
        <f t="array" ref="U228">_xlfn.IFS(OR(R228="Missing",R228="N/A",R228="Still Employed"),"Unknown",ISNUMBER(R228),"Exited",TRUE,"Unknown")</f>
        <v>Exited</v>
      </c>
      <c r="V228" s="31">
        <f t="shared" si="46"/>
        <v>2025</v>
      </c>
      <c r="W228" s="14" t="str">
        <f t="shared" si="47"/>
        <v>Exited</v>
      </c>
      <c r="X228" s="19" t="s">
        <v>1006</v>
      </c>
      <c r="Y228" s="18" t="str">
        <f t="shared" si="40"/>
        <v>78,181</v>
      </c>
      <c r="Z228" s="22" t="str" cm="1">
        <f t="array" ref="Z228">_xlfn.IFS(Y228="","0",LEFT(Y228,5)="",Y228,LEFT(Y228,1)="₹",REPLACE(Y228,1,1,""),LEFT(Y228,4)="Rs. ",REPLACE(Y228,1,4,""),TRUE,Y228)</f>
        <v>78,181</v>
      </c>
      <c r="AA228" s="22" t="str">
        <f t="shared" si="41"/>
        <v>78181</v>
      </c>
      <c r="AB228" s="7" t="s">
        <v>127</v>
      </c>
      <c r="AC228" s="7" t="str">
        <f t="shared" si="42"/>
        <v>Good</v>
      </c>
      <c r="AD228" s="7">
        <v>18</v>
      </c>
      <c r="AE228" cm="1">
        <f t="array" ref="AE228">_xlfn.IFS(AD228="",0,AD228&lt;0,"Negate Leave",AD228&gt;=0,AD228)</f>
        <v>18</v>
      </c>
    </row>
    <row r="229" spans="1:31" x14ac:dyDescent="0.3">
      <c r="A229" s="7">
        <v>5319</v>
      </c>
      <c r="B229" s="7" t="s">
        <v>995</v>
      </c>
      <c r="C229" s="7" t="str">
        <f t="shared" si="37"/>
        <v>Tanvi  Desai</v>
      </c>
      <c r="D229" s="7" t="str">
        <f t="shared" si="38"/>
        <v>Tanvi Desai</v>
      </c>
      <c r="E229" s="7" t="s">
        <v>61</v>
      </c>
      <c r="F229" s="7" t="s">
        <v>122</v>
      </c>
      <c r="G229" s="7" t="s">
        <v>91</v>
      </c>
      <c r="H229" s="7" t="str">
        <f>_xlfn.XLOOKUP(G229,Lookup_Tables!$A$4:$A$9,Lookup_Tables!$C$4:$C$9,"Not Found",0)</f>
        <v>Rajiv Kapoor</v>
      </c>
      <c r="I229" s="7" t="s">
        <v>70</v>
      </c>
      <c r="J229" s="7" t="s">
        <v>1008</v>
      </c>
      <c r="K229" s="7" t="str">
        <f t="shared" si="39"/>
        <v>rituverma@company.com</v>
      </c>
      <c r="L229" s="7"/>
      <c r="M229" s="7" t="str">
        <f t="shared" si="36"/>
        <v/>
      </c>
      <c r="N229" s="7" t="str" cm="1">
        <f t="array" ref="N229">_xlfn.IFS(M229="","Incomplete",LEN(M229)&lt;10,"Invalid",AND(LEN(M229) =10,LEFT(M229,4) &lt;&gt;"+91-"),"+91-"&amp;M229,TRUE,M229)</f>
        <v>Incomplete</v>
      </c>
      <c r="O229" s="8" t="s">
        <v>972</v>
      </c>
      <c r="P229" s="14" t="s">
        <v>114</v>
      </c>
      <c r="Q229" s="14" t="str">
        <f t="shared" si="43"/>
        <v>Still Employed</v>
      </c>
      <c r="R229" s="14" t="str" cm="1">
        <f t="array" ref="R229">_xlfn.IFS(OR(Q229="Missing",Q229="N/A",Q229="Still Employed"),Q229,ISNUMBER(SEARCH(",",Q229)),DATEVALUE(Q229),AND(ISNUMBER(SEARCH("-",Q229)),ISNUMBER(VALUE(LEFT(Q229,4)))),DATE(LEFT(Q229,4),MID(Q229,6,2),RIGHT(Q229,2)),ISNUMBER(SEARCH("-",Q229)),DATE(RIGHT(Q229,4),MID(Q229,4,2),LEFT(Q229,2)),ISNUMBER(SEARCH("/",Q229)),DATE(RIGHT(Q229,4),MID(Q229,4,2),LEFT(Q229,2)),TRUE,"Check Manually")</f>
        <v>Still Employed</v>
      </c>
      <c r="S229" s="31" t="str">
        <f t="shared" ca="1" si="44"/>
        <v>7 Years, 1 Months, 5 Days</v>
      </c>
      <c r="T229" s="31">
        <f t="shared" ca="1" si="45"/>
        <v>2592.19</v>
      </c>
      <c r="U229" s="31" t="str" cm="1">
        <f t="array" ref="U229">_xlfn.IFS(OR(R229="Missing",R229="N/A",R229="Still Employed"),"Unknown",ISNUMBER(R229),"Exited",TRUE,"Unknown")</f>
        <v>Unknown</v>
      </c>
      <c r="V229" s="31" t="str">
        <f t="shared" si="46"/>
        <v/>
      </c>
      <c r="W229" s="14" t="str">
        <f t="shared" si="47"/>
        <v>Active</v>
      </c>
      <c r="X229" s="19" t="s">
        <v>1009</v>
      </c>
      <c r="Y229" s="18" t="str">
        <f t="shared" si="40"/>
        <v>₹102,002</v>
      </c>
      <c r="Z229" s="22" t="str" cm="1">
        <f t="array" ref="Z229">_xlfn.IFS(Y229="","0",LEFT(Y229,5)="",Y229,LEFT(Y229,1)="₹",REPLACE(Y229,1,1,""),LEFT(Y229,4)="Rs. ",REPLACE(Y229,1,4,""),TRUE,Y229)</f>
        <v>102,002</v>
      </c>
      <c r="AA229" s="22" t="str">
        <f t="shared" si="41"/>
        <v>102002</v>
      </c>
      <c r="AB229" s="7"/>
      <c r="AC229" s="7" t="str">
        <f t="shared" si="42"/>
        <v>Not Rated</v>
      </c>
      <c r="AD229" s="7">
        <v>7</v>
      </c>
      <c r="AE229" cm="1">
        <f t="array" ref="AE229">_xlfn.IFS(AD229="",0,AD229&lt;0,"Negate Leave",AD229&gt;=0,AD229)</f>
        <v>7</v>
      </c>
    </row>
    <row r="230" spans="1:31" x14ac:dyDescent="0.3">
      <c r="A230" s="7">
        <v>5182</v>
      </c>
      <c r="B230" s="7" t="s">
        <v>999</v>
      </c>
      <c r="C230" s="7" t="str">
        <f t="shared" si="37"/>
        <v>Divya Bhatt</v>
      </c>
      <c r="D230" s="7" t="str">
        <f t="shared" si="38"/>
        <v>Divya Bhatt</v>
      </c>
      <c r="E230" s="7" t="s">
        <v>61</v>
      </c>
      <c r="F230" s="7" t="s">
        <v>133</v>
      </c>
      <c r="G230" s="7" t="s">
        <v>69</v>
      </c>
      <c r="H230" s="7" t="str">
        <f>_xlfn.XLOOKUP(G230,Lookup_Tables!$A$4:$A$9,Lookup_Tables!$C$4:$C$9,"Not Found",0)</f>
        <v>Vivek Malhotra</v>
      </c>
      <c r="I230" s="7" t="s">
        <v>47</v>
      </c>
      <c r="J230" s="7" t="s">
        <v>1011</v>
      </c>
      <c r="K230" s="7" t="str">
        <f t="shared" si="39"/>
        <v>isha.trivedi@company.com</v>
      </c>
      <c r="L230" s="7" t="s">
        <v>1012</v>
      </c>
      <c r="M230" s="7" t="str">
        <f t="shared" si="36"/>
        <v>1900327894</v>
      </c>
      <c r="N230" s="7" t="str" cm="1">
        <f t="array" ref="N230">_xlfn.IFS(M230="","Incomplete",LEN(M230)&lt;10,"Invalid",AND(LEN(M230) =10,LEFT(M230,4) &lt;&gt;"+91-"),"+91-"&amp;M230,TRUE,M230)</f>
        <v>+91-1900327894</v>
      </c>
      <c r="O230" s="8" t="s">
        <v>1013</v>
      </c>
      <c r="P230" s="14"/>
      <c r="Q230" s="14" t="str">
        <f t="shared" si="43"/>
        <v>Missing</v>
      </c>
      <c r="R230" s="14" t="str" cm="1">
        <f t="array" ref="R230">_xlfn.IFS(OR(Q230="Missing",Q230="N/A",Q230="Still Employed"),Q230,ISNUMBER(SEARCH(",",Q230)),DATEVALUE(Q230),AND(ISNUMBER(SEARCH("-",Q230)),ISNUMBER(VALUE(LEFT(Q230,4)))),DATE(LEFT(Q230,4),MID(Q230,6,2),RIGHT(Q230,2)),ISNUMBER(SEARCH("-",Q230)),DATE(RIGHT(Q230,4),MID(Q230,4,2),LEFT(Q230,2)),ISNUMBER(SEARCH("/",Q230)),DATE(RIGHT(Q230,4),MID(Q230,4,2),LEFT(Q230,2)),TRUE,"Check Manually")</f>
        <v>Missing</v>
      </c>
      <c r="S230" s="31" t="str">
        <f t="shared" ca="1" si="44"/>
        <v>3 Years, 11 Months, 8 Days</v>
      </c>
      <c r="T230" s="31">
        <f t="shared" ca="1" si="45"/>
        <v>1438.5900000000001</v>
      </c>
      <c r="U230" s="31" t="str" cm="1">
        <f t="array" ref="U230">_xlfn.IFS(OR(R230="Missing",R230="N/A",R230="Still Employed"),"Unknown",ISNUMBER(R230),"Exited",TRUE,"Unknown")</f>
        <v>Unknown</v>
      </c>
      <c r="V230" s="31" t="str">
        <f t="shared" si="46"/>
        <v/>
      </c>
      <c r="W230" s="14" t="str">
        <f t="shared" si="47"/>
        <v>Active</v>
      </c>
      <c r="X230" s="19">
        <v>179947</v>
      </c>
      <c r="Y230" s="18" t="str">
        <f t="shared" si="40"/>
        <v>179947</v>
      </c>
      <c r="Z230" s="22" t="str" cm="1">
        <f t="array" ref="Z230">_xlfn.IFS(Y230="","0",LEFT(Y230,5)="",Y230,LEFT(Y230,1)="₹",REPLACE(Y230,1,1,""),LEFT(Y230,4)="Rs. ",REPLACE(Y230,1,4,""),TRUE,Y230)</f>
        <v>179947</v>
      </c>
      <c r="AA230" s="22" t="str">
        <f t="shared" si="41"/>
        <v>179947</v>
      </c>
      <c r="AB230" s="7" t="s">
        <v>51</v>
      </c>
      <c r="AC230" s="7" t="str">
        <f t="shared" si="42"/>
        <v>Excellent</v>
      </c>
      <c r="AD230" s="7">
        <v>15</v>
      </c>
      <c r="AE230" cm="1">
        <f t="array" ref="AE230">_xlfn.IFS(AD230="",0,AD230&lt;0,"Negate Leave",AD230&gt;=0,AD230)</f>
        <v>15</v>
      </c>
    </row>
    <row r="231" spans="1:31" x14ac:dyDescent="0.3">
      <c r="A231" s="7">
        <v>5138</v>
      </c>
      <c r="B231" s="7" t="s">
        <v>1002</v>
      </c>
      <c r="C231" s="7" t="str">
        <f t="shared" si="37"/>
        <v>Suresh Naidu</v>
      </c>
      <c r="D231" s="7" t="str">
        <f t="shared" si="38"/>
        <v>Suresh Naidu</v>
      </c>
      <c r="E231" s="7" t="s">
        <v>68</v>
      </c>
      <c r="F231" s="7" t="s">
        <v>122</v>
      </c>
      <c r="G231" s="7" t="s">
        <v>91</v>
      </c>
      <c r="H231" s="7" t="str">
        <f>_xlfn.XLOOKUP(G231,Lookup_Tables!$A$4:$A$9,Lookup_Tables!$C$4:$C$9,"Not Found",0)</f>
        <v>Rajiv Kapoor</v>
      </c>
      <c r="I231" s="7" t="s">
        <v>55</v>
      </c>
      <c r="J231" s="7" t="s">
        <v>341</v>
      </c>
      <c r="K231" s="7" t="str">
        <f t="shared" si="39"/>
        <v>rahul.reddy@company.com</v>
      </c>
      <c r="L231" s="7" t="s">
        <v>1014</v>
      </c>
      <c r="M231" s="7" t="str">
        <f t="shared" si="36"/>
        <v>5901909782</v>
      </c>
      <c r="N231" s="7" t="str" cm="1">
        <f t="array" ref="N231">_xlfn.IFS(M231="","Incomplete",LEN(M231)&lt;10,"Invalid",AND(LEN(M231) =10,LEFT(M231,4) &lt;&gt;"+91-"),"+91-"&amp;M231,TRUE,M231)</f>
        <v>+91-5901909782</v>
      </c>
      <c r="O231" s="8" t="s">
        <v>1015</v>
      </c>
      <c r="P231" s="14" t="s">
        <v>114</v>
      </c>
      <c r="Q231" s="14" t="str">
        <f t="shared" si="43"/>
        <v>Still Employed</v>
      </c>
      <c r="R231" s="14" t="str" cm="1">
        <f t="array" ref="R231">_xlfn.IFS(OR(Q231="Missing",Q231="N/A",Q231="Still Employed"),Q231,ISNUMBER(SEARCH(",",Q231)),DATEVALUE(Q231),AND(ISNUMBER(SEARCH("-",Q231)),ISNUMBER(VALUE(LEFT(Q231,4)))),DATE(LEFT(Q231,4),MID(Q231,6,2),RIGHT(Q231,2)),ISNUMBER(SEARCH("-",Q231)),DATE(RIGHT(Q231,4),MID(Q231,4,2),LEFT(Q231,2)),ISNUMBER(SEARCH("/",Q231)),DATE(RIGHT(Q231,4),MID(Q231,4,2),LEFT(Q231,2)),TRUE,"Check Manually")</f>
        <v>Still Employed</v>
      </c>
      <c r="S231" s="31" t="str">
        <f t="shared" ca="1" si="44"/>
        <v>3 Years, 10 Months, 6 Days</v>
      </c>
      <c r="T231" s="31">
        <f t="shared" ca="1" si="45"/>
        <v>1406.15</v>
      </c>
      <c r="U231" s="31" t="str" cm="1">
        <f t="array" ref="U231">_xlfn.IFS(OR(R231="Missing",R231="N/A",R231="Still Employed"),"Unknown",ISNUMBER(R231),"Exited",TRUE,"Unknown")</f>
        <v>Unknown</v>
      </c>
      <c r="V231" s="31" t="str">
        <f t="shared" si="46"/>
        <v/>
      </c>
      <c r="W231" s="14" t="str">
        <f t="shared" si="47"/>
        <v>Active</v>
      </c>
      <c r="X231" s="19">
        <v>99533</v>
      </c>
      <c r="Y231" s="18" t="str">
        <f t="shared" si="40"/>
        <v>99533</v>
      </c>
      <c r="Z231" s="22" t="str" cm="1">
        <f t="array" ref="Z231">_xlfn.IFS(Y231="","0",LEFT(Y231,5)="",Y231,LEFT(Y231,1)="₹",REPLACE(Y231,1,1,""),LEFT(Y231,4)="Rs. ",REPLACE(Y231,1,4,""),TRUE,Y231)</f>
        <v>99533</v>
      </c>
      <c r="AA231" s="22" t="str">
        <f t="shared" si="41"/>
        <v>99533</v>
      </c>
      <c r="AB231" s="7" t="s">
        <v>144</v>
      </c>
      <c r="AC231" s="7" t="str">
        <f t="shared" si="42"/>
        <v>Poor</v>
      </c>
      <c r="AD231" s="7">
        <v>8</v>
      </c>
      <c r="AE231" cm="1">
        <f t="array" ref="AE231">_xlfn.IFS(AD231="",0,AD231&lt;0,"Negate Leave",AD231&gt;=0,AD231)</f>
        <v>8</v>
      </c>
    </row>
    <row r="232" spans="1:31" x14ac:dyDescent="0.3">
      <c r="A232" s="7">
        <v>5017</v>
      </c>
      <c r="B232" s="7" t="s">
        <v>1007</v>
      </c>
      <c r="C232" s="7" t="str">
        <f t="shared" si="37"/>
        <v>Ritu  Verma</v>
      </c>
      <c r="D232" s="7" t="str">
        <f t="shared" si="38"/>
        <v>Ritu Verma</v>
      </c>
      <c r="E232" s="7" t="s">
        <v>68</v>
      </c>
      <c r="F232" s="7" t="s">
        <v>122</v>
      </c>
      <c r="G232" s="7" t="s">
        <v>91</v>
      </c>
      <c r="H232" s="7" t="str">
        <f>_xlfn.XLOOKUP(G232,Lookup_Tables!$A$4:$A$9,Lookup_Tables!$C$4:$C$9,"Not Found",0)</f>
        <v>Rajiv Kapoor</v>
      </c>
      <c r="I232" s="7" t="s">
        <v>110</v>
      </c>
      <c r="J232" s="7" t="s">
        <v>1017</v>
      </c>
      <c r="K232" s="7" t="str">
        <f t="shared" si="39"/>
        <v xml:space="preserve">rahul.bhatt@company.com </v>
      </c>
      <c r="L232" s="7" t="s">
        <v>1018</v>
      </c>
      <c r="M232" s="7" t="str">
        <f t="shared" si="36"/>
        <v>86222460</v>
      </c>
      <c r="N232" s="7" t="str" cm="1">
        <f t="array" ref="N232">_xlfn.IFS(M232="","Incomplete",LEN(M232)&lt;10,"Invalid",AND(LEN(M232) =10,LEFT(M232,4) &lt;&gt;"+91-"),"+91-"&amp;M232,TRUE,M232)</f>
        <v>Invalid</v>
      </c>
      <c r="O232" s="8" t="s">
        <v>1019</v>
      </c>
      <c r="P232" s="14" t="s">
        <v>126</v>
      </c>
      <c r="Q232" s="14" t="str">
        <f t="shared" si="43"/>
        <v>N/A</v>
      </c>
      <c r="R232" s="14" t="str" cm="1">
        <f t="array" ref="R232">_xlfn.IFS(OR(Q232="Missing",Q232="N/A",Q232="Still Employed"),Q232,ISNUMBER(SEARCH(",",Q232)),DATEVALUE(Q232),AND(ISNUMBER(SEARCH("-",Q232)),ISNUMBER(VALUE(LEFT(Q232,4)))),DATE(LEFT(Q232,4),MID(Q232,6,2),RIGHT(Q232,2)),ISNUMBER(SEARCH("-",Q232)),DATE(RIGHT(Q232,4),MID(Q232,4,2),LEFT(Q232,2)),ISNUMBER(SEARCH("/",Q232)),DATE(RIGHT(Q232,4),MID(Q232,4,2),LEFT(Q232,2)),TRUE,"Check Manually")</f>
        <v>N/A</v>
      </c>
      <c r="S232" s="31" t="str">
        <f t="shared" ca="1" si="44"/>
        <v>5 Years, 9 Months, 14 Days</v>
      </c>
      <c r="T232" s="31">
        <f t="shared" ca="1" si="45"/>
        <v>2114.21</v>
      </c>
      <c r="U232" s="31" t="str" cm="1">
        <f t="array" ref="U232">_xlfn.IFS(OR(R232="Missing",R232="N/A",R232="Still Employed"),"Unknown",ISNUMBER(R232),"Exited",TRUE,"Unknown")</f>
        <v>Unknown</v>
      </c>
      <c r="V232" s="31" t="str">
        <f t="shared" si="46"/>
        <v/>
      </c>
      <c r="W232" s="14" t="str">
        <f t="shared" si="47"/>
        <v>Active</v>
      </c>
      <c r="X232" s="19"/>
      <c r="Y232" s="18" t="str">
        <f t="shared" si="40"/>
        <v/>
      </c>
      <c r="Z232" s="22" t="str" cm="1">
        <f t="array" ref="Z232">_xlfn.IFS(Y232="","0",LEFT(Y232,5)="",Y232,LEFT(Y232,1)="₹",REPLACE(Y232,1,1,""),LEFT(Y232,4)="Rs. ",REPLACE(Y232,1,4,""),TRUE,Y232)</f>
        <v>0</v>
      </c>
      <c r="AA232" s="22" t="str">
        <f t="shared" si="41"/>
        <v>0</v>
      </c>
      <c r="AB232" s="7" t="s">
        <v>127</v>
      </c>
      <c r="AC232" s="7" t="str">
        <f t="shared" si="42"/>
        <v>Good</v>
      </c>
      <c r="AD232" s="7">
        <v>2</v>
      </c>
      <c r="AE232" cm="1">
        <f t="array" ref="AE232">_xlfn.IFS(AD232="",0,AD232&lt;0,"Negate Leave",AD232&gt;=0,AD232)</f>
        <v>2</v>
      </c>
    </row>
    <row r="233" spans="1:31" x14ac:dyDescent="0.3">
      <c r="A233" s="7">
        <v>5088</v>
      </c>
      <c r="B233" s="7" t="s">
        <v>1010</v>
      </c>
      <c r="C233" s="7" t="str">
        <f t="shared" si="37"/>
        <v>Isha Trivedi</v>
      </c>
      <c r="D233" s="7" t="str">
        <f t="shared" si="38"/>
        <v>Isha Trivedi</v>
      </c>
      <c r="E233" s="7" t="s">
        <v>61</v>
      </c>
      <c r="F233" s="7" t="s">
        <v>151</v>
      </c>
      <c r="G233" s="7" t="s">
        <v>76</v>
      </c>
      <c r="H233" s="7" t="str">
        <f>_xlfn.XLOOKUP(G233,Lookup_Tables!$A$4:$A$9,Lookup_Tables!$C$4:$C$9,"Not Found",0)</f>
        <v>Ananya Sen</v>
      </c>
      <c r="I233" s="7" t="s">
        <v>55</v>
      </c>
      <c r="J233" s="7" t="s">
        <v>1021</v>
      </c>
      <c r="K233" s="7" t="str">
        <f t="shared" si="39"/>
        <v>isha.agarwal@company.com</v>
      </c>
      <c r="L233" s="7" t="s">
        <v>1022</v>
      </c>
      <c r="M233" s="7" t="str">
        <f t="shared" si="36"/>
        <v>+91-1322817180</v>
      </c>
      <c r="N233" s="7" t="str" cm="1">
        <f t="array" ref="N233">_xlfn.IFS(M233="","Incomplete",LEN(M233)&lt;10,"Invalid",AND(LEN(M233) =10,LEFT(M233,4) &lt;&gt;"+91-"),"+91-"&amp;M233,TRUE,M233)</f>
        <v>+91-1322817180</v>
      </c>
      <c r="O233" s="8" t="s">
        <v>856</v>
      </c>
      <c r="P233" s="14" t="s">
        <v>126</v>
      </c>
      <c r="Q233" s="14" t="str">
        <f t="shared" si="43"/>
        <v>N/A</v>
      </c>
      <c r="R233" s="14" t="str" cm="1">
        <f t="array" ref="R233">_xlfn.IFS(OR(Q233="Missing",Q233="N/A",Q233="Still Employed"),Q233,ISNUMBER(SEARCH(",",Q233)),DATEVALUE(Q233),AND(ISNUMBER(SEARCH("-",Q233)),ISNUMBER(VALUE(LEFT(Q233,4)))),DATE(LEFT(Q233,4),MID(Q233,6,2),RIGHT(Q233,2)),ISNUMBER(SEARCH("-",Q233)),DATE(RIGHT(Q233,4),MID(Q233,4,2),LEFT(Q233,2)),ISNUMBER(SEARCH("/",Q233)),DATE(RIGHT(Q233,4),MID(Q233,4,2),LEFT(Q233,2)),TRUE,"Check Manually")</f>
        <v>N/A</v>
      </c>
      <c r="S233" s="31" t="str">
        <f t="shared" ca="1" si="44"/>
        <v>8 Years, 6 Months, 20 Days</v>
      </c>
      <c r="T233" s="31">
        <f t="shared" ca="1" si="45"/>
        <v>3124.64</v>
      </c>
      <c r="U233" s="31" t="str" cm="1">
        <f t="array" ref="U233">_xlfn.IFS(OR(R233="Missing",R233="N/A",R233="Still Employed"),"Unknown",ISNUMBER(R233),"Exited",TRUE,"Unknown")</f>
        <v>Unknown</v>
      </c>
      <c r="V233" s="31" t="str">
        <f t="shared" si="46"/>
        <v/>
      </c>
      <c r="W233" s="14" t="str">
        <f t="shared" si="47"/>
        <v>Active</v>
      </c>
      <c r="X233" s="19"/>
      <c r="Y233" s="18" t="str">
        <f t="shared" si="40"/>
        <v/>
      </c>
      <c r="Z233" s="22" t="str" cm="1">
        <f t="array" ref="Z233">_xlfn.IFS(Y233="","0",LEFT(Y233,5)="",Y233,LEFT(Y233,1)="₹",REPLACE(Y233,1,1,""),LEFT(Y233,4)="Rs. ",REPLACE(Y233,1,4,""),TRUE,Y233)</f>
        <v>0</v>
      </c>
      <c r="AA233" s="22" t="str">
        <f t="shared" si="41"/>
        <v>0</v>
      </c>
      <c r="AB233" s="7" t="s">
        <v>144</v>
      </c>
      <c r="AC233" s="7" t="str">
        <f t="shared" si="42"/>
        <v>Poor</v>
      </c>
      <c r="AD233" s="7">
        <v>17</v>
      </c>
      <c r="AE233" cm="1">
        <f t="array" ref="AE233">_xlfn.IFS(AD233="",0,AD233&lt;0,"Negate Leave",AD233&gt;=0,AD233)</f>
        <v>17</v>
      </c>
    </row>
    <row r="234" spans="1:31" x14ac:dyDescent="0.3">
      <c r="A234" s="7">
        <v>5236</v>
      </c>
      <c r="B234" s="7" t="s">
        <v>340</v>
      </c>
      <c r="C234" s="7" t="str">
        <f t="shared" si="37"/>
        <v>Rahul Reddy</v>
      </c>
      <c r="D234" s="7" t="str">
        <f t="shared" si="38"/>
        <v>Rahul Reddy</v>
      </c>
      <c r="E234" s="7" t="s">
        <v>68</v>
      </c>
      <c r="F234" s="7" t="s">
        <v>122</v>
      </c>
      <c r="G234" s="7" t="s">
        <v>91</v>
      </c>
      <c r="H234" s="7" t="str">
        <f>_xlfn.XLOOKUP(G234,Lookup_Tables!$A$4:$A$9,Lookup_Tables!$C$4:$C$9,"Not Found",0)</f>
        <v>Rajiv Kapoor</v>
      </c>
      <c r="I234" s="7" t="s">
        <v>55</v>
      </c>
      <c r="J234" s="7" t="s">
        <v>129</v>
      </c>
      <c r="K234" s="7" t="str">
        <f t="shared" si="39"/>
        <v>tanvi.rao@company.com</v>
      </c>
      <c r="L234" s="7" t="s">
        <v>1023</v>
      </c>
      <c r="M234" s="7" t="str">
        <f t="shared" si="36"/>
        <v>0095235420</v>
      </c>
      <c r="N234" s="7" t="str" cm="1">
        <f t="array" ref="N234">_xlfn.IFS(M234="","Incomplete",LEN(M234)&lt;10,"Invalid",AND(LEN(M234) =10,LEFT(M234,4) &lt;&gt;"+91-"),"+91-"&amp;M234,TRUE,M234)</f>
        <v>+91-0095235420</v>
      </c>
      <c r="O234" s="8" t="s">
        <v>1024</v>
      </c>
      <c r="P234" s="14" t="s">
        <v>126</v>
      </c>
      <c r="Q234" s="14" t="str">
        <f t="shared" si="43"/>
        <v>N/A</v>
      </c>
      <c r="R234" s="14" t="str" cm="1">
        <f t="array" ref="R234">_xlfn.IFS(OR(Q234="Missing",Q234="N/A",Q234="Still Employed"),Q234,ISNUMBER(SEARCH(",",Q234)),DATEVALUE(Q234),AND(ISNUMBER(SEARCH("-",Q234)),ISNUMBER(VALUE(LEFT(Q234,4)))),DATE(LEFT(Q234,4),MID(Q234,6,2),RIGHT(Q234,2)),ISNUMBER(SEARCH("-",Q234)),DATE(RIGHT(Q234,4),MID(Q234,4,2),LEFT(Q234,2)),ISNUMBER(SEARCH("/",Q234)),DATE(RIGHT(Q234,4),MID(Q234,4,2),LEFT(Q234,2)),TRUE,"Check Manually")</f>
        <v>N/A</v>
      </c>
      <c r="S234" s="31" t="str">
        <f t="shared" ca="1" si="44"/>
        <v>7 Years, 5 Months, 6 Days</v>
      </c>
      <c r="T234" s="31">
        <f t="shared" ca="1" si="45"/>
        <v>2714.95</v>
      </c>
      <c r="U234" s="31" t="str" cm="1">
        <f t="array" ref="U234">_xlfn.IFS(OR(R234="Missing",R234="N/A",R234="Still Employed"),"Unknown",ISNUMBER(R234),"Exited",TRUE,"Unknown")</f>
        <v>Unknown</v>
      </c>
      <c r="V234" s="31" t="str">
        <f t="shared" si="46"/>
        <v/>
      </c>
      <c r="W234" s="14" t="str">
        <f t="shared" si="47"/>
        <v>Active</v>
      </c>
      <c r="X234" s="19" t="s">
        <v>1025</v>
      </c>
      <c r="Y234" s="18" t="str">
        <f t="shared" si="40"/>
        <v>₹163,562</v>
      </c>
      <c r="Z234" s="22" t="str" cm="1">
        <f t="array" ref="Z234">_xlfn.IFS(Y234="","0",LEFT(Y234,5)="",Y234,LEFT(Y234,1)="₹",REPLACE(Y234,1,1,""),LEFT(Y234,4)="Rs. ",REPLACE(Y234,1,4,""),TRUE,Y234)</f>
        <v>163,562</v>
      </c>
      <c r="AA234" s="22" t="str">
        <f t="shared" si="41"/>
        <v>163562</v>
      </c>
      <c r="AB234" s="7" t="s">
        <v>144</v>
      </c>
      <c r="AC234" s="7" t="str">
        <f t="shared" si="42"/>
        <v>Poor</v>
      </c>
      <c r="AD234" s="7">
        <v>3</v>
      </c>
      <c r="AE234" cm="1">
        <f t="array" ref="AE234">_xlfn.IFS(AD234="",0,AD234&lt;0,"Negate Leave",AD234&gt;=0,AD234)</f>
        <v>3</v>
      </c>
    </row>
    <row r="235" spans="1:31" x14ac:dyDescent="0.3">
      <c r="A235" s="7">
        <v>5300</v>
      </c>
      <c r="B235" s="7" t="s">
        <v>1016</v>
      </c>
      <c r="C235" s="7" t="str">
        <f t="shared" si="37"/>
        <v>Rahul Bhatt</v>
      </c>
      <c r="D235" s="7" t="str">
        <f t="shared" si="38"/>
        <v>Rahul Bhatt</v>
      </c>
      <c r="E235" s="7" t="s">
        <v>68</v>
      </c>
      <c r="F235" s="7" t="s">
        <v>389</v>
      </c>
      <c r="G235" s="7" t="s">
        <v>140</v>
      </c>
      <c r="H235" s="7" t="str">
        <f>_xlfn.XLOOKUP(G235,Lookup_Tables!$A$4:$A$9,Lookup_Tables!$C$4:$C$9,"Not Found",0)</f>
        <v>Sunita Rao</v>
      </c>
      <c r="I235" s="7" t="s">
        <v>62</v>
      </c>
      <c r="J235" s="7" t="s">
        <v>1027</v>
      </c>
      <c r="K235" s="7" t="str">
        <f t="shared" si="39"/>
        <v>karthiksaxena@company.com</v>
      </c>
      <c r="L235" s="7" t="s">
        <v>1028</v>
      </c>
      <c r="M235" s="7" t="str">
        <f t="shared" si="36"/>
        <v>1482145862</v>
      </c>
      <c r="N235" s="7" t="str" cm="1">
        <f t="array" ref="N235">_xlfn.IFS(M235="","Incomplete",LEN(M235)&lt;10,"Invalid",AND(LEN(M235) =10,LEFT(M235,4) &lt;&gt;"+91-"),"+91-"&amp;M235,TRUE,M235)</f>
        <v>+91-1482145862</v>
      </c>
      <c r="O235" s="8" t="s">
        <v>1029</v>
      </c>
      <c r="P235" s="14"/>
      <c r="Q235" s="14" t="str">
        <f t="shared" si="43"/>
        <v>Missing</v>
      </c>
      <c r="R235" s="14" t="str" cm="1">
        <f t="array" ref="R235">_xlfn.IFS(OR(Q235="Missing",Q235="N/A",Q235="Still Employed"),Q235,ISNUMBER(SEARCH(",",Q235)),DATEVALUE(Q235),AND(ISNUMBER(SEARCH("-",Q235)),ISNUMBER(VALUE(LEFT(Q235,4)))),DATE(LEFT(Q235,4),MID(Q235,6,2),RIGHT(Q235,2)),ISNUMBER(SEARCH("-",Q235)),DATE(RIGHT(Q235,4),MID(Q235,4,2),LEFT(Q235,2)),ISNUMBER(SEARCH("/",Q235)),DATE(RIGHT(Q235,4),MID(Q235,4,2),LEFT(Q235,2)),TRUE,"Check Manually")</f>
        <v>Missing</v>
      </c>
      <c r="S235" s="31" t="str">
        <f t="shared" ca="1" si="44"/>
        <v>3 Years, 9 Months, 29 Days</v>
      </c>
      <c r="T235" s="31">
        <f t="shared" ca="1" si="45"/>
        <v>1398.71</v>
      </c>
      <c r="U235" s="31" t="str" cm="1">
        <f t="array" ref="U235">_xlfn.IFS(OR(R235="Missing",R235="N/A",R235="Still Employed"),"Unknown",ISNUMBER(R235),"Exited",TRUE,"Unknown")</f>
        <v>Unknown</v>
      </c>
      <c r="V235" s="31" t="str">
        <f t="shared" si="46"/>
        <v/>
      </c>
      <c r="W235" s="14" t="str">
        <f t="shared" si="47"/>
        <v>Active</v>
      </c>
      <c r="X235" s="19" t="s">
        <v>1030</v>
      </c>
      <c r="Y235" s="18" t="str">
        <f t="shared" si="40"/>
        <v>124,988</v>
      </c>
      <c r="Z235" s="22" t="str" cm="1">
        <f t="array" ref="Z235">_xlfn.IFS(Y235="","0",LEFT(Y235,5)="",Y235,LEFT(Y235,1)="₹",REPLACE(Y235,1,1,""),LEFT(Y235,4)="Rs. ",REPLACE(Y235,1,4,""),TRUE,Y235)</f>
        <v>124,988</v>
      </c>
      <c r="AA235" s="22" t="str">
        <f t="shared" si="41"/>
        <v>124988</v>
      </c>
      <c r="AB235" s="7" t="s">
        <v>89</v>
      </c>
      <c r="AC235" s="7" t="str">
        <f t="shared" si="42"/>
        <v>Below Average</v>
      </c>
      <c r="AD235" s="7">
        <v>3</v>
      </c>
      <c r="AE235" cm="1">
        <f t="array" ref="AE235">_xlfn.IFS(AD235="",0,AD235&lt;0,"Negate Leave",AD235&gt;=0,AD235)</f>
        <v>3</v>
      </c>
    </row>
    <row r="236" spans="1:31" x14ac:dyDescent="0.3">
      <c r="A236" s="7">
        <v>5027</v>
      </c>
      <c r="B236" s="7" t="s">
        <v>1020</v>
      </c>
      <c r="C236" s="7" t="str">
        <f t="shared" si="37"/>
        <v>Isha Agarwal</v>
      </c>
      <c r="D236" s="7" t="str">
        <f t="shared" si="38"/>
        <v>Isha Agarwal</v>
      </c>
      <c r="E236" s="7" t="s">
        <v>61</v>
      </c>
      <c r="F236" s="7" t="s">
        <v>133</v>
      </c>
      <c r="G236" s="7" t="s">
        <v>69</v>
      </c>
      <c r="H236" s="7" t="str">
        <f>_xlfn.XLOOKUP(G236,Lookup_Tables!$A$4:$A$9,Lookup_Tables!$C$4:$C$9,"Not Found",0)</f>
        <v>Vivek Malhotra</v>
      </c>
      <c r="I236" s="7" t="s">
        <v>47</v>
      </c>
      <c r="J236" s="7" t="s">
        <v>513</v>
      </c>
      <c r="K236" s="7" t="str">
        <f t="shared" si="39"/>
        <v>arjun.iyer@company.com</v>
      </c>
      <c r="L236" s="7" t="s">
        <v>1031</v>
      </c>
      <c r="M236" s="7" t="str">
        <f t="shared" si="36"/>
        <v>1054446877</v>
      </c>
      <c r="N236" s="7" t="str" cm="1">
        <f t="array" ref="N236">_xlfn.IFS(M236="","Incomplete",LEN(M236)&lt;10,"Invalid",AND(LEN(M236) =10,LEFT(M236,4) &lt;&gt;"+91-"),"+91-"&amp;M236,TRUE,M236)</f>
        <v>+91-1054446877</v>
      </c>
      <c r="O236" s="8" t="s">
        <v>1032</v>
      </c>
      <c r="P236" s="14" t="s">
        <v>1033</v>
      </c>
      <c r="Q236" s="14" t="str">
        <f t="shared" si="43"/>
        <v>Nov 04, 2023</v>
      </c>
      <c r="R236" s="14" cm="1">
        <f t="array" ref="R236">_xlfn.IFS(OR(Q236="Missing",Q236="N/A",Q236="Still Employed"),Q236,ISNUMBER(SEARCH(",",Q236)),DATEVALUE(Q236),AND(ISNUMBER(SEARCH("-",Q236)),ISNUMBER(VALUE(LEFT(Q236,4)))),DATE(LEFT(Q236,4),MID(Q236,6,2),RIGHT(Q236,2)),ISNUMBER(SEARCH("-",Q236)),DATE(RIGHT(Q236,4),MID(Q236,4,2),LEFT(Q236,2)),ISNUMBER(SEARCH("/",Q236)),DATE(RIGHT(Q236,4),MID(Q236,4,2),LEFT(Q236,2)),TRUE,"Check Manually")</f>
        <v>45234</v>
      </c>
      <c r="S236" s="31" t="str">
        <f t="shared" ca="1" si="44"/>
        <v>3 Years, 8 Months, 0 Days</v>
      </c>
      <c r="T236" s="31">
        <f t="shared" ca="1" si="45"/>
        <v>1339.27</v>
      </c>
      <c r="U236" s="31" t="str" cm="1">
        <f t="array" ref="U236">_xlfn.IFS(OR(R236="Missing",R236="N/A",R236="Still Employed"),"Unknown",ISNUMBER(R236),"Exited",TRUE,"Unknown")</f>
        <v>Exited</v>
      </c>
      <c r="V236" s="31">
        <f t="shared" si="46"/>
        <v>2023</v>
      </c>
      <c r="W236" s="14" t="str">
        <f t="shared" si="47"/>
        <v>Exited</v>
      </c>
      <c r="X236" s="19" t="s">
        <v>1034</v>
      </c>
      <c r="Y236" s="18" t="str">
        <f t="shared" si="40"/>
        <v>Rs. 120,490</v>
      </c>
      <c r="Z236" s="22" t="str" cm="1">
        <f t="array" ref="Z236">_xlfn.IFS(Y236="","0",LEFT(Y236,5)="",Y236,LEFT(Y236,1)="₹",REPLACE(Y236,1,1,""),LEFT(Y236,4)="Rs. ",REPLACE(Y236,1,4,""),TRUE,Y236)</f>
        <v>120,490</v>
      </c>
      <c r="AA236" s="22" t="str">
        <f t="shared" si="41"/>
        <v>120490</v>
      </c>
      <c r="AB236" s="7" t="s">
        <v>95</v>
      </c>
      <c r="AC236" s="7" t="str">
        <f t="shared" si="42"/>
        <v>Average</v>
      </c>
      <c r="AD236" s="7">
        <v>19</v>
      </c>
      <c r="AE236" cm="1">
        <f t="array" ref="AE236">_xlfn.IFS(AD236="",0,AD236&lt;0,"Negate Leave",AD236&gt;=0,AD236)</f>
        <v>19</v>
      </c>
    </row>
    <row r="237" spans="1:31" x14ac:dyDescent="0.3">
      <c r="A237" s="7">
        <v>5089</v>
      </c>
      <c r="B237" s="7" t="s">
        <v>128</v>
      </c>
      <c r="C237" s="7" t="str">
        <f t="shared" si="37"/>
        <v>Tanvi Rao</v>
      </c>
      <c r="D237" s="7" t="str">
        <f t="shared" si="38"/>
        <v>Tanvi Rao</v>
      </c>
      <c r="E237" s="7" t="s">
        <v>68</v>
      </c>
      <c r="F237" s="7" t="s">
        <v>133</v>
      </c>
      <c r="G237" s="7" t="s">
        <v>69</v>
      </c>
      <c r="H237" s="7" t="str">
        <f>_xlfn.XLOOKUP(G237,Lookup_Tables!$A$4:$A$9,Lookup_Tables!$C$4:$C$9,"Not Found",0)</f>
        <v>Vivek Malhotra</v>
      </c>
      <c r="I237" s="7" t="s">
        <v>85</v>
      </c>
      <c r="J237" s="7" t="s">
        <v>1036</v>
      </c>
      <c r="K237" s="7" t="str">
        <f t="shared" si="39"/>
        <v>priya.bhatt@company.com</v>
      </c>
      <c r="L237" s="7" t="s">
        <v>1037</v>
      </c>
      <c r="M237" s="7" t="str">
        <f t="shared" si="36"/>
        <v>+91-5306661211</v>
      </c>
      <c r="N237" s="7" t="str" cm="1">
        <f t="array" ref="N237">_xlfn.IFS(M237="","Incomplete",LEN(M237)&lt;10,"Invalid",AND(LEN(M237) =10,LEFT(M237,4) &lt;&gt;"+91-"),"+91-"&amp;M237,TRUE,M237)</f>
        <v>+91-5306661211</v>
      </c>
      <c r="O237" s="8" t="s">
        <v>1038</v>
      </c>
      <c r="P237" s="14"/>
      <c r="Q237" s="14" t="str">
        <f t="shared" si="43"/>
        <v>Missing</v>
      </c>
      <c r="R237" s="14" t="str" cm="1">
        <f t="array" ref="R237">_xlfn.IFS(OR(Q237="Missing",Q237="N/A",Q237="Still Employed"),Q237,ISNUMBER(SEARCH(",",Q237)),DATEVALUE(Q237),AND(ISNUMBER(SEARCH("-",Q237)),ISNUMBER(VALUE(LEFT(Q237,4)))),DATE(LEFT(Q237,4),MID(Q237,6,2),RIGHT(Q237,2)),ISNUMBER(SEARCH("-",Q237)),DATE(RIGHT(Q237,4),MID(Q237,4,2),LEFT(Q237,2)),ISNUMBER(SEARCH("/",Q237)),DATE(RIGHT(Q237,4),MID(Q237,4,2),LEFT(Q237,2)),TRUE,"Check Manually")</f>
        <v>Missing</v>
      </c>
      <c r="S237" s="31" t="str">
        <f t="shared" ca="1" si="44"/>
        <v>7 Years, 5 Months, 3 Days</v>
      </c>
      <c r="T237" s="31">
        <f t="shared" ca="1" si="45"/>
        <v>2711.95</v>
      </c>
      <c r="U237" s="31" t="str" cm="1">
        <f t="array" ref="U237">_xlfn.IFS(OR(R237="Missing",R237="N/A",R237="Still Employed"),"Unknown",ISNUMBER(R237),"Exited",TRUE,"Unknown")</f>
        <v>Unknown</v>
      </c>
      <c r="V237" s="31" t="str">
        <f t="shared" si="46"/>
        <v/>
      </c>
      <c r="W237" s="14" t="str">
        <f t="shared" si="47"/>
        <v>Active</v>
      </c>
      <c r="X237" s="19"/>
      <c r="Y237" s="18" t="str">
        <f t="shared" si="40"/>
        <v/>
      </c>
      <c r="Z237" s="22" t="str" cm="1">
        <f t="array" ref="Z237">_xlfn.IFS(Y237="","0",LEFT(Y237,5)="",Y237,LEFT(Y237,1)="₹",REPLACE(Y237,1,1,""),LEFT(Y237,4)="Rs. ",REPLACE(Y237,1,4,""),TRUE,Y237)</f>
        <v>0</v>
      </c>
      <c r="AA237" s="22" t="str">
        <f t="shared" si="41"/>
        <v>0</v>
      </c>
      <c r="AB237" s="7" t="s">
        <v>95</v>
      </c>
      <c r="AC237" s="7" t="str">
        <f t="shared" si="42"/>
        <v>Average</v>
      </c>
      <c r="AD237" s="7">
        <v>0</v>
      </c>
      <c r="AE237" cm="1">
        <f t="array" ref="AE237">_xlfn.IFS(AD237="",0,AD237&lt;0,"Negate Leave",AD237&gt;=0,AD237)</f>
        <v>0</v>
      </c>
    </row>
    <row r="238" spans="1:31" x14ac:dyDescent="0.3">
      <c r="A238" s="7">
        <v>5237</v>
      </c>
      <c r="B238" s="7" t="s">
        <v>512</v>
      </c>
      <c r="C238" s="7" t="str">
        <f t="shared" si="37"/>
        <v>Arjun Iyer</v>
      </c>
      <c r="D238" s="7" t="str">
        <f t="shared" si="38"/>
        <v>Arjun Iyer</v>
      </c>
      <c r="E238" s="7" t="s">
        <v>68</v>
      </c>
      <c r="F238" s="7" t="s">
        <v>151</v>
      </c>
      <c r="G238" s="7" t="s">
        <v>76</v>
      </c>
      <c r="H238" s="7" t="str">
        <f>_xlfn.XLOOKUP(G238,Lookup_Tables!$A$4:$A$9,Lookup_Tables!$C$4:$C$9,"Not Found",0)</f>
        <v>Ananya Sen</v>
      </c>
      <c r="I238" s="7" t="s">
        <v>77</v>
      </c>
      <c r="J238" s="7"/>
      <c r="K238" s="7" t="str">
        <f t="shared" si="39"/>
        <v>No Email ID</v>
      </c>
      <c r="L238" s="7" t="s">
        <v>1041</v>
      </c>
      <c r="M238" s="7" t="str">
        <f t="shared" si="36"/>
        <v>+91-5611923779</v>
      </c>
      <c r="N238" s="7" t="str" cm="1">
        <f t="array" ref="N238">_xlfn.IFS(M238="","Incomplete",LEN(M238)&lt;10,"Invalid",AND(LEN(M238) =10,LEFT(M238,4) &lt;&gt;"+91-"),"+91-"&amp;M238,TRUE,M238)</f>
        <v>+91-5611923779</v>
      </c>
      <c r="O238" s="8" t="s">
        <v>1042</v>
      </c>
      <c r="P238" s="14" t="s">
        <v>126</v>
      </c>
      <c r="Q238" s="14" t="str">
        <f t="shared" si="43"/>
        <v>N/A</v>
      </c>
      <c r="R238" s="14" t="str" cm="1">
        <f t="array" ref="R238">_xlfn.IFS(OR(Q238="Missing",Q238="N/A",Q238="Still Employed"),Q238,ISNUMBER(SEARCH(",",Q238)),DATEVALUE(Q238),AND(ISNUMBER(SEARCH("-",Q238)),ISNUMBER(VALUE(LEFT(Q238,4)))),DATE(LEFT(Q238,4),MID(Q238,6,2),RIGHT(Q238,2)),ISNUMBER(SEARCH("-",Q238)),DATE(RIGHT(Q238,4),MID(Q238,4,2),LEFT(Q238,2)),ISNUMBER(SEARCH("/",Q238)),DATE(RIGHT(Q238,4),MID(Q238,4,2),LEFT(Q238,2)),TRUE,"Check Manually")</f>
        <v>N/A</v>
      </c>
      <c r="S238" s="31" t="str">
        <f t="shared" ca="1" si="44"/>
        <v>4 Years, 9 Months, 3 Days</v>
      </c>
      <c r="T238" s="31">
        <f t="shared" ca="1" si="45"/>
        <v>1737.96</v>
      </c>
      <c r="U238" s="31" t="str" cm="1">
        <f t="array" ref="U238">_xlfn.IFS(OR(R238="Missing",R238="N/A",R238="Still Employed"),"Unknown",ISNUMBER(R238),"Exited",TRUE,"Unknown")</f>
        <v>Unknown</v>
      </c>
      <c r="V238" s="31" t="str">
        <f t="shared" si="46"/>
        <v/>
      </c>
      <c r="W238" s="14" t="str">
        <f t="shared" si="47"/>
        <v>Active</v>
      </c>
      <c r="X238" s="19" t="s">
        <v>1043</v>
      </c>
      <c r="Y238" s="18" t="str">
        <f t="shared" si="40"/>
        <v>162,016</v>
      </c>
      <c r="Z238" s="22" t="str" cm="1">
        <f t="array" ref="Z238">_xlfn.IFS(Y238="","0",LEFT(Y238,5)="",Y238,LEFT(Y238,1)="₹",REPLACE(Y238,1,1,""),LEFT(Y238,4)="Rs. ",REPLACE(Y238,1,4,""),TRUE,Y238)</f>
        <v>162,016</v>
      </c>
      <c r="AA238" s="22" t="str">
        <f t="shared" si="41"/>
        <v>162016</v>
      </c>
      <c r="AB238" s="7" t="s">
        <v>127</v>
      </c>
      <c r="AC238" s="7" t="str">
        <f t="shared" si="42"/>
        <v>Good</v>
      </c>
      <c r="AD238" s="7">
        <v>15</v>
      </c>
      <c r="AE238" cm="1">
        <f t="array" ref="AE238">_xlfn.IFS(AD238="",0,AD238&lt;0,"Negate Leave",AD238&gt;=0,AD238)</f>
        <v>15</v>
      </c>
    </row>
    <row r="239" spans="1:31" x14ac:dyDescent="0.3">
      <c r="A239" s="7">
        <v>5206</v>
      </c>
      <c r="B239" s="7" t="s">
        <v>1035</v>
      </c>
      <c r="C239" s="7" t="str">
        <f t="shared" si="37"/>
        <v>Priya Bhatt</v>
      </c>
      <c r="D239" s="7" t="str">
        <f t="shared" si="38"/>
        <v>Priya Bhatt</v>
      </c>
      <c r="E239" s="7" t="s">
        <v>68</v>
      </c>
      <c r="F239" s="7" t="s">
        <v>389</v>
      </c>
      <c r="G239" s="7" t="s">
        <v>140</v>
      </c>
      <c r="H239" s="7" t="str">
        <f>_xlfn.XLOOKUP(G239,Lookup_Tables!$A$4:$A$9,Lookup_Tables!$C$4:$C$9,"Not Found",0)</f>
        <v>Sunita Rao</v>
      </c>
      <c r="I239" s="7" t="s">
        <v>70</v>
      </c>
      <c r="J239" s="7" t="s">
        <v>1045</v>
      </c>
      <c r="K239" s="7" t="str">
        <f t="shared" si="39"/>
        <v>manish.joshi@company.com</v>
      </c>
      <c r="L239" s="7" t="s">
        <v>1046</v>
      </c>
      <c r="M239" s="7" t="str">
        <f t="shared" si="36"/>
        <v>68901974</v>
      </c>
      <c r="N239" s="7" t="str" cm="1">
        <f t="array" ref="N239">_xlfn.IFS(M239="","Incomplete",LEN(M239)&lt;10,"Invalid",AND(LEN(M239) =10,LEFT(M239,4) &lt;&gt;"+91-"),"+91-"&amp;M239,TRUE,M239)</f>
        <v>Invalid</v>
      </c>
      <c r="O239" s="8" t="s">
        <v>185</v>
      </c>
      <c r="P239" s="14"/>
      <c r="Q239" s="14" t="str">
        <f t="shared" si="43"/>
        <v>Missing</v>
      </c>
      <c r="R239" s="14" t="str" cm="1">
        <f t="array" ref="R239">_xlfn.IFS(OR(Q239="Missing",Q239="N/A",Q239="Still Employed"),Q239,ISNUMBER(SEARCH(",",Q239)),DATEVALUE(Q239),AND(ISNUMBER(SEARCH("-",Q239)),ISNUMBER(VALUE(LEFT(Q239,4)))),DATE(LEFT(Q239,4),MID(Q239,6,2),RIGHT(Q239,2)),ISNUMBER(SEARCH("-",Q239)),DATE(RIGHT(Q239,4),MID(Q239,4,2),LEFT(Q239,2)),ISNUMBER(SEARCH("/",Q239)),DATE(RIGHT(Q239,4),MID(Q239,4,2),LEFT(Q239,2)),TRUE,"Check Manually")</f>
        <v>Missing</v>
      </c>
      <c r="S239" s="31" t="str">
        <f t="shared" ca="1" si="44"/>
        <v>2 Years, 5 Months, 20 Days</v>
      </c>
      <c r="T239" s="31">
        <f t="shared" ca="1" si="45"/>
        <v>902.7</v>
      </c>
      <c r="U239" s="31" t="str" cm="1">
        <f t="array" ref="U239">_xlfn.IFS(OR(R239="Missing",R239="N/A",R239="Still Employed"),"Unknown",ISNUMBER(R239),"Exited",TRUE,"Unknown")</f>
        <v>Unknown</v>
      </c>
      <c r="V239" s="31" t="str">
        <f t="shared" si="46"/>
        <v/>
      </c>
      <c r="W239" s="14" t="str">
        <f t="shared" si="47"/>
        <v>Active</v>
      </c>
      <c r="X239" s="19">
        <v>60679</v>
      </c>
      <c r="Y239" s="18" t="str">
        <f t="shared" si="40"/>
        <v>60679</v>
      </c>
      <c r="Z239" s="22" t="str" cm="1">
        <f t="array" ref="Z239">_xlfn.IFS(Y239="","0",LEFT(Y239,5)="",Y239,LEFT(Y239,1)="₹",REPLACE(Y239,1,1,""),LEFT(Y239,4)="Rs. ",REPLACE(Y239,1,4,""),TRUE,Y239)</f>
        <v>60679</v>
      </c>
      <c r="AA239" s="22" t="str">
        <f t="shared" si="41"/>
        <v>60679</v>
      </c>
      <c r="AB239" s="7" t="s">
        <v>95</v>
      </c>
      <c r="AC239" s="7" t="str">
        <f t="shared" si="42"/>
        <v>Average</v>
      </c>
      <c r="AD239" s="7">
        <v>-3</v>
      </c>
      <c r="AE239" t="str" cm="1">
        <f t="array" ref="AE239">_xlfn.IFS(AD239="",0,AD239&lt;0,"Negate Leave",AD239&gt;=0,AD239)</f>
        <v>Negate Leave</v>
      </c>
    </row>
    <row r="240" spans="1:31" x14ac:dyDescent="0.3">
      <c r="A240" s="7">
        <v>5288</v>
      </c>
      <c r="B240" s="7" t="s">
        <v>524</v>
      </c>
      <c r="C240" s="7" t="str">
        <f t="shared" si="37"/>
        <v>Pooja Chopra</v>
      </c>
      <c r="D240" s="7" t="str">
        <f t="shared" si="38"/>
        <v>Pooja Chopra</v>
      </c>
      <c r="E240" s="7" t="s">
        <v>68</v>
      </c>
      <c r="F240" s="7" t="s">
        <v>219</v>
      </c>
      <c r="G240" s="7" t="s">
        <v>46</v>
      </c>
      <c r="H240" s="7" t="str">
        <f>_xlfn.XLOOKUP(G240,Lookup_Tables!$A$4:$A$9,Lookup_Tables!$C$4:$C$9,"Not Found",0)</f>
        <v>Faisal Ahmed</v>
      </c>
      <c r="I240" s="7" t="s">
        <v>47</v>
      </c>
      <c r="J240" s="7" t="s">
        <v>1048</v>
      </c>
      <c r="K240" s="7" t="str">
        <f t="shared" si="39"/>
        <v>sanjay.kulkarni@company.com</v>
      </c>
      <c r="L240" s="7" t="s">
        <v>1049</v>
      </c>
      <c r="M240" s="7" t="str">
        <f t="shared" si="36"/>
        <v>+91-8465141916</v>
      </c>
      <c r="N240" s="7" t="str" cm="1">
        <f t="array" ref="N240">_xlfn.IFS(M240="","Incomplete",LEN(M240)&lt;10,"Invalid",AND(LEN(M240) =10,LEFT(M240,4) &lt;&gt;"+91-"),"+91-"&amp;M240,TRUE,M240)</f>
        <v>+91-8465141916</v>
      </c>
      <c r="O240" s="8" t="s">
        <v>1050</v>
      </c>
      <c r="P240" s="14" t="s">
        <v>74</v>
      </c>
      <c r="Q240" s="14" t="str">
        <f t="shared" si="43"/>
        <v>Jun 30, 2025</v>
      </c>
      <c r="R240" s="14" cm="1">
        <f t="array" ref="R240">_xlfn.IFS(OR(Q240="Missing",Q240="N/A",Q240="Still Employed"),Q240,ISNUMBER(SEARCH(",",Q240)),DATEVALUE(Q240),AND(ISNUMBER(SEARCH("-",Q240)),ISNUMBER(VALUE(LEFT(Q240,4)))),DATE(LEFT(Q240,4),MID(Q240,6,2),RIGHT(Q240,2)),ISNUMBER(SEARCH("-",Q240)),DATE(RIGHT(Q240,4),MID(Q240,4,2),LEFT(Q240,2)),ISNUMBER(SEARCH("/",Q240)),DATE(RIGHT(Q240,4),MID(Q240,4,2),LEFT(Q240,2)),TRUE,"Check Manually")</f>
        <v>45838</v>
      </c>
      <c r="S240" s="31" t="str">
        <f t="shared" ca="1" si="44"/>
        <v>4 Years, 4 Months, 3 Days</v>
      </c>
      <c r="T240" s="31">
        <f t="shared" ca="1" si="45"/>
        <v>1585.76</v>
      </c>
      <c r="U240" s="31" t="str" cm="1">
        <f t="array" ref="U240">_xlfn.IFS(OR(R240="Missing",R240="N/A",R240="Still Employed"),"Unknown",ISNUMBER(R240),"Exited",TRUE,"Unknown")</f>
        <v>Exited</v>
      </c>
      <c r="V240" s="31">
        <f t="shared" si="46"/>
        <v>2025</v>
      </c>
      <c r="W240" s="14" t="str">
        <f t="shared" si="47"/>
        <v>Exited</v>
      </c>
      <c r="X240" s="19" t="s">
        <v>1051</v>
      </c>
      <c r="Y240" s="18" t="str">
        <f t="shared" si="40"/>
        <v>Rs. 175,789</v>
      </c>
      <c r="Z240" s="22" t="str" cm="1">
        <f t="array" ref="Z240">_xlfn.IFS(Y240="","0",LEFT(Y240,5)="",Y240,LEFT(Y240,1)="₹",REPLACE(Y240,1,1,""),LEFT(Y240,4)="Rs. ",REPLACE(Y240,1,4,""),TRUE,Y240)</f>
        <v>175,789</v>
      </c>
      <c r="AA240" s="22" t="str">
        <f t="shared" si="41"/>
        <v>175789</v>
      </c>
      <c r="AB240" s="7" t="s">
        <v>127</v>
      </c>
      <c r="AC240" s="7" t="str">
        <f t="shared" si="42"/>
        <v>Good</v>
      </c>
      <c r="AD240" s="7">
        <v>24</v>
      </c>
      <c r="AE240" cm="1">
        <f t="array" ref="AE240">_xlfn.IFS(AD240="",0,AD240&lt;0,"Negate Leave",AD240&gt;=0,AD240)</f>
        <v>24</v>
      </c>
    </row>
    <row r="241" spans="1:31" x14ac:dyDescent="0.3">
      <c r="A241" s="7">
        <v>5153</v>
      </c>
      <c r="B241" s="7" t="s">
        <v>1040</v>
      </c>
      <c r="C241" s="7" t="str">
        <f t="shared" si="37"/>
        <v>Suresh Mehta</v>
      </c>
      <c r="D241" s="7" t="str">
        <f t="shared" si="38"/>
        <v>Suresh Mehta</v>
      </c>
      <c r="E241" s="7" t="s">
        <v>68</v>
      </c>
      <c r="F241" s="7" t="s">
        <v>219</v>
      </c>
      <c r="G241" s="7" t="s">
        <v>46</v>
      </c>
      <c r="H241" s="7" t="str">
        <f>_xlfn.XLOOKUP(G241,Lookup_Tables!$A$4:$A$9,Lookup_Tables!$C$4:$C$9,"Not Found",0)</f>
        <v>Faisal Ahmed</v>
      </c>
      <c r="I241" s="7" t="s">
        <v>47</v>
      </c>
      <c r="J241" s="7" t="s">
        <v>1053</v>
      </c>
      <c r="K241" s="7" t="str">
        <f t="shared" si="39"/>
        <v>deepak.kapoor@company.com</v>
      </c>
      <c r="L241" s="7" t="s">
        <v>1054</v>
      </c>
      <c r="M241" s="7" t="str">
        <f t="shared" si="36"/>
        <v>0559874906</v>
      </c>
      <c r="N241" s="7" t="str" cm="1">
        <f t="array" ref="N241">_xlfn.IFS(M241="","Incomplete",LEN(M241)&lt;10,"Invalid",AND(LEN(M241) =10,LEFT(M241,4) &lt;&gt;"+91-"),"+91-"&amp;M241,TRUE,M241)</f>
        <v>+91-0559874906</v>
      </c>
      <c r="O241" s="8" t="s">
        <v>1055</v>
      </c>
      <c r="P241" s="14"/>
      <c r="Q241" s="14" t="str">
        <f t="shared" si="43"/>
        <v>Missing</v>
      </c>
      <c r="R241" s="14" t="str" cm="1">
        <f t="array" ref="R241">_xlfn.IFS(OR(Q241="Missing",Q241="N/A",Q241="Still Employed"),Q241,ISNUMBER(SEARCH(",",Q241)),DATEVALUE(Q241),AND(ISNUMBER(SEARCH("-",Q241)),ISNUMBER(VALUE(LEFT(Q241,4)))),DATE(LEFT(Q241,4),MID(Q241,6,2),RIGHT(Q241,2)),ISNUMBER(SEARCH("-",Q241)),DATE(RIGHT(Q241,4),MID(Q241,4,2),LEFT(Q241,2)),ISNUMBER(SEARCH("/",Q241)),DATE(RIGHT(Q241,4),MID(Q241,4,2),LEFT(Q241,2)),TRUE,"Check Manually")</f>
        <v>Missing</v>
      </c>
      <c r="S241" s="31" t="str">
        <f t="shared" ca="1" si="44"/>
        <v>6 Years, 3 Months, 2 Days</v>
      </c>
      <c r="T241" s="31">
        <f t="shared" ca="1" si="45"/>
        <v>2284.8200000000002</v>
      </c>
      <c r="U241" s="31" t="str" cm="1">
        <f t="array" ref="U241">_xlfn.IFS(OR(R241="Missing",R241="N/A",R241="Still Employed"),"Unknown",ISNUMBER(R241),"Exited",TRUE,"Unknown")</f>
        <v>Unknown</v>
      </c>
      <c r="V241" s="31" t="str">
        <f t="shared" si="46"/>
        <v/>
      </c>
      <c r="W241" s="14" t="str">
        <f t="shared" si="47"/>
        <v>Active</v>
      </c>
      <c r="X241" s="19"/>
      <c r="Y241" s="18" t="str">
        <f t="shared" si="40"/>
        <v/>
      </c>
      <c r="Z241" s="22" t="str" cm="1">
        <f t="array" ref="Z241">_xlfn.IFS(Y241="","0",LEFT(Y241,5)="",Y241,LEFT(Y241,1)="₹",REPLACE(Y241,1,1,""),LEFT(Y241,4)="Rs. ",REPLACE(Y241,1,4,""),TRUE,Y241)</f>
        <v>0</v>
      </c>
      <c r="AA241" s="22" t="str">
        <f t="shared" si="41"/>
        <v>0</v>
      </c>
      <c r="AB241" s="7" t="s">
        <v>144</v>
      </c>
      <c r="AC241" s="7" t="str">
        <f t="shared" si="42"/>
        <v>Poor</v>
      </c>
      <c r="AD241" s="7">
        <v>19</v>
      </c>
      <c r="AE241" cm="1">
        <f t="array" ref="AE241">_xlfn.IFS(AD241="",0,AD241&lt;0,"Negate Leave",AD241&gt;=0,AD241)</f>
        <v>19</v>
      </c>
    </row>
    <row r="242" spans="1:31" x14ac:dyDescent="0.3">
      <c r="A242" s="7">
        <v>5240</v>
      </c>
      <c r="B242" s="7" t="s">
        <v>1044</v>
      </c>
      <c r="C242" s="7" t="str">
        <f t="shared" si="37"/>
        <v>Manish  Joshi</v>
      </c>
      <c r="D242" s="7" t="str">
        <f t="shared" si="38"/>
        <v>Manish Joshi</v>
      </c>
      <c r="E242" s="7" t="s">
        <v>68</v>
      </c>
      <c r="F242" s="7" t="s">
        <v>389</v>
      </c>
      <c r="G242" s="7" t="s">
        <v>140</v>
      </c>
      <c r="H242" s="7" t="str">
        <f>_xlfn.XLOOKUP(G242,Lookup_Tables!$A$4:$A$9,Lookup_Tables!$C$4:$C$9,"Not Found",0)</f>
        <v>Sunita Rao</v>
      </c>
      <c r="I242" s="7" t="s">
        <v>77</v>
      </c>
      <c r="J242" s="7" t="s">
        <v>1057</v>
      </c>
      <c r="K242" s="7" t="str">
        <f t="shared" si="39"/>
        <v>shreya.pillai@company.com</v>
      </c>
      <c r="L242" s="7" t="s">
        <v>1058</v>
      </c>
      <c r="M242" s="7" t="str">
        <f t="shared" si="36"/>
        <v>3746911719</v>
      </c>
      <c r="N242" s="7" t="str" cm="1">
        <f t="array" ref="N242">_xlfn.IFS(M242="","Incomplete",LEN(M242)&lt;10,"Invalid",AND(LEN(M242) =10,LEFT(M242,4) &lt;&gt;"+91-"),"+91-"&amp;M242,TRUE,M242)</f>
        <v>+91-3746911719</v>
      </c>
      <c r="O242" s="8" t="s">
        <v>1059</v>
      </c>
      <c r="P242" s="14"/>
      <c r="Q242" s="14" t="str">
        <f t="shared" si="43"/>
        <v>Missing</v>
      </c>
      <c r="R242" s="14" t="str" cm="1">
        <f t="array" ref="R242">_xlfn.IFS(OR(Q242="Missing",Q242="N/A",Q242="Still Employed"),Q242,ISNUMBER(SEARCH(",",Q242)),DATEVALUE(Q242),AND(ISNUMBER(SEARCH("-",Q242)),ISNUMBER(VALUE(LEFT(Q242,4)))),DATE(LEFT(Q242,4),MID(Q242,6,2),RIGHT(Q242,2)),ISNUMBER(SEARCH("-",Q242)),DATE(RIGHT(Q242,4),MID(Q242,4,2),LEFT(Q242,2)),ISNUMBER(SEARCH("/",Q242)),DATE(RIGHT(Q242,4),MID(Q242,4,2),LEFT(Q242,2)),TRUE,"Check Manually")</f>
        <v>Missing</v>
      </c>
      <c r="S242" s="31" t="str">
        <f t="shared" ca="1" si="44"/>
        <v>7 Years, 9 Months, 19 Days</v>
      </c>
      <c r="T242" s="31">
        <f t="shared" ca="1" si="45"/>
        <v>2849.71</v>
      </c>
      <c r="U242" s="31" t="str" cm="1">
        <f t="array" ref="U242">_xlfn.IFS(OR(R242="Missing",R242="N/A",R242="Still Employed"),"Unknown",ISNUMBER(R242),"Exited",TRUE,"Unknown")</f>
        <v>Unknown</v>
      </c>
      <c r="V242" s="31" t="str">
        <f t="shared" si="46"/>
        <v/>
      </c>
      <c r="W242" s="14" t="str">
        <f t="shared" si="47"/>
        <v>Active</v>
      </c>
      <c r="X242" s="19" t="s">
        <v>1060</v>
      </c>
      <c r="Y242" s="18" t="str">
        <f t="shared" si="40"/>
        <v>Rs. 65,738</v>
      </c>
      <c r="Z242" s="22" t="str" cm="1">
        <f t="array" ref="Z242">_xlfn.IFS(Y242="","0",LEFT(Y242,5)="",Y242,LEFT(Y242,1)="₹",REPLACE(Y242,1,1,""),LEFT(Y242,4)="Rs. ",REPLACE(Y242,1,4,""),TRUE,Y242)</f>
        <v>65,738</v>
      </c>
      <c r="AA242" s="22" t="str">
        <f t="shared" si="41"/>
        <v>65738</v>
      </c>
      <c r="AB242" s="7" t="s">
        <v>89</v>
      </c>
      <c r="AC242" s="7" t="str">
        <f t="shared" si="42"/>
        <v>Below Average</v>
      </c>
      <c r="AD242" s="7">
        <v>0</v>
      </c>
      <c r="AE242" cm="1">
        <f t="array" ref="AE242">_xlfn.IFS(AD242="",0,AD242&lt;0,"Negate Leave",AD242&gt;=0,AD242)</f>
        <v>0</v>
      </c>
    </row>
    <row r="243" spans="1:31" x14ac:dyDescent="0.3">
      <c r="A243" s="7">
        <v>5149</v>
      </c>
      <c r="B243" s="7" t="s">
        <v>1047</v>
      </c>
      <c r="C243" s="7" t="str">
        <f t="shared" si="37"/>
        <v>sanjay kulkarni</v>
      </c>
      <c r="D243" s="7" t="str">
        <f t="shared" si="38"/>
        <v>Sanjay Kulkarni</v>
      </c>
      <c r="E243" s="7" t="s">
        <v>68</v>
      </c>
      <c r="F243" s="7" t="s">
        <v>53</v>
      </c>
      <c r="G243" s="7" t="s">
        <v>54</v>
      </c>
      <c r="H243" s="7" t="str">
        <f>_xlfn.XLOOKUP(G243,Lookup_Tables!$A$4:$A$9,Lookup_Tables!$C$4:$C$9,"Not Found",0)</f>
        <v>Leela Iyer</v>
      </c>
      <c r="I243" s="7" t="s">
        <v>62</v>
      </c>
      <c r="J243" s="7" t="s">
        <v>1062</v>
      </c>
      <c r="K243" s="7" t="str">
        <f t="shared" si="39"/>
        <v>rohan.naidu@company.com</v>
      </c>
      <c r="L243" s="7" t="s">
        <v>1063</v>
      </c>
      <c r="M243" s="7" t="str">
        <f t="shared" si="36"/>
        <v>+91-7049372052</v>
      </c>
      <c r="N243" s="7" t="str" cm="1">
        <f t="array" ref="N243">_xlfn.IFS(M243="","Incomplete",LEN(M243)&lt;10,"Invalid",AND(LEN(M243) =10,LEFT(M243,4) &lt;&gt;"+91-"),"+91-"&amp;M243,TRUE,M243)</f>
        <v>+91-7049372052</v>
      </c>
      <c r="O243" s="8" t="s">
        <v>1064</v>
      </c>
      <c r="P243" s="14" t="s">
        <v>114</v>
      </c>
      <c r="Q243" s="14" t="str">
        <f t="shared" si="43"/>
        <v>Still Employed</v>
      </c>
      <c r="R243" s="14" t="str" cm="1">
        <f t="array" ref="R243">_xlfn.IFS(OR(Q243="Missing",Q243="N/A",Q243="Still Employed"),Q243,ISNUMBER(SEARCH(",",Q243)),DATEVALUE(Q243),AND(ISNUMBER(SEARCH("-",Q243)),ISNUMBER(VALUE(LEFT(Q243,4)))),DATE(LEFT(Q243,4),MID(Q243,6,2),RIGHT(Q243,2)),ISNUMBER(SEARCH("-",Q243)),DATE(RIGHT(Q243,4),MID(Q243,4,2),LEFT(Q243,2)),ISNUMBER(SEARCH("/",Q243)),DATE(RIGHT(Q243,4),MID(Q243,4,2),LEFT(Q243,2)),TRUE,"Check Manually")</f>
        <v>Still Employed</v>
      </c>
      <c r="S243" s="31" t="str">
        <f t="shared" ca="1" si="44"/>
        <v>3 Years, 9 Months, 6 Days</v>
      </c>
      <c r="T243" s="31">
        <f t="shared" ca="1" si="45"/>
        <v>1375.71</v>
      </c>
      <c r="U243" s="31" t="str" cm="1">
        <f t="array" ref="U243">_xlfn.IFS(OR(R243="Missing",R243="N/A",R243="Still Employed"),"Unknown",ISNUMBER(R243),"Exited",TRUE,"Unknown")</f>
        <v>Unknown</v>
      </c>
      <c r="V243" s="31" t="str">
        <f t="shared" si="46"/>
        <v/>
      </c>
      <c r="W243" s="14" t="str">
        <f t="shared" si="47"/>
        <v>Active</v>
      </c>
      <c r="X243" s="19">
        <v>66895</v>
      </c>
      <c r="Y243" s="18" t="str">
        <f t="shared" si="40"/>
        <v>66895</v>
      </c>
      <c r="Z243" s="22" t="str" cm="1">
        <f t="array" ref="Z243">_xlfn.IFS(Y243="","0",LEFT(Y243,5)="",Y243,LEFT(Y243,1)="₹",REPLACE(Y243,1,1,""),LEFT(Y243,4)="Rs. ",REPLACE(Y243,1,4,""),TRUE,Y243)</f>
        <v>66895</v>
      </c>
      <c r="AA243" s="22" t="str">
        <f t="shared" si="41"/>
        <v>66895</v>
      </c>
      <c r="AB243" s="7" t="s">
        <v>144</v>
      </c>
      <c r="AC243" s="7" t="str">
        <f t="shared" si="42"/>
        <v>Poor</v>
      </c>
      <c r="AD243" s="7">
        <v>11</v>
      </c>
      <c r="AE243" cm="1">
        <f t="array" ref="AE243">_xlfn.IFS(AD243="",0,AD243&lt;0,"Negate Leave",AD243&gt;=0,AD243)</f>
        <v>11</v>
      </c>
    </row>
    <row r="244" spans="1:31" x14ac:dyDescent="0.3">
      <c r="A244" s="7">
        <v>5050</v>
      </c>
      <c r="B244" s="7" t="s">
        <v>1052</v>
      </c>
      <c r="C244" s="7" t="str">
        <f t="shared" si="37"/>
        <v>DEEPAK KAPOOR</v>
      </c>
      <c r="D244" s="7" t="str">
        <f t="shared" si="38"/>
        <v>Deepak Kapoor</v>
      </c>
      <c r="E244" s="7" t="s">
        <v>68</v>
      </c>
      <c r="F244" s="7" t="s">
        <v>389</v>
      </c>
      <c r="G244" s="7" t="s">
        <v>140</v>
      </c>
      <c r="H244" s="7" t="str">
        <f>_xlfn.XLOOKUP(G244,Lookup_Tables!$A$4:$A$9,Lookup_Tables!$C$4:$C$9,"Not Found",0)</f>
        <v>Sunita Rao</v>
      </c>
      <c r="I244" s="7" t="s">
        <v>55</v>
      </c>
      <c r="J244" s="7"/>
      <c r="K244" s="7" t="str">
        <f t="shared" si="39"/>
        <v>No Email ID</v>
      </c>
      <c r="L244" s="7" t="s">
        <v>1066</v>
      </c>
      <c r="M244" s="7" t="str">
        <f t="shared" si="36"/>
        <v>+91-7204962486</v>
      </c>
      <c r="N244" s="7" t="str" cm="1">
        <f t="array" ref="N244">_xlfn.IFS(M244="","Incomplete",LEN(M244)&lt;10,"Invalid",AND(LEN(M244) =10,LEFT(M244,4) &lt;&gt;"+91-"),"+91-"&amp;M244,TRUE,M244)</f>
        <v>+91-7204962486</v>
      </c>
      <c r="O244" s="8" t="s">
        <v>1067</v>
      </c>
      <c r="P244" s="14"/>
      <c r="Q244" s="14" t="str">
        <f t="shared" si="43"/>
        <v>Missing</v>
      </c>
      <c r="R244" s="14" t="str" cm="1">
        <f t="array" ref="R244">_xlfn.IFS(OR(Q244="Missing",Q244="N/A",Q244="Still Employed"),Q244,ISNUMBER(SEARCH(",",Q244)),DATEVALUE(Q244),AND(ISNUMBER(SEARCH("-",Q244)),ISNUMBER(VALUE(LEFT(Q244,4)))),DATE(LEFT(Q244,4),MID(Q244,6,2),RIGHT(Q244,2)),ISNUMBER(SEARCH("-",Q244)),DATE(RIGHT(Q244,4),MID(Q244,4,2),LEFT(Q244,2)),ISNUMBER(SEARCH("/",Q244)),DATE(RIGHT(Q244,4),MID(Q244,4,2),LEFT(Q244,2)),TRUE,"Check Manually")</f>
        <v>Missing</v>
      </c>
      <c r="S244" s="31" t="str">
        <f t="shared" ca="1" si="44"/>
        <v>3 Years, 6 Months, 28 Days</v>
      </c>
      <c r="T244" s="31">
        <f t="shared" ca="1" si="45"/>
        <v>1306.3900000000001</v>
      </c>
      <c r="U244" s="31" t="str" cm="1">
        <f t="array" ref="U244">_xlfn.IFS(OR(R244="Missing",R244="N/A",R244="Still Employed"),"Unknown",ISNUMBER(R244),"Exited",TRUE,"Unknown")</f>
        <v>Unknown</v>
      </c>
      <c r="V244" s="31" t="str">
        <f t="shared" si="46"/>
        <v/>
      </c>
      <c r="W244" s="14" t="str">
        <f t="shared" si="47"/>
        <v>Active</v>
      </c>
      <c r="X244" s="19" t="s">
        <v>1068</v>
      </c>
      <c r="Y244" s="18" t="str">
        <f t="shared" si="40"/>
        <v>Rs. 126,767</v>
      </c>
      <c r="Z244" s="22" t="str" cm="1">
        <f t="array" ref="Z244">_xlfn.IFS(Y244="","0",LEFT(Y244,5)="",Y244,LEFT(Y244,1)="₹",REPLACE(Y244,1,1,""),LEFT(Y244,4)="Rs. ",REPLACE(Y244,1,4,""),TRUE,Y244)</f>
        <v>126,767</v>
      </c>
      <c r="AA244" s="22" t="str">
        <f t="shared" si="41"/>
        <v>126767</v>
      </c>
      <c r="AB244" s="7" t="s">
        <v>144</v>
      </c>
      <c r="AC244" s="7" t="str">
        <f t="shared" si="42"/>
        <v>Poor</v>
      </c>
      <c r="AD244" s="7">
        <v>-3</v>
      </c>
      <c r="AE244" t="str" cm="1">
        <f t="array" ref="AE244">_xlfn.IFS(AD244="",0,AD244&lt;0,"Negate Leave",AD244&gt;=0,AD244)</f>
        <v>Negate Leave</v>
      </c>
    </row>
    <row r="245" spans="1:31" x14ac:dyDescent="0.3">
      <c r="A245" s="7">
        <v>5246</v>
      </c>
      <c r="B245" s="7" t="s">
        <v>1056</v>
      </c>
      <c r="C245" s="7" t="str">
        <f t="shared" si="37"/>
        <v>Shreya Pillai</v>
      </c>
      <c r="D245" s="7" t="str">
        <f t="shared" si="38"/>
        <v>Shreya Pillai</v>
      </c>
      <c r="E245" s="7" t="s">
        <v>68</v>
      </c>
      <c r="F245" s="7" t="s">
        <v>219</v>
      </c>
      <c r="G245" s="7" t="s">
        <v>46</v>
      </c>
      <c r="H245" s="7" t="str">
        <f>_xlfn.XLOOKUP(G245,Lookup_Tables!$A$4:$A$9,Lookup_Tables!$C$4:$C$9,"Not Found",0)</f>
        <v>Faisal Ahmed</v>
      </c>
      <c r="I245" s="7" t="s">
        <v>47</v>
      </c>
      <c r="J245" s="7" t="s">
        <v>287</v>
      </c>
      <c r="K245" s="7" t="str">
        <f t="shared" si="39"/>
        <v>amit.chopra@company.com</v>
      </c>
      <c r="L245" s="7" t="s">
        <v>1070</v>
      </c>
      <c r="M245" s="7" t="str">
        <f t="shared" si="36"/>
        <v>3873716786</v>
      </c>
      <c r="N245" s="7" t="str" cm="1">
        <f t="array" ref="N245">_xlfn.IFS(M245="","Incomplete",LEN(M245)&lt;10,"Invalid",AND(LEN(M245) =10,LEFT(M245,4) &lt;&gt;"+91-"),"+91-"&amp;M245,TRUE,M245)</f>
        <v>+91-3873716786</v>
      </c>
      <c r="O245" s="8" t="s">
        <v>1071</v>
      </c>
      <c r="P245" s="14" t="s">
        <v>688</v>
      </c>
      <c r="Q245" s="14" t="str">
        <f t="shared" si="43"/>
        <v>2023-10-15</v>
      </c>
      <c r="R245" s="14" cm="1">
        <f t="array" ref="R245">_xlfn.IFS(OR(Q245="Missing",Q245="N/A",Q245="Still Employed"),Q245,ISNUMBER(SEARCH(",",Q245)),DATEVALUE(Q245),AND(ISNUMBER(SEARCH("-",Q245)),ISNUMBER(VALUE(LEFT(Q245,4)))),DATE(LEFT(Q245,4),MID(Q245,6,2),RIGHT(Q245,2)),ISNUMBER(SEARCH("-",Q245)),DATE(RIGHT(Q245,4),MID(Q245,4,2),LEFT(Q245,2)),ISNUMBER(SEARCH("/",Q245)),DATE(RIGHT(Q245,4),MID(Q245,4,2),LEFT(Q245,2)),TRUE,"Check Manually")</f>
        <v>45214</v>
      </c>
      <c r="S245" s="31" t="str">
        <f t="shared" ca="1" si="44"/>
        <v>1 Years, 10 Months, 23 Days</v>
      </c>
      <c r="T245" s="31">
        <f t="shared" ca="1" si="45"/>
        <v>692.65000000000009</v>
      </c>
      <c r="U245" s="31" t="str" cm="1">
        <f t="array" ref="U245">_xlfn.IFS(OR(R245="Missing",R245="N/A",R245="Still Employed"),"Unknown",ISNUMBER(R245),"Exited",TRUE,"Unknown")</f>
        <v>Exited</v>
      </c>
      <c r="V245" s="31">
        <f t="shared" si="46"/>
        <v>2023</v>
      </c>
      <c r="W245" s="14" t="str">
        <f t="shared" si="47"/>
        <v>Exited</v>
      </c>
      <c r="X245" s="19">
        <v>39022</v>
      </c>
      <c r="Y245" s="18" t="str">
        <f t="shared" si="40"/>
        <v>39022</v>
      </c>
      <c r="Z245" s="22" t="str" cm="1">
        <f t="array" ref="Z245">_xlfn.IFS(Y245="","0",LEFT(Y245,5)="",Y245,LEFT(Y245,1)="₹",REPLACE(Y245,1,1,""),LEFT(Y245,4)="Rs. ",REPLACE(Y245,1,4,""),TRUE,Y245)</f>
        <v>39022</v>
      </c>
      <c r="AA245" s="22" t="str">
        <f t="shared" si="41"/>
        <v>39022</v>
      </c>
      <c r="AB245" s="7" t="s">
        <v>127</v>
      </c>
      <c r="AC245" s="7" t="str">
        <f t="shared" si="42"/>
        <v>Good</v>
      </c>
      <c r="AD245" s="7">
        <v>7</v>
      </c>
      <c r="AE245" cm="1">
        <f t="array" ref="AE245">_xlfn.IFS(AD245="",0,AD245&lt;0,"Negate Leave",AD245&gt;=0,AD245)</f>
        <v>7</v>
      </c>
    </row>
    <row r="246" spans="1:31" x14ac:dyDescent="0.3">
      <c r="A246" s="7">
        <v>5065</v>
      </c>
      <c r="B246" s="7" t="s">
        <v>1061</v>
      </c>
      <c r="C246" s="7" t="str">
        <f t="shared" si="37"/>
        <v>Rohan Naidu</v>
      </c>
      <c r="D246" s="7" t="str">
        <f t="shared" si="38"/>
        <v>Rohan Naidu</v>
      </c>
      <c r="E246" s="7" t="s">
        <v>68</v>
      </c>
      <c r="F246" s="7" t="s">
        <v>151</v>
      </c>
      <c r="G246" s="7" t="s">
        <v>76</v>
      </c>
      <c r="H246" s="7" t="str">
        <f>_xlfn.XLOOKUP(G246,Lookup_Tables!$A$4:$A$9,Lookup_Tables!$C$4:$C$9,"Not Found",0)</f>
        <v>Ananya Sen</v>
      </c>
      <c r="I246" s="7" t="s">
        <v>85</v>
      </c>
      <c r="J246" s="7" t="s">
        <v>446</v>
      </c>
      <c r="K246" s="7" t="str">
        <f t="shared" si="39"/>
        <v>shreya.desai@company.com</v>
      </c>
      <c r="L246" s="7"/>
      <c r="M246" s="7" t="str">
        <f t="shared" si="36"/>
        <v/>
      </c>
      <c r="N246" s="7" t="str" cm="1">
        <f t="array" ref="N246">_xlfn.IFS(M246="","Incomplete",LEN(M246)&lt;10,"Invalid",AND(LEN(M246) =10,LEFT(M246,4) &lt;&gt;"+91-"),"+91-"&amp;M246,TRUE,M246)</f>
        <v>Incomplete</v>
      </c>
      <c r="O246" s="8" t="s">
        <v>1072</v>
      </c>
      <c r="P246" s="14"/>
      <c r="Q246" s="14" t="str">
        <f t="shared" si="43"/>
        <v>Missing</v>
      </c>
      <c r="R246" s="14" t="str" cm="1">
        <f t="array" ref="R246">_xlfn.IFS(OR(Q246="Missing",Q246="N/A",Q246="Still Employed"),Q246,ISNUMBER(SEARCH(",",Q246)),DATEVALUE(Q246),AND(ISNUMBER(SEARCH("-",Q246)),ISNUMBER(VALUE(LEFT(Q246,4)))),DATE(LEFT(Q246,4),MID(Q246,6,2),RIGHT(Q246,2)),ISNUMBER(SEARCH("-",Q246)),DATE(RIGHT(Q246,4),MID(Q246,4,2),LEFT(Q246,2)),ISNUMBER(SEARCH("/",Q246)),DATE(RIGHT(Q246,4),MID(Q246,4,2),LEFT(Q246,2)),TRUE,"Check Manually")</f>
        <v>Missing</v>
      </c>
      <c r="S246" s="31" t="str">
        <f t="shared" ca="1" si="44"/>
        <v>4 Years, 4 Months, 12 Days</v>
      </c>
      <c r="T246" s="31">
        <f t="shared" ca="1" si="45"/>
        <v>1594.76</v>
      </c>
      <c r="U246" s="31" t="str" cm="1">
        <f t="array" ref="U246">_xlfn.IFS(OR(R246="Missing",R246="N/A",R246="Still Employed"),"Unknown",ISNUMBER(R246),"Exited",TRUE,"Unknown")</f>
        <v>Unknown</v>
      </c>
      <c r="V246" s="31" t="str">
        <f t="shared" si="46"/>
        <v/>
      </c>
      <c r="W246" s="14" t="str">
        <f t="shared" si="47"/>
        <v>Active</v>
      </c>
      <c r="X246" s="19">
        <v>102626</v>
      </c>
      <c r="Y246" s="18" t="str">
        <f t="shared" si="40"/>
        <v>102626</v>
      </c>
      <c r="Z246" s="22" t="str" cm="1">
        <f t="array" ref="Z246">_xlfn.IFS(Y246="","0",LEFT(Y246,5)="",Y246,LEFT(Y246,1)="₹",REPLACE(Y246,1,1,""),LEFT(Y246,4)="Rs. ",REPLACE(Y246,1,4,""),TRUE,Y246)</f>
        <v>102626</v>
      </c>
      <c r="AA246" s="22" t="str">
        <f t="shared" si="41"/>
        <v>102626</v>
      </c>
      <c r="AB246" s="7" t="s">
        <v>95</v>
      </c>
      <c r="AC246" s="7" t="str">
        <f t="shared" si="42"/>
        <v>Average</v>
      </c>
      <c r="AD246" s="7">
        <v>6</v>
      </c>
      <c r="AE246" cm="1">
        <f t="array" ref="AE246">_xlfn.IFS(AD246="",0,AD246&lt;0,"Negate Leave",AD246&gt;=0,AD246)</f>
        <v>6</v>
      </c>
    </row>
    <row r="247" spans="1:31" x14ac:dyDescent="0.3">
      <c r="A247" s="7">
        <v>5332</v>
      </c>
      <c r="B247" s="7" t="s">
        <v>1065</v>
      </c>
      <c r="C247" s="7" t="str">
        <f t="shared" si="37"/>
        <v>YASH IYER</v>
      </c>
      <c r="D247" s="7" t="str">
        <f t="shared" si="38"/>
        <v>Yash Iyer</v>
      </c>
      <c r="E247" s="7" t="s">
        <v>68</v>
      </c>
      <c r="F247" s="7" t="s">
        <v>122</v>
      </c>
      <c r="G247" s="7" t="s">
        <v>91</v>
      </c>
      <c r="H247" s="7" t="str">
        <f>_xlfn.XLOOKUP(G247,Lookup_Tables!$A$4:$A$9,Lookup_Tables!$C$4:$C$9,"Not Found",0)</f>
        <v>Rajiv Kapoor</v>
      </c>
      <c r="I247" s="7" t="s">
        <v>55</v>
      </c>
      <c r="J247" s="7" t="s">
        <v>396</v>
      </c>
      <c r="K247" s="7" t="str">
        <f t="shared" si="39"/>
        <v>sneha.kulkarni@company.com</v>
      </c>
      <c r="L247" s="7" t="s">
        <v>1074</v>
      </c>
      <c r="M247" s="7" t="str">
        <f t="shared" si="36"/>
        <v>56806880</v>
      </c>
      <c r="N247" s="7" t="str" cm="1">
        <f t="array" ref="N247">_xlfn.IFS(M247="","Incomplete",LEN(M247)&lt;10,"Invalid",AND(LEN(M247) =10,LEFT(M247,4) &lt;&gt;"+91-"),"+91-"&amp;M247,TRUE,M247)</f>
        <v>Invalid</v>
      </c>
      <c r="O247" s="8" t="s">
        <v>1075</v>
      </c>
      <c r="P247" s="14"/>
      <c r="Q247" s="14" t="str">
        <f t="shared" si="43"/>
        <v>Missing</v>
      </c>
      <c r="R247" s="14" t="str" cm="1">
        <f t="array" ref="R247">_xlfn.IFS(OR(Q247="Missing",Q247="N/A",Q247="Still Employed"),Q247,ISNUMBER(SEARCH(",",Q247)),DATEVALUE(Q247),AND(ISNUMBER(SEARCH("-",Q247)),ISNUMBER(VALUE(LEFT(Q247,4)))),DATE(LEFT(Q247,4),MID(Q247,6,2),RIGHT(Q247,2)),ISNUMBER(SEARCH("-",Q247)),DATE(RIGHT(Q247,4),MID(Q247,4,2),LEFT(Q247,2)),ISNUMBER(SEARCH("/",Q247)),DATE(RIGHT(Q247,4),MID(Q247,4,2),LEFT(Q247,2)),TRUE,"Check Manually")</f>
        <v>Missing</v>
      </c>
      <c r="S247" s="31" t="str">
        <f t="shared" ca="1" si="44"/>
        <v>6 Years, 1 Months, 14 Days</v>
      </c>
      <c r="T247" s="31">
        <f t="shared" ca="1" si="45"/>
        <v>2235.94</v>
      </c>
      <c r="U247" s="31" t="str" cm="1">
        <f t="array" ref="U247">_xlfn.IFS(OR(R247="Missing",R247="N/A",R247="Still Employed"),"Unknown",ISNUMBER(R247),"Exited",TRUE,"Unknown")</f>
        <v>Unknown</v>
      </c>
      <c r="V247" s="31" t="str">
        <f t="shared" si="46"/>
        <v/>
      </c>
      <c r="W247" s="14" t="str">
        <f t="shared" si="47"/>
        <v>Active</v>
      </c>
      <c r="X247" s="19">
        <v>56535</v>
      </c>
      <c r="Y247" s="18" t="str">
        <f t="shared" si="40"/>
        <v>56535</v>
      </c>
      <c r="Z247" s="22" t="str" cm="1">
        <f t="array" ref="Z247">_xlfn.IFS(Y247="","0",LEFT(Y247,5)="",Y247,LEFT(Y247,1)="₹",REPLACE(Y247,1,1,""),LEFT(Y247,4)="Rs. ",REPLACE(Y247,1,4,""),TRUE,Y247)</f>
        <v>56535</v>
      </c>
      <c r="AA247" s="22" t="str">
        <f t="shared" si="41"/>
        <v>56535</v>
      </c>
      <c r="AB247" s="7"/>
      <c r="AC247" s="7" t="str">
        <f t="shared" si="42"/>
        <v>Not Rated</v>
      </c>
      <c r="AD247" s="7">
        <v>21</v>
      </c>
      <c r="AE247" cm="1">
        <f t="array" ref="AE247">_xlfn.IFS(AD247="",0,AD247&lt;0,"Negate Leave",AD247&gt;=0,AD247)</f>
        <v>21</v>
      </c>
    </row>
    <row r="248" spans="1:31" x14ac:dyDescent="0.3">
      <c r="A248" s="7">
        <v>5016</v>
      </c>
      <c r="B248" s="7" t="s">
        <v>1069</v>
      </c>
      <c r="C248" s="7" t="str">
        <f t="shared" si="37"/>
        <v>Amit Chopra</v>
      </c>
      <c r="D248" s="7" t="str">
        <f t="shared" si="38"/>
        <v>Amit Chopra</v>
      </c>
      <c r="E248" s="7" t="s">
        <v>68</v>
      </c>
      <c r="F248" s="7" t="s">
        <v>53</v>
      </c>
      <c r="G248" s="7" t="s">
        <v>54</v>
      </c>
      <c r="H248" s="7" t="str">
        <f>_xlfn.XLOOKUP(G248,Lookup_Tables!$A$4:$A$9,Lookup_Tables!$C$4:$C$9,"Not Found",0)</f>
        <v>Leela Iyer</v>
      </c>
      <c r="I248" s="7" t="s">
        <v>62</v>
      </c>
      <c r="J248" s="7" t="s">
        <v>1077</v>
      </c>
      <c r="K248" s="7" t="str">
        <f t="shared" si="39"/>
        <v>simran.gupta@company.com</v>
      </c>
      <c r="L248" s="7" t="s">
        <v>1078</v>
      </c>
      <c r="M248" s="7" t="str">
        <f t="shared" si="36"/>
        <v>1924957561</v>
      </c>
      <c r="N248" s="7" t="str" cm="1">
        <f t="array" ref="N248">_xlfn.IFS(M248="","Incomplete",LEN(M248)&lt;10,"Invalid",AND(LEN(M248) =10,LEFT(M248,4) &lt;&gt;"+91-"),"+91-"&amp;M248,TRUE,M248)</f>
        <v>+91-1924957561</v>
      </c>
      <c r="O248" s="8" t="s">
        <v>1079</v>
      </c>
      <c r="P248" s="14" t="s">
        <v>114</v>
      </c>
      <c r="Q248" s="14" t="str">
        <f t="shared" si="43"/>
        <v>Still Employed</v>
      </c>
      <c r="R248" s="14" t="str" cm="1">
        <f t="array" ref="R248">_xlfn.IFS(OR(Q248="Missing",Q248="N/A",Q248="Still Employed"),Q248,ISNUMBER(SEARCH(",",Q248)),DATEVALUE(Q248),AND(ISNUMBER(SEARCH("-",Q248)),ISNUMBER(VALUE(LEFT(Q248,4)))),DATE(LEFT(Q248,4),MID(Q248,6,2),RIGHT(Q248,2)),ISNUMBER(SEARCH("-",Q248)),DATE(RIGHT(Q248,4),MID(Q248,4,2),LEFT(Q248,2)),ISNUMBER(SEARCH("/",Q248)),DATE(RIGHT(Q248,4),MID(Q248,4,2),LEFT(Q248,2)),TRUE,"Check Manually")</f>
        <v>Still Employed</v>
      </c>
      <c r="S248" s="31" t="str">
        <f t="shared" ca="1" si="44"/>
        <v>5 Years, 1 Months, 4 Days</v>
      </c>
      <c r="T248" s="31">
        <f t="shared" ca="1" si="45"/>
        <v>1860.69</v>
      </c>
      <c r="U248" s="31" t="str" cm="1">
        <f t="array" ref="U248">_xlfn.IFS(OR(R248="Missing",R248="N/A",R248="Still Employed"),"Unknown",ISNUMBER(R248),"Exited",TRUE,"Unknown")</f>
        <v>Unknown</v>
      </c>
      <c r="V248" s="31" t="str">
        <f t="shared" si="46"/>
        <v/>
      </c>
      <c r="W248" s="14" t="str">
        <f t="shared" si="47"/>
        <v>Active</v>
      </c>
      <c r="X248" s="19">
        <v>124251</v>
      </c>
      <c r="Y248" s="18" t="str">
        <f t="shared" si="40"/>
        <v>124251</v>
      </c>
      <c r="Z248" s="22" t="str" cm="1">
        <f t="array" ref="Z248">_xlfn.IFS(Y248="","0",LEFT(Y248,5)="",Y248,LEFT(Y248,1)="₹",REPLACE(Y248,1,1,""),LEFT(Y248,4)="Rs. ",REPLACE(Y248,1,4,""),TRUE,Y248)</f>
        <v>124251</v>
      </c>
      <c r="AA248" s="22" t="str">
        <f t="shared" si="41"/>
        <v>124251</v>
      </c>
      <c r="AB248" s="7" t="s">
        <v>127</v>
      </c>
      <c r="AC248" s="7" t="str">
        <f t="shared" si="42"/>
        <v>Good</v>
      </c>
      <c r="AD248" s="7">
        <v>5</v>
      </c>
      <c r="AE248" cm="1">
        <f t="array" ref="AE248">_xlfn.IFS(AD248="",0,AD248&lt;0,"Negate Leave",AD248&gt;=0,AD248)</f>
        <v>5</v>
      </c>
    </row>
    <row r="249" spans="1:31" x14ac:dyDescent="0.3">
      <c r="A249" s="7">
        <v>5279</v>
      </c>
      <c r="B249" s="7" t="s">
        <v>445</v>
      </c>
      <c r="C249" s="7" t="str">
        <f t="shared" si="37"/>
        <v>Shreya Desai</v>
      </c>
      <c r="D249" s="7" t="str">
        <f t="shared" si="38"/>
        <v>Shreya Desai</v>
      </c>
      <c r="E249" s="7" t="s">
        <v>68</v>
      </c>
      <c r="F249" s="7" t="s">
        <v>122</v>
      </c>
      <c r="G249" s="7" t="s">
        <v>91</v>
      </c>
      <c r="H249" s="7" t="str">
        <f>_xlfn.XLOOKUP(G249,Lookup_Tables!$A$4:$A$9,Lookup_Tables!$C$4:$C$9,"Not Found",0)</f>
        <v>Rajiv Kapoor</v>
      </c>
      <c r="I249" s="7" t="s">
        <v>85</v>
      </c>
      <c r="J249" s="7" t="s">
        <v>1081</v>
      </c>
      <c r="K249" s="7" t="str">
        <f t="shared" si="39"/>
        <v xml:space="preserve">varun.rao@company.com </v>
      </c>
      <c r="L249" s="7" t="s">
        <v>1082</v>
      </c>
      <c r="M249" s="7" t="str">
        <f t="shared" si="36"/>
        <v>8288179751</v>
      </c>
      <c r="N249" s="7" t="str" cm="1">
        <f t="array" ref="N249">_xlfn.IFS(M249="","Incomplete",LEN(M249)&lt;10,"Invalid",AND(LEN(M249) =10,LEFT(M249,4) &lt;&gt;"+91-"),"+91-"&amp;M249,TRUE,M249)</f>
        <v>+91-8288179751</v>
      </c>
      <c r="O249" s="8" t="s">
        <v>1083</v>
      </c>
      <c r="P249" s="14" t="s">
        <v>126</v>
      </c>
      <c r="Q249" s="14" t="str">
        <f t="shared" si="43"/>
        <v>N/A</v>
      </c>
      <c r="R249" s="14" t="str" cm="1">
        <f t="array" ref="R249">_xlfn.IFS(OR(Q249="Missing",Q249="N/A",Q249="Still Employed"),Q249,ISNUMBER(SEARCH(",",Q249)),DATEVALUE(Q249),AND(ISNUMBER(SEARCH("-",Q249)),ISNUMBER(VALUE(LEFT(Q249,4)))),DATE(LEFT(Q249,4),MID(Q249,6,2),RIGHT(Q249,2)),ISNUMBER(SEARCH("-",Q249)),DATE(RIGHT(Q249,4),MID(Q249,4,2),LEFT(Q249,2)),ISNUMBER(SEARCH("/",Q249)),DATE(RIGHT(Q249,4),MID(Q249,4,2),LEFT(Q249,2)),TRUE,"Check Manually")</f>
        <v>N/A</v>
      </c>
      <c r="S249" s="31" t="str">
        <f t="shared" ca="1" si="44"/>
        <v>7 Years, 7 Months, 1 Days</v>
      </c>
      <c r="T249" s="31">
        <f t="shared" ca="1" si="45"/>
        <v>2770.83</v>
      </c>
      <c r="U249" s="31" t="str" cm="1">
        <f t="array" ref="U249">_xlfn.IFS(OR(R249="Missing",R249="N/A",R249="Still Employed"),"Unknown",ISNUMBER(R249),"Exited",TRUE,"Unknown")</f>
        <v>Unknown</v>
      </c>
      <c r="V249" s="31" t="str">
        <f t="shared" si="46"/>
        <v/>
      </c>
      <c r="W249" s="14" t="str">
        <f t="shared" si="47"/>
        <v>Active</v>
      </c>
      <c r="X249" s="19">
        <v>171546</v>
      </c>
      <c r="Y249" s="18" t="str">
        <f t="shared" si="40"/>
        <v>171546</v>
      </c>
      <c r="Z249" s="22" t="str" cm="1">
        <f t="array" ref="Z249">_xlfn.IFS(Y249="","0",LEFT(Y249,5)="",Y249,LEFT(Y249,1)="₹",REPLACE(Y249,1,1,""),LEFT(Y249,4)="Rs. ",REPLACE(Y249,1,4,""),TRUE,Y249)</f>
        <v>171546</v>
      </c>
      <c r="AA249" s="22" t="str">
        <f t="shared" si="41"/>
        <v>171546</v>
      </c>
      <c r="AB249" s="7" t="s">
        <v>144</v>
      </c>
      <c r="AC249" s="7" t="str">
        <f t="shared" si="42"/>
        <v>Poor</v>
      </c>
      <c r="AD249" s="7">
        <v>7</v>
      </c>
      <c r="AE249" cm="1">
        <f t="array" ref="AE249">_xlfn.IFS(AD249="",0,AD249&lt;0,"Negate Leave",AD249&gt;=0,AD249)</f>
        <v>7</v>
      </c>
    </row>
    <row r="250" spans="1:31" x14ac:dyDescent="0.3">
      <c r="A250" s="7">
        <v>5320</v>
      </c>
      <c r="B250" s="7" t="s">
        <v>1073</v>
      </c>
      <c r="C250" s="7" t="str">
        <f t="shared" si="37"/>
        <v>Sneha Kulkarni</v>
      </c>
      <c r="D250" s="7" t="str">
        <f t="shared" si="38"/>
        <v>Sneha Kulkarni</v>
      </c>
      <c r="E250" s="7" t="s">
        <v>68</v>
      </c>
      <c r="F250" s="7" t="s">
        <v>122</v>
      </c>
      <c r="G250" s="7" t="s">
        <v>91</v>
      </c>
      <c r="H250" s="7" t="str">
        <f>_xlfn.XLOOKUP(G250,Lookup_Tables!$A$4:$A$9,Lookup_Tables!$C$4:$C$9,"Not Found",0)</f>
        <v>Rajiv Kapoor</v>
      </c>
      <c r="I250" s="7" t="s">
        <v>47</v>
      </c>
      <c r="J250" s="7" t="s">
        <v>1085</v>
      </c>
      <c r="K250" s="7" t="str">
        <f t="shared" si="39"/>
        <v xml:space="preserve">rahul.pillai@company.com </v>
      </c>
      <c r="L250" s="7" t="s">
        <v>1086</v>
      </c>
      <c r="M250" s="7" t="str">
        <f t="shared" si="36"/>
        <v>0349971755</v>
      </c>
      <c r="N250" s="7" t="str" cm="1">
        <f t="array" ref="N250">_xlfn.IFS(M250="","Incomplete",LEN(M250)&lt;10,"Invalid",AND(LEN(M250) =10,LEFT(M250,4) &lt;&gt;"+91-"),"+91-"&amp;M250,TRUE,M250)</f>
        <v>+91-0349971755</v>
      </c>
      <c r="O250" s="8" t="s">
        <v>1087</v>
      </c>
      <c r="P250" s="14" t="s">
        <v>114</v>
      </c>
      <c r="Q250" s="14" t="str">
        <f t="shared" si="43"/>
        <v>Still Employed</v>
      </c>
      <c r="R250" s="14" t="str" cm="1">
        <f t="array" ref="R250">_xlfn.IFS(OR(Q250="Missing",Q250="N/A",Q250="Still Employed"),Q250,ISNUMBER(SEARCH(",",Q250)),DATEVALUE(Q250),AND(ISNUMBER(SEARCH("-",Q250)),ISNUMBER(VALUE(LEFT(Q250,4)))),DATE(LEFT(Q250,4),MID(Q250,6,2),RIGHT(Q250,2)),ISNUMBER(SEARCH("-",Q250)),DATE(RIGHT(Q250,4),MID(Q250,4,2),LEFT(Q250,2)),ISNUMBER(SEARCH("/",Q250)),DATE(RIGHT(Q250,4),MID(Q250,4,2),LEFT(Q250,2)),TRUE,"Check Manually")</f>
        <v>Still Employed</v>
      </c>
      <c r="S250" s="31" t="str">
        <f t="shared" ca="1" si="44"/>
        <v>5 Years, 7 Months, 29 Days</v>
      </c>
      <c r="T250" s="31">
        <f t="shared" ca="1" si="45"/>
        <v>2068.33</v>
      </c>
      <c r="U250" s="31" t="str" cm="1">
        <f t="array" ref="U250">_xlfn.IFS(OR(R250="Missing",R250="N/A",R250="Still Employed"),"Unknown",ISNUMBER(R250),"Exited",TRUE,"Unknown")</f>
        <v>Unknown</v>
      </c>
      <c r="V250" s="31" t="str">
        <f t="shared" si="46"/>
        <v/>
      </c>
      <c r="W250" s="14" t="str">
        <f t="shared" si="47"/>
        <v>Active</v>
      </c>
      <c r="X250" s="19" t="s">
        <v>1088</v>
      </c>
      <c r="Y250" s="18" t="str">
        <f t="shared" si="40"/>
        <v>₹161,726</v>
      </c>
      <c r="Z250" s="22" t="str" cm="1">
        <f t="array" ref="Z250">_xlfn.IFS(Y250="","0",LEFT(Y250,5)="",Y250,LEFT(Y250,1)="₹",REPLACE(Y250,1,1,""),LEFT(Y250,4)="Rs. ",REPLACE(Y250,1,4,""),TRUE,Y250)</f>
        <v>161,726</v>
      </c>
      <c r="AA250" s="22" t="str">
        <f t="shared" si="41"/>
        <v>161726</v>
      </c>
      <c r="AB250" s="7" t="s">
        <v>89</v>
      </c>
      <c r="AC250" s="7" t="str">
        <f t="shared" si="42"/>
        <v>Below Average</v>
      </c>
      <c r="AD250" s="7">
        <v>11</v>
      </c>
      <c r="AE250" cm="1">
        <f t="array" ref="AE250">_xlfn.IFS(AD250="",0,AD250&lt;0,"Negate Leave",AD250&gt;=0,AD250)</f>
        <v>11</v>
      </c>
    </row>
    <row r="251" spans="1:31" x14ac:dyDescent="0.3">
      <c r="A251" s="7">
        <v>5111</v>
      </c>
      <c r="B251" s="7" t="s">
        <v>1076</v>
      </c>
      <c r="C251" s="7" t="str">
        <f t="shared" si="37"/>
        <v>simran gupta</v>
      </c>
      <c r="D251" s="7" t="str">
        <f t="shared" si="38"/>
        <v>Simran Gupta</v>
      </c>
      <c r="E251" s="7" t="s">
        <v>61</v>
      </c>
      <c r="F251" s="7" t="s">
        <v>219</v>
      </c>
      <c r="G251" s="7" t="s">
        <v>46</v>
      </c>
      <c r="H251" s="7" t="str">
        <f>_xlfn.XLOOKUP(G251,Lookup_Tables!$A$4:$A$9,Lookup_Tables!$C$4:$C$9,"Not Found",0)</f>
        <v>Faisal Ahmed</v>
      </c>
      <c r="I251" s="7" t="s">
        <v>70</v>
      </c>
      <c r="J251" s="7" t="s">
        <v>1090</v>
      </c>
      <c r="K251" s="7" t="str">
        <f t="shared" si="39"/>
        <v>simran.agarwal@company.com</v>
      </c>
      <c r="L251" s="7" t="s">
        <v>1091</v>
      </c>
      <c r="M251" s="7" t="str">
        <f t="shared" si="36"/>
        <v>1636246770</v>
      </c>
      <c r="N251" s="7" t="str" cm="1">
        <f t="array" ref="N251">_xlfn.IFS(M251="","Incomplete",LEN(M251)&lt;10,"Invalid",AND(LEN(M251) =10,LEFT(M251,4) &lt;&gt;"+91-"),"+91-"&amp;M251,TRUE,M251)</f>
        <v>+91-1636246770</v>
      </c>
      <c r="O251" s="8" t="s">
        <v>1092</v>
      </c>
      <c r="P251" s="14" t="s">
        <v>114</v>
      </c>
      <c r="Q251" s="14" t="str">
        <f t="shared" si="43"/>
        <v>Still Employed</v>
      </c>
      <c r="R251" s="14" t="str" cm="1">
        <f t="array" ref="R251">_xlfn.IFS(OR(Q251="Missing",Q251="N/A",Q251="Still Employed"),Q251,ISNUMBER(SEARCH(",",Q251)),DATEVALUE(Q251),AND(ISNUMBER(SEARCH("-",Q251)),ISNUMBER(VALUE(LEFT(Q251,4)))),DATE(LEFT(Q251,4),MID(Q251,6,2),RIGHT(Q251,2)),ISNUMBER(SEARCH("-",Q251)),DATE(RIGHT(Q251,4),MID(Q251,4,2),LEFT(Q251,2)),ISNUMBER(SEARCH("/",Q251)),DATE(RIGHT(Q251,4),MID(Q251,4,2),LEFT(Q251,2)),TRUE,"Check Manually")</f>
        <v>Still Employed</v>
      </c>
      <c r="S251" s="31" t="str">
        <f t="shared" ca="1" si="44"/>
        <v>5 Years, 11 Months, 26 Days</v>
      </c>
      <c r="T251" s="31">
        <f t="shared" ca="1" si="45"/>
        <v>2187.09</v>
      </c>
      <c r="U251" s="31" t="str" cm="1">
        <f t="array" ref="U251">_xlfn.IFS(OR(R251="Missing",R251="N/A",R251="Still Employed"),"Unknown",ISNUMBER(R251),"Exited",TRUE,"Unknown")</f>
        <v>Unknown</v>
      </c>
      <c r="V251" s="31" t="str">
        <f t="shared" si="46"/>
        <v/>
      </c>
      <c r="W251" s="14" t="str">
        <f t="shared" si="47"/>
        <v>Active</v>
      </c>
      <c r="X251" s="19">
        <v>153987</v>
      </c>
      <c r="Y251" s="18" t="str">
        <f t="shared" si="40"/>
        <v>153987</v>
      </c>
      <c r="Z251" s="22" t="str" cm="1">
        <f t="array" ref="Z251">_xlfn.IFS(Y251="","0",LEFT(Y251,5)="",Y251,LEFT(Y251,1)="₹",REPLACE(Y251,1,1,""),LEFT(Y251,4)="Rs. ",REPLACE(Y251,1,4,""),TRUE,Y251)</f>
        <v>153987</v>
      </c>
      <c r="AA251" s="22" t="str">
        <f t="shared" si="41"/>
        <v>153987</v>
      </c>
      <c r="AB251" s="7" t="s">
        <v>127</v>
      </c>
      <c r="AC251" s="7" t="str">
        <f t="shared" si="42"/>
        <v>Good</v>
      </c>
      <c r="AD251" s="7">
        <v>7</v>
      </c>
      <c r="AE251" cm="1">
        <f t="array" ref="AE251">_xlfn.IFS(AD251="",0,AD251&lt;0,"Negate Leave",AD251&gt;=0,AD251)</f>
        <v>7</v>
      </c>
    </row>
    <row r="252" spans="1:31" x14ac:dyDescent="0.3">
      <c r="A252" s="7">
        <v>5301</v>
      </c>
      <c r="B252" s="7" t="s">
        <v>1080</v>
      </c>
      <c r="C252" s="7" t="str">
        <f t="shared" si="37"/>
        <v>Varun Rao</v>
      </c>
      <c r="D252" s="7" t="str">
        <f t="shared" si="38"/>
        <v>Varun Rao</v>
      </c>
      <c r="E252" s="7" t="s">
        <v>68</v>
      </c>
      <c r="F252" s="7" t="s">
        <v>133</v>
      </c>
      <c r="G252" s="7" t="s">
        <v>69</v>
      </c>
      <c r="H252" s="7" t="str">
        <f>_xlfn.XLOOKUP(G252,Lookup_Tables!$A$4:$A$9,Lookup_Tables!$C$4:$C$9,"Not Found",0)</f>
        <v>Vivek Malhotra</v>
      </c>
      <c r="I252" s="7" t="s">
        <v>77</v>
      </c>
      <c r="J252" s="7" t="s">
        <v>1094</v>
      </c>
      <c r="K252" s="7" t="str">
        <f t="shared" si="39"/>
        <v>priya.iyer@company.com</v>
      </c>
      <c r="L252" s="7" t="s">
        <v>1095</v>
      </c>
      <c r="M252" s="7" t="str">
        <f t="shared" si="36"/>
        <v>8654657707</v>
      </c>
      <c r="N252" s="7" t="str" cm="1">
        <f t="array" ref="N252">_xlfn.IFS(M252="","Incomplete",LEN(M252)&lt;10,"Invalid",AND(LEN(M252) =10,LEFT(M252,4) &lt;&gt;"+91-"),"+91-"&amp;M252,TRUE,M252)</f>
        <v>+91-8654657707</v>
      </c>
      <c r="O252" s="8" t="s">
        <v>1096</v>
      </c>
      <c r="P252" s="14" t="s">
        <v>114</v>
      </c>
      <c r="Q252" s="14" t="str">
        <f t="shared" si="43"/>
        <v>Still Employed</v>
      </c>
      <c r="R252" s="14" t="str" cm="1">
        <f t="array" ref="R252">_xlfn.IFS(OR(Q252="Missing",Q252="N/A",Q252="Still Employed"),Q252,ISNUMBER(SEARCH(",",Q252)),DATEVALUE(Q252),AND(ISNUMBER(SEARCH("-",Q252)),ISNUMBER(VALUE(LEFT(Q252,4)))),DATE(LEFT(Q252,4),MID(Q252,6,2),RIGHT(Q252,2)),ISNUMBER(SEARCH("-",Q252)),DATE(RIGHT(Q252,4),MID(Q252,4,2),LEFT(Q252,2)),ISNUMBER(SEARCH("/",Q252)),DATE(RIGHT(Q252,4),MID(Q252,4,2),LEFT(Q252,2)),TRUE,"Check Manually")</f>
        <v>Still Employed</v>
      </c>
      <c r="S252" s="31" t="str">
        <f t="shared" ca="1" si="44"/>
        <v>3 Years, 10 Months, 29 Days</v>
      </c>
      <c r="T252" s="31">
        <f t="shared" ca="1" si="45"/>
        <v>1429.15</v>
      </c>
      <c r="U252" s="31" t="str" cm="1">
        <f t="array" ref="U252">_xlfn.IFS(OR(R252="Missing",R252="N/A",R252="Still Employed"),"Unknown",ISNUMBER(R252),"Exited",TRUE,"Unknown")</f>
        <v>Unknown</v>
      </c>
      <c r="V252" s="31" t="str">
        <f t="shared" si="46"/>
        <v/>
      </c>
      <c r="W252" s="14" t="str">
        <f t="shared" si="47"/>
        <v>Active</v>
      </c>
      <c r="X252" s="19" t="s">
        <v>1097</v>
      </c>
      <c r="Y252" s="18" t="str">
        <f t="shared" si="40"/>
        <v>80,024</v>
      </c>
      <c r="Z252" s="22" t="str" cm="1">
        <f t="array" ref="Z252">_xlfn.IFS(Y252="","0",LEFT(Y252,5)="",Y252,LEFT(Y252,1)="₹",REPLACE(Y252,1,1,""),LEFT(Y252,4)="Rs. ",REPLACE(Y252,1,4,""),TRUE,Y252)</f>
        <v>80,024</v>
      </c>
      <c r="AA252" s="22" t="str">
        <f t="shared" si="41"/>
        <v>80024</v>
      </c>
      <c r="AB252" s="7" t="s">
        <v>51</v>
      </c>
      <c r="AC252" s="7" t="str">
        <f t="shared" si="42"/>
        <v>Excellent</v>
      </c>
      <c r="AD252" s="7">
        <v>-2</v>
      </c>
      <c r="AE252" t="str" cm="1">
        <f t="array" ref="AE252">_xlfn.IFS(AD252="",0,AD252&lt;0,"Negate Leave",AD252&gt;=0,AD252)</f>
        <v>Negate Leave</v>
      </c>
    </row>
    <row r="253" spans="1:31" x14ac:dyDescent="0.3">
      <c r="A253" s="7">
        <v>5072</v>
      </c>
      <c r="B253" s="7" t="s">
        <v>1084</v>
      </c>
      <c r="C253" s="7" t="str">
        <f t="shared" si="37"/>
        <v>Rahul Pillai</v>
      </c>
      <c r="D253" s="7" t="str">
        <f t="shared" si="38"/>
        <v>Rahul Pillai</v>
      </c>
      <c r="E253" s="7" t="s">
        <v>61</v>
      </c>
      <c r="F253" s="7" t="s">
        <v>389</v>
      </c>
      <c r="G253" s="7" t="s">
        <v>140</v>
      </c>
      <c r="H253" s="7" t="str">
        <f>_xlfn.XLOOKUP(G253,Lookup_Tables!$A$4:$A$9,Lookup_Tables!$C$4:$C$9,"Not Found",0)</f>
        <v>Sunita Rao</v>
      </c>
      <c r="I253" s="7" t="s">
        <v>55</v>
      </c>
      <c r="J253" s="7" t="s">
        <v>1099</v>
      </c>
      <c r="K253" s="7" t="str">
        <f t="shared" si="39"/>
        <v>vikram.agarwal@company.com</v>
      </c>
      <c r="L253" s="7" t="s">
        <v>1100</v>
      </c>
      <c r="M253" s="7" t="str">
        <f t="shared" ref="M253:M314" si="48">SUBSTITUTE(L253," ","")</f>
        <v>5039020475</v>
      </c>
      <c r="N253" s="7" t="str" cm="1">
        <f t="array" ref="N253">_xlfn.IFS(M253="","Incomplete",LEN(M253)&lt;10,"Invalid",AND(LEN(M253) =10,LEFT(M253,4) &lt;&gt;"+91-"),"+91-"&amp;M253,TRUE,M253)</f>
        <v>+91-5039020475</v>
      </c>
      <c r="O253" s="8" t="s">
        <v>1101</v>
      </c>
      <c r="P253" s="14" t="s">
        <v>114</v>
      </c>
      <c r="Q253" s="14" t="str">
        <f t="shared" si="43"/>
        <v>Still Employed</v>
      </c>
      <c r="R253" s="14" t="str" cm="1">
        <f t="array" ref="R253">_xlfn.IFS(OR(Q253="Missing",Q253="N/A",Q253="Still Employed"),Q253,ISNUMBER(SEARCH(",",Q253)),DATEVALUE(Q253),AND(ISNUMBER(SEARCH("-",Q253)),ISNUMBER(VALUE(LEFT(Q253,4)))),DATE(LEFT(Q253,4),MID(Q253,6,2),RIGHT(Q253,2)),ISNUMBER(SEARCH("-",Q253)),DATE(RIGHT(Q253,4),MID(Q253,4,2),LEFT(Q253,2)),ISNUMBER(SEARCH("/",Q253)),DATE(RIGHT(Q253,4),MID(Q253,4,2),LEFT(Q253,2)),TRUE,"Check Manually")</f>
        <v>Still Employed</v>
      </c>
      <c r="S253" s="31" t="str">
        <f t="shared" ca="1" si="44"/>
        <v>3 Years, 7 Months, 11 Days</v>
      </c>
      <c r="T253" s="31">
        <f t="shared" ca="1" si="45"/>
        <v>1319.83</v>
      </c>
      <c r="U253" s="31" t="str" cm="1">
        <f t="array" ref="U253">_xlfn.IFS(OR(R253="Missing",R253="N/A",R253="Still Employed"),"Unknown",ISNUMBER(R253),"Exited",TRUE,"Unknown")</f>
        <v>Unknown</v>
      </c>
      <c r="V253" s="31" t="str">
        <f t="shared" si="46"/>
        <v/>
      </c>
      <c r="W253" s="14" t="str">
        <f t="shared" si="47"/>
        <v>Active</v>
      </c>
      <c r="X253" s="19">
        <v>138602</v>
      </c>
      <c r="Y253" s="18" t="str">
        <f t="shared" si="40"/>
        <v>138602</v>
      </c>
      <c r="Z253" s="22" t="str" cm="1">
        <f t="array" ref="Z253">_xlfn.IFS(Y253="","0",LEFT(Y253,5)="",Y253,LEFT(Y253,1)="₹",REPLACE(Y253,1,1,""),LEFT(Y253,4)="Rs. ",REPLACE(Y253,1,4,""),TRUE,Y253)</f>
        <v>138602</v>
      </c>
      <c r="AA253" s="22" t="str">
        <f t="shared" si="41"/>
        <v>138602</v>
      </c>
      <c r="AB253" s="7" t="s">
        <v>89</v>
      </c>
      <c r="AC253" s="7" t="str">
        <f t="shared" si="42"/>
        <v>Below Average</v>
      </c>
      <c r="AD253" s="7">
        <v>4</v>
      </c>
      <c r="AE253" cm="1">
        <f t="array" ref="AE253">_xlfn.IFS(AD253="",0,AD253&lt;0,"Negate Leave",AD253&gt;=0,AD253)</f>
        <v>4</v>
      </c>
    </row>
    <row r="254" spans="1:31" x14ac:dyDescent="0.3">
      <c r="A254" s="7">
        <v>5055</v>
      </c>
      <c r="B254" s="7" t="s">
        <v>1089</v>
      </c>
      <c r="C254" s="7" t="str">
        <f t="shared" ref="C254:C315" si="49">IF(ISNUMBER(SEARCH(",",B254)), TRIM(MID(B254,FIND(",",B254)+1,LEN(B254))&amp;" "&amp;LEFT(B254,FIND(",",B254)-1)), B254)</f>
        <v>Simran Agarwal</v>
      </c>
      <c r="D254" s="7" t="str">
        <f t="shared" ref="D254:D315" si="50">PROPER(TRIM(C254))</f>
        <v>Simran Agarwal</v>
      </c>
      <c r="E254" s="7" t="s">
        <v>84</v>
      </c>
      <c r="F254" s="7" t="s">
        <v>151</v>
      </c>
      <c r="G254" s="7" t="s">
        <v>76</v>
      </c>
      <c r="H254" s="7" t="str">
        <f>_xlfn.XLOOKUP(G254,Lookup_Tables!$A$4:$A$9,Lookup_Tables!$C$4:$C$9,"Not Found",0)</f>
        <v>Ananya Sen</v>
      </c>
      <c r="I254" s="7" t="s">
        <v>110</v>
      </c>
      <c r="J254" s="7" t="s">
        <v>1103</v>
      </c>
      <c r="K254" s="7" t="str">
        <f t="shared" ref="K254:K315" si="51">IF(J254="","No Email ID",SUBSTITUTE(J254,"companycom","company.com"))</f>
        <v>amit.naidu@company.com</v>
      </c>
      <c r="L254" s="7" t="s">
        <v>1104</v>
      </c>
      <c r="M254" s="7" t="str">
        <f t="shared" si="48"/>
        <v>1895559797</v>
      </c>
      <c r="N254" s="7" t="str" cm="1">
        <f t="array" ref="N254">_xlfn.IFS(M254="","Incomplete",LEN(M254)&lt;10,"Invalid",AND(LEN(M254) =10,LEFT(M254,4) &lt;&gt;"+91-"),"+91-"&amp;M254,TRUE,M254)</f>
        <v>+91-1895559797</v>
      </c>
      <c r="O254" s="8" t="s">
        <v>761</v>
      </c>
      <c r="P254" s="14"/>
      <c r="Q254" s="14" t="str">
        <f t="shared" si="43"/>
        <v>Missing</v>
      </c>
      <c r="R254" s="14" t="str" cm="1">
        <f t="array" ref="R254">_xlfn.IFS(OR(Q254="Missing",Q254="N/A",Q254="Still Employed"),Q254,ISNUMBER(SEARCH(",",Q254)),DATEVALUE(Q254),AND(ISNUMBER(SEARCH("-",Q254)),ISNUMBER(VALUE(LEFT(Q254,4)))),DATE(LEFT(Q254,4),MID(Q254,6,2),RIGHT(Q254,2)),ISNUMBER(SEARCH("-",Q254)),DATE(RIGHT(Q254,4),MID(Q254,4,2),LEFT(Q254,2)),ISNUMBER(SEARCH("/",Q254)),DATE(RIGHT(Q254,4),MID(Q254,4,2),LEFT(Q254,2)),TRUE,"Check Manually")</f>
        <v>Missing</v>
      </c>
      <c r="S254" s="31" t="str">
        <f t="shared" ca="1" si="44"/>
        <v>7 Years, 8 Months, 24 Days</v>
      </c>
      <c r="T254" s="31">
        <f t="shared" ca="1" si="45"/>
        <v>2824.27</v>
      </c>
      <c r="U254" s="31" t="str" cm="1">
        <f t="array" ref="U254">_xlfn.IFS(OR(R254="Missing",R254="N/A",R254="Still Employed"),"Unknown",ISNUMBER(R254),"Exited",TRUE,"Unknown")</f>
        <v>Unknown</v>
      </c>
      <c r="V254" s="31" t="str">
        <f t="shared" si="46"/>
        <v/>
      </c>
      <c r="W254" s="14" t="str">
        <f t="shared" si="47"/>
        <v>Active</v>
      </c>
      <c r="X254" s="19"/>
      <c r="Y254" s="18" t="str">
        <f t="shared" ref="Y254:Y315" si="52">TRIM(X254)</f>
        <v/>
      </c>
      <c r="Z254" s="22" t="str" cm="1">
        <f t="array" ref="Z254">_xlfn.IFS(Y254="","0",LEFT(Y254,5)="",Y254,LEFT(Y254,1)="₹",REPLACE(Y254,1,1,""),LEFT(Y254,4)="Rs. ",REPLACE(Y254,1,4,""),TRUE,Y254)</f>
        <v>0</v>
      </c>
      <c r="AA254" s="22" t="str">
        <f t="shared" ref="AA254:AA315" si="53">SUBSTITUTE(Z254,",","")</f>
        <v>0</v>
      </c>
      <c r="AB254" s="7" t="s">
        <v>95</v>
      </c>
      <c r="AC254" s="7" t="str">
        <f t="shared" ref="AC254:AC315" si="54">IF(AB254="","Not Rated",AB254)</f>
        <v>Average</v>
      </c>
      <c r="AD254" s="7">
        <v>18</v>
      </c>
      <c r="AE254" cm="1">
        <f t="array" ref="AE254">_xlfn.IFS(AD254="",0,AD254&lt;0,"Negate Leave",AD254&gt;=0,AD254)</f>
        <v>18</v>
      </c>
    </row>
    <row r="255" spans="1:31" x14ac:dyDescent="0.3">
      <c r="A255" s="7">
        <v>5249</v>
      </c>
      <c r="B255" s="7" t="s">
        <v>1093</v>
      </c>
      <c r="C255" s="7" t="str">
        <f t="shared" si="49"/>
        <v>Priya Iyer</v>
      </c>
      <c r="D255" s="7" t="str">
        <f t="shared" si="50"/>
        <v>Priya Iyer</v>
      </c>
      <c r="E255" s="7" t="s">
        <v>68</v>
      </c>
      <c r="F255" s="7" t="s">
        <v>219</v>
      </c>
      <c r="G255" s="7" t="s">
        <v>46</v>
      </c>
      <c r="H255" s="7" t="str">
        <f>_xlfn.XLOOKUP(G255,Lookup_Tables!$A$4:$A$9,Lookup_Tables!$C$4:$C$9,"Not Found",0)</f>
        <v>Faisal Ahmed</v>
      </c>
      <c r="I255" s="7" t="s">
        <v>85</v>
      </c>
      <c r="J255" s="7" t="s">
        <v>1106</v>
      </c>
      <c r="K255" s="7" t="str">
        <f t="shared" si="51"/>
        <v>anjali.iyer@company.com</v>
      </c>
      <c r="L255" s="7" t="s">
        <v>1107</v>
      </c>
      <c r="M255" s="7" t="str">
        <f t="shared" si="48"/>
        <v>+91-7202397923</v>
      </c>
      <c r="N255" s="7" t="str" cm="1">
        <f t="array" ref="N255">_xlfn.IFS(M255="","Incomplete",LEN(M255)&lt;10,"Invalid",AND(LEN(M255) =10,LEFT(M255,4) &lt;&gt;"+91-"),"+91-"&amp;M255,TRUE,M255)</f>
        <v>+91-7202397923</v>
      </c>
      <c r="O255" s="8" t="s">
        <v>1108</v>
      </c>
      <c r="P255" s="14" t="s">
        <v>502</v>
      </c>
      <c r="Q255" s="14" t="str">
        <f t="shared" si="43"/>
        <v>2025-06-30</v>
      </c>
      <c r="R255" s="14" cm="1">
        <f t="array" ref="R255">_xlfn.IFS(OR(Q255="Missing",Q255="N/A",Q255="Still Employed"),Q255,ISNUMBER(SEARCH(",",Q255)),DATEVALUE(Q255),AND(ISNUMBER(SEARCH("-",Q255)),ISNUMBER(VALUE(LEFT(Q255,4)))),DATE(LEFT(Q255,4),MID(Q255,6,2),RIGHT(Q255,2)),ISNUMBER(SEARCH("-",Q255)),DATE(RIGHT(Q255,4),MID(Q255,4,2),LEFT(Q255,2)),ISNUMBER(SEARCH("/",Q255)),DATE(RIGHT(Q255,4),MID(Q255,4,2),LEFT(Q255,2)),TRUE,"Check Manually")</f>
        <v>45838</v>
      </c>
      <c r="S255" s="31" t="str">
        <f t="shared" ca="1" si="44"/>
        <v>1 Years, 11 Months, 20 Days</v>
      </c>
      <c r="T255" s="31">
        <f t="shared" ca="1" si="45"/>
        <v>720.09</v>
      </c>
      <c r="U255" s="31" t="str" cm="1">
        <f t="array" ref="U255">_xlfn.IFS(OR(R255="Missing",R255="N/A",R255="Still Employed"),"Unknown",ISNUMBER(R255),"Exited",TRUE,"Unknown")</f>
        <v>Exited</v>
      </c>
      <c r="V255" s="31">
        <f t="shared" si="46"/>
        <v>2025</v>
      </c>
      <c r="W255" s="14" t="str">
        <f t="shared" si="47"/>
        <v>Exited</v>
      </c>
      <c r="X255" s="19" t="s">
        <v>1109</v>
      </c>
      <c r="Y255" s="18" t="str">
        <f t="shared" si="52"/>
        <v>Rs. 160,293</v>
      </c>
      <c r="Z255" s="22" t="str" cm="1">
        <f t="array" ref="Z255">_xlfn.IFS(Y255="","0",LEFT(Y255,5)="",Y255,LEFT(Y255,1)="₹",REPLACE(Y255,1,1,""),LEFT(Y255,4)="Rs. ",REPLACE(Y255,1,4,""),TRUE,Y255)</f>
        <v>160,293</v>
      </c>
      <c r="AA255" s="22" t="str">
        <f t="shared" si="53"/>
        <v>160293</v>
      </c>
      <c r="AB255" s="7" t="s">
        <v>51</v>
      </c>
      <c r="AC255" s="7" t="str">
        <f t="shared" si="54"/>
        <v>Excellent</v>
      </c>
      <c r="AD255" s="7">
        <v>20</v>
      </c>
      <c r="AE255" cm="1">
        <f t="array" ref="AE255">_xlfn.IFS(AD255="",0,AD255&lt;0,"Negate Leave",AD255&gt;=0,AD255)</f>
        <v>20</v>
      </c>
    </row>
    <row r="256" spans="1:31" x14ac:dyDescent="0.3">
      <c r="A256" s="7">
        <v>5263</v>
      </c>
      <c r="B256" s="7" t="s">
        <v>1098</v>
      </c>
      <c r="C256" s="7" t="str">
        <f t="shared" si="49"/>
        <v>Vikram Agarwal</v>
      </c>
      <c r="D256" s="7" t="str">
        <f t="shared" si="50"/>
        <v>Vikram Agarwal</v>
      </c>
      <c r="E256" s="7" t="s">
        <v>61</v>
      </c>
      <c r="F256" s="7" t="s">
        <v>151</v>
      </c>
      <c r="G256" s="7" t="s">
        <v>76</v>
      </c>
      <c r="H256" s="7" t="str">
        <f>_xlfn.XLOOKUP(G256,Lookup_Tables!$A$4:$A$9,Lookup_Tables!$C$4:$C$9,"Not Found",0)</f>
        <v>Ananya Sen</v>
      </c>
      <c r="I256" s="7" t="s">
        <v>47</v>
      </c>
      <c r="J256" s="7" t="s">
        <v>1111</v>
      </c>
      <c r="K256" s="7" t="str">
        <f t="shared" si="51"/>
        <v xml:space="preserve">manish.reddy@company.com </v>
      </c>
      <c r="L256" s="7" t="s">
        <v>1112</v>
      </c>
      <c r="M256" s="7" t="str">
        <f t="shared" si="48"/>
        <v>3255605628</v>
      </c>
      <c r="N256" s="7" t="str" cm="1">
        <f t="array" ref="N256">_xlfn.IFS(M256="","Incomplete",LEN(M256)&lt;10,"Invalid",AND(LEN(M256) =10,LEFT(M256,4) &lt;&gt;"+91-"),"+91-"&amp;M256,TRUE,M256)</f>
        <v>+91-3255605628</v>
      </c>
      <c r="O256" s="8" t="s">
        <v>1113</v>
      </c>
      <c r="P256" s="14" t="s">
        <v>126</v>
      </c>
      <c r="Q256" s="14" t="str">
        <f t="shared" si="43"/>
        <v>N/A</v>
      </c>
      <c r="R256" s="14" t="str" cm="1">
        <f t="array" ref="R256">_xlfn.IFS(OR(Q256="Missing",Q256="N/A",Q256="Still Employed"),Q256,ISNUMBER(SEARCH(",",Q256)),DATEVALUE(Q256),AND(ISNUMBER(SEARCH("-",Q256)),ISNUMBER(VALUE(LEFT(Q256,4)))),DATE(LEFT(Q256,4),MID(Q256,6,2),RIGHT(Q256,2)),ISNUMBER(SEARCH("-",Q256)),DATE(RIGHT(Q256,4),MID(Q256,4,2),LEFT(Q256,2)),ISNUMBER(SEARCH("/",Q256)),DATE(RIGHT(Q256,4),MID(Q256,4,2),LEFT(Q256,2)),TRUE,"Check Manually")</f>
        <v>N/A</v>
      </c>
      <c r="S256" s="31" t="str">
        <f t="shared" ca="1" si="44"/>
        <v>2 Years, 8 Months, 24 Days</v>
      </c>
      <c r="T256" s="31">
        <f t="shared" ca="1" si="45"/>
        <v>998.02</v>
      </c>
      <c r="U256" s="31" t="str" cm="1">
        <f t="array" ref="U256">_xlfn.IFS(OR(R256="Missing",R256="N/A",R256="Still Employed"),"Unknown",ISNUMBER(R256),"Exited",TRUE,"Unknown")</f>
        <v>Unknown</v>
      </c>
      <c r="V256" s="31" t="str">
        <f t="shared" si="46"/>
        <v/>
      </c>
      <c r="W256" s="14" t="str">
        <f t="shared" si="47"/>
        <v>Active</v>
      </c>
      <c r="X256" s="19">
        <v>78346</v>
      </c>
      <c r="Y256" s="18" t="str">
        <f t="shared" si="52"/>
        <v>78346</v>
      </c>
      <c r="Z256" s="22" t="str" cm="1">
        <f t="array" ref="Z256">_xlfn.IFS(Y256="","0",LEFT(Y256,5)="",Y256,LEFT(Y256,1)="₹",REPLACE(Y256,1,1,""),LEFT(Y256,4)="Rs. ",REPLACE(Y256,1,4,""),TRUE,Y256)</f>
        <v>78346</v>
      </c>
      <c r="AA256" s="22" t="str">
        <f t="shared" si="53"/>
        <v>78346</v>
      </c>
      <c r="AB256" s="7" t="s">
        <v>95</v>
      </c>
      <c r="AC256" s="7" t="str">
        <f t="shared" si="54"/>
        <v>Average</v>
      </c>
      <c r="AD256" s="7">
        <v>21</v>
      </c>
      <c r="AE256" cm="1">
        <f t="array" ref="AE256">_xlfn.IFS(AD256="",0,AD256&lt;0,"Negate Leave",AD256&gt;=0,AD256)</f>
        <v>21</v>
      </c>
    </row>
    <row r="257" spans="1:31" x14ac:dyDescent="0.3">
      <c r="A257" s="7">
        <v>5003</v>
      </c>
      <c r="B257" s="7" t="s">
        <v>1102</v>
      </c>
      <c r="C257" s="7" t="str">
        <f t="shared" si="49"/>
        <v>Amit Naidu</v>
      </c>
      <c r="D257" s="7" t="str">
        <f t="shared" si="50"/>
        <v>Amit Naidu</v>
      </c>
      <c r="E257" s="7" t="s">
        <v>68</v>
      </c>
      <c r="F257" s="7" t="s">
        <v>53</v>
      </c>
      <c r="G257" s="7" t="s">
        <v>54</v>
      </c>
      <c r="H257" s="7" t="str">
        <f>_xlfn.XLOOKUP(G257,Lookup_Tables!$A$4:$A$9,Lookup_Tables!$C$4:$C$9,"Not Found",0)</f>
        <v>Leela Iyer</v>
      </c>
      <c r="I257" s="7" t="s">
        <v>110</v>
      </c>
      <c r="J257" s="7" t="s">
        <v>492</v>
      </c>
      <c r="K257" s="7" t="str">
        <f t="shared" si="51"/>
        <v>pooja.verma@company.com</v>
      </c>
      <c r="L257" s="7"/>
      <c r="M257" s="7" t="str">
        <f t="shared" si="48"/>
        <v/>
      </c>
      <c r="N257" s="7" t="str" cm="1">
        <f t="array" ref="N257">_xlfn.IFS(M257="","Incomplete",LEN(M257)&lt;10,"Invalid",AND(LEN(M257) =10,LEFT(M257,4) &lt;&gt;"+91-"),"+91-"&amp;M257,TRUE,M257)</f>
        <v>Incomplete</v>
      </c>
      <c r="O257" s="8" t="s">
        <v>1115</v>
      </c>
      <c r="P257" s="14"/>
      <c r="Q257" s="14" t="str">
        <f t="shared" si="43"/>
        <v>Missing</v>
      </c>
      <c r="R257" s="14" t="str" cm="1">
        <f t="array" ref="R257">_xlfn.IFS(OR(Q257="Missing",Q257="N/A",Q257="Still Employed"),Q257,ISNUMBER(SEARCH(",",Q257)),DATEVALUE(Q257),AND(ISNUMBER(SEARCH("-",Q257)),ISNUMBER(VALUE(LEFT(Q257,4)))),DATE(LEFT(Q257,4),MID(Q257,6,2),RIGHT(Q257,2)),ISNUMBER(SEARCH("-",Q257)),DATE(RIGHT(Q257,4),MID(Q257,4,2),LEFT(Q257,2)),ISNUMBER(SEARCH("/",Q257)),DATE(RIGHT(Q257,4),MID(Q257,4,2),LEFT(Q257,2)),TRUE,"Check Manually")</f>
        <v>Missing</v>
      </c>
      <c r="S257" s="31" t="str">
        <f t="shared" ca="1" si="44"/>
        <v>4 Years, 9 Months, 2 Days</v>
      </c>
      <c r="T257" s="31">
        <f t="shared" ca="1" si="45"/>
        <v>1736.96</v>
      </c>
      <c r="U257" s="31" t="str" cm="1">
        <f t="array" ref="U257">_xlfn.IFS(OR(R257="Missing",R257="N/A",R257="Still Employed"),"Unknown",ISNUMBER(R257),"Exited",TRUE,"Unknown")</f>
        <v>Unknown</v>
      </c>
      <c r="V257" s="31" t="str">
        <f t="shared" si="46"/>
        <v/>
      </c>
      <c r="W257" s="14" t="str">
        <f t="shared" si="47"/>
        <v>Active</v>
      </c>
      <c r="X257" s="19" t="s">
        <v>1116</v>
      </c>
      <c r="Y257" s="18" t="str">
        <f t="shared" si="52"/>
        <v>Rs. 81,211</v>
      </c>
      <c r="Z257" s="22" t="str" cm="1">
        <f t="array" ref="Z257">_xlfn.IFS(Y257="","0",LEFT(Y257,5)="",Y257,LEFT(Y257,1)="₹",REPLACE(Y257,1,1,""),LEFT(Y257,4)="Rs. ",REPLACE(Y257,1,4,""),TRUE,Y257)</f>
        <v>81,211</v>
      </c>
      <c r="AA257" s="22" t="str">
        <f t="shared" si="53"/>
        <v>81211</v>
      </c>
      <c r="AB257" s="7" t="s">
        <v>89</v>
      </c>
      <c r="AC257" s="7" t="str">
        <f t="shared" si="54"/>
        <v>Below Average</v>
      </c>
      <c r="AD257" s="7">
        <v>16</v>
      </c>
      <c r="AE257" cm="1">
        <f t="array" ref="AE257">_xlfn.IFS(AD257="",0,AD257&lt;0,"Negate Leave",AD257&gt;=0,AD257)</f>
        <v>16</v>
      </c>
    </row>
    <row r="258" spans="1:31" x14ac:dyDescent="0.3">
      <c r="A258" s="7">
        <v>5298</v>
      </c>
      <c r="B258" s="7" t="s">
        <v>1105</v>
      </c>
      <c r="C258" s="7" t="str">
        <f t="shared" si="49"/>
        <v>Anjali Iyer</v>
      </c>
      <c r="D258" s="7" t="str">
        <f t="shared" si="50"/>
        <v>Anjali Iyer</v>
      </c>
      <c r="E258" s="7" t="s">
        <v>68</v>
      </c>
      <c r="F258" s="7" t="s">
        <v>122</v>
      </c>
      <c r="G258" s="7" t="s">
        <v>91</v>
      </c>
      <c r="H258" s="7" t="str">
        <f>_xlfn.XLOOKUP(G258,Lookup_Tables!$A$4:$A$9,Lookup_Tables!$C$4:$C$9,"Not Found",0)</f>
        <v>Rajiv Kapoor</v>
      </c>
      <c r="I258" s="7" t="s">
        <v>47</v>
      </c>
      <c r="J258" s="7" t="s">
        <v>1118</v>
      </c>
      <c r="K258" s="7" t="str">
        <f t="shared" si="51"/>
        <v>suresh.mehta@company.com</v>
      </c>
      <c r="L258" s="7" t="s">
        <v>1119</v>
      </c>
      <c r="M258" s="7" t="str">
        <f t="shared" si="48"/>
        <v>6335001067</v>
      </c>
      <c r="N258" s="7" t="str" cm="1">
        <f t="array" ref="N258">_xlfn.IFS(M258="","Incomplete",LEN(M258)&lt;10,"Invalid",AND(LEN(M258) =10,LEFT(M258,4) &lt;&gt;"+91-"),"+91-"&amp;M258,TRUE,M258)</f>
        <v>+91-6335001067</v>
      </c>
      <c r="O258" s="8" t="s">
        <v>1120</v>
      </c>
      <c r="P258" s="14"/>
      <c r="Q258" s="14" t="str">
        <f t="shared" ref="Q258:Q321" si="55">IF(P258="","Missing",P258)</f>
        <v>Missing</v>
      </c>
      <c r="R258" s="14" t="str" cm="1">
        <f t="array" ref="R258">_xlfn.IFS(OR(Q258="Missing",Q258="N/A",Q258="Still Employed"),Q258,ISNUMBER(SEARCH(",",Q258)),DATEVALUE(Q258),AND(ISNUMBER(SEARCH("-",Q258)),ISNUMBER(VALUE(LEFT(Q258,4)))),DATE(LEFT(Q258,4),MID(Q258,6,2),RIGHT(Q258,2)),ISNUMBER(SEARCH("-",Q258)),DATE(RIGHT(Q258,4),MID(Q258,4,2),LEFT(Q258,2)),ISNUMBER(SEARCH("/",Q258)),DATE(RIGHT(Q258,4),MID(Q258,4,2),LEFT(Q258,2)),TRUE,"Check Manually")</f>
        <v>Missing</v>
      </c>
      <c r="S258" s="31" t="str">
        <f t="shared" ca="1" si="44"/>
        <v>5 Years, 1 Months, 19 Days</v>
      </c>
      <c r="T258" s="31">
        <f t="shared" ca="1" si="45"/>
        <v>1875.69</v>
      </c>
      <c r="U258" s="31" t="str" cm="1">
        <f t="array" ref="U258">_xlfn.IFS(OR(R258="Missing",R258="N/A",R258="Still Employed"),"Unknown",ISNUMBER(R258),"Exited",TRUE,"Unknown")</f>
        <v>Unknown</v>
      </c>
      <c r="V258" s="31" t="str">
        <f t="shared" si="46"/>
        <v/>
      </c>
      <c r="W258" s="14" t="str">
        <f t="shared" si="47"/>
        <v>Active</v>
      </c>
      <c r="X258" s="19">
        <v>50012</v>
      </c>
      <c r="Y258" s="18" t="str">
        <f t="shared" si="52"/>
        <v>50012</v>
      </c>
      <c r="Z258" s="22" t="str" cm="1">
        <f t="array" ref="Z258">_xlfn.IFS(Y258="","0",LEFT(Y258,5)="",Y258,LEFT(Y258,1)="₹",REPLACE(Y258,1,1,""),LEFT(Y258,4)="Rs. ",REPLACE(Y258,1,4,""),TRUE,Y258)</f>
        <v>50012</v>
      </c>
      <c r="AA258" s="22" t="str">
        <f t="shared" si="53"/>
        <v>50012</v>
      </c>
      <c r="AB258" s="7" t="s">
        <v>144</v>
      </c>
      <c r="AC258" s="7" t="str">
        <f t="shared" si="54"/>
        <v>Poor</v>
      </c>
      <c r="AD258" s="7">
        <v>15</v>
      </c>
      <c r="AE258" cm="1">
        <f t="array" ref="AE258">_xlfn.IFS(AD258="",0,AD258&lt;0,"Negate Leave",AD258&gt;=0,AD258)</f>
        <v>15</v>
      </c>
    </row>
    <row r="259" spans="1:31" x14ac:dyDescent="0.3">
      <c r="A259" s="7">
        <v>5287</v>
      </c>
      <c r="B259" s="7" t="s">
        <v>1110</v>
      </c>
      <c r="C259" s="7" t="str">
        <f t="shared" si="49"/>
        <v>Manish Reddy</v>
      </c>
      <c r="D259" s="7" t="str">
        <f t="shared" si="50"/>
        <v>Manish Reddy</v>
      </c>
      <c r="E259" s="7" t="s">
        <v>61</v>
      </c>
      <c r="F259" s="7" t="s">
        <v>53</v>
      </c>
      <c r="G259" s="7" t="s">
        <v>54</v>
      </c>
      <c r="H259" s="7" t="str">
        <f>_xlfn.XLOOKUP(G259,Lookup_Tables!$A$4:$A$9,Lookup_Tables!$C$4:$C$9,"Not Found",0)</f>
        <v>Leela Iyer</v>
      </c>
      <c r="I259" s="7" t="s">
        <v>47</v>
      </c>
      <c r="J259" s="7" t="s">
        <v>1122</v>
      </c>
      <c r="K259" s="7" t="str">
        <f t="shared" si="51"/>
        <v>rohanmehta@company.com</v>
      </c>
      <c r="L259" s="7" t="s">
        <v>1123</v>
      </c>
      <c r="M259" s="7" t="str">
        <f t="shared" si="48"/>
        <v>73136191</v>
      </c>
      <c r="N259" s="7" t="str" cm="1">
        <f t="array" ref="N259">_xlfn.IFS(M259="","Incomplete",LEN(M259)&lt;10,"Invalid",AND(LEN(M259) =10,LEFT(M259,4) &lt;&gt;"+91-"),"+91-"&amp;M259,TRUE,M259)</f>
        <v>Invalid</v>
      </c>
      <c r="O259" s="8" t="s">
        <v>1124</v>
      </c>
      <c r="P259" s="14" t="s">
        <v>114</v>
      </c>
      <c r="Q259" s="14" t="str">
        <f t="shared" si="55"/>
        <v>Still Employed</v>
      </c>
      <c r="R259" s="14" t="str" cm="1">
        <f t="array" ref="R259">_xlfn.IFS(OR(Q259="Missing",Q259="N/A",Q259="Still Employed"),Q259,ISNUMBER(SEARCH(",",Q259)),DATEVALUE(Q259),AND(ISNUMBER(SEARCH("-",Q259)),ISNUMBER(VALUE(LEFT(Q259,4)))),DATE(LEFT(Q259,4),MID(Q259,6,2),RIGHT(Q259,2)),ISNUMBER(SEARCH("-",Q259)),DATE(RIGHT(Q259,4),MID(Q259,4,2),LEFT(Q259,2)),ISNUMBER(SEARCH("/",Q259)),DATE(RIGHT(Q259,4),MID(Q259,4,2),LEFT(Q259,2)),TRUE,"Check Manually")</f>
        <v>Still Employed</v>
      </c>
      <c r="S259" s="31" t="str">
        <f t="shared" ref="S259:S322" ca="1" si="56">IF(OR(R259="Missing",R259="N/A",R259="Still Employed"),DATEDIF(O259,TODAY(),"y") &amp;" Years, " &amp;DATEDIF(O259,TODAY(),"ym") &amp; " Months, "&amp;DATEDIF(O259,TODAY(),"md") &amp;" Days",DATEDIF(O259,R259,"y") &amp;" Years, " &amp;DATEDIF(O259,R259,"ym") &amp; " Months, "&amp;DATEDIF(O259,R259,"md") &amp;" Days")</f>
        <v>4 Years, 1 Months, 7 Days</v>
      </c>
      <c r="T259" s="31">
        <f t="shared" ref="T259:T322" ca="1" si="57">VALUE(LEFT(S259,FIND(" Years",S259)-1))*365.25
+ VALUE(MID(S259,FIND(", ",S259)+2,FIND(" Months",S259)-FIND(", ",S259)-2))*30.44
+ VALUE(MID(S259,FIND("Months, ",S259)+8,FIND(" Days",S259)-FIND("Months, ",S259)-8))</f>
        <v>1498.44</v>
      </c>
      <c r="U259" s="31" t="str" cm="1">
        <f t="array" ref="U259">_xlfn.IFS(OR(R259="Missing",R259="N/A",R259="Still Employed"),"Unknown",ISNUMBER(R259),"Exited",TRUE,"Unknown")</f>
        <v>Unknown</v>
      </c>
      <c r="V259" s="31" t="str">
        <f t="shared" ref="V259:V322" si="58">IF(U259="Exited",YEAR(R259),"")</f>
        <v/>
      </c>
      <c r="W259" s="14" t="str">
        <f t="shared" ref="W259:W322" si="59">IF(OR(R259="Missing",R259="N/A",R259="Still Employed"),"Active","Exited")</f>
        <v>Active</v>
      </c>
      <c r="X259" s="19" t="s">
        <v>1125</v>
      </c>
      <c r="Y259" s="18" t="str">
        <f t="shared" si="52"/>
        <v>Rs. 89,665</v>
      </c>
      <c r="Z259" s="22" t="str" cm="1">
        <f t="array" ref="Z259">_xlfn.IFS(Y259="","0",LEFT(Y259,5)="",Y259,LEFT(Y259,1)="₹",REPLACE(Y259,1,1,""),LEFT(Y259,4)="Rs. ",REPLACE(Y259,1,4,""),TRUE,Y259)</f>
        <v>89,665</v>
      </c>
      <c r="AA259" s="22" t="str">
        <f t="shared" si="53"/>
        <v>89665</v>
      </c>
      <c r="AB259" s="7" t="s">
        <v>127</v>
      </c>
      <c r="AC259" s="7" t="str">
        <f t="shared" si="54"/>
        <v>Good</v>
      </c>
      <c r="AD259" s="7">
        <v>24</v>
      </c>
      <c r="AE259" cm="1">
        <f t="array" ref="AE259">_xlfn.IFS(AD259="",0,AD259&lt;0,"Negate Leave",AD259&gt;=0,AD259)</f>
        <v>24</v>
      </c>
    </row>
    <row r="260" spans="1:31" x14ac:dyDescent="0.3">
      <c r="A260" s="7">
        <v>5102</v>
      </c>
      <c r="B260" s="7" t="s">
        <v>1114</v>
      </c>
      <c r="C260" s="7" t="str">
        <f t="shared" si="49"/>
        <v>Pooja Verma</v>
      </c>
      <c r="D260" s="7" t="str">
        <f t="shared" si="50"/>
        <v>Pooja Verma</v>
      </c>
      <c r="E260" s="7" t="s">
        <v>61</v>
      </c>
      <c r="F260" s="7" t="s">
        <v>219</v>
      </c>
      <c r="G260" s="7" t="s">
        <v>46</v>
      </c>
      <c r="H260" s="7" t="str">
        <f>_xlfn.XLOOKUP(G260,Lookup_Tables!$A$4:$A$9,Lookup_Tables!$C$4:$C$9,"Not Found",0)</f>
        <v>Faisal Ahmed</v>
      </c>
      <c r="I260" s="7" t="s">
        <v>77</v>
      </c>
      <c r="J260" s="7" t="s">
        <v>759</v>
      </c>
      <c r="K260" s="7" t="str">
        <f t="shared" si="51"/>
        <v>priya.reddy@company.com</v>
      </c>
      <c r="L260" s="7" t="s">
        <v>1126</v>
      </c>
      <c r="M260" s="7" t="str">
        <f t="shared" si="48"/>
        <v>8622976314</v>
      </c>
      <c r="N260" s="7" t="str" cm="1">
        <f t="array" ref="N260">_xlfn.IFS(M260="","Incomplete",LEN(M260)&lt;10,"Invalid",AND(LEN(M260) =10,LEFT(M260,4) &lt;&gt;"+91-"),"+91-"&amp;M260,TRUE,M260)</f>
        <v>+91-8622976314</v>
      </c>
      <c r="O260" s="8" t="s">
        <v>1127</v>
      </c>
      <c r="P260" s="14"/>
      <c r="Q260" s="14" t="str">
        <f t="shared" si="55"/>
        <v>Missing</v>
      </c>
      <c r="R260" s="14" t="str" cm="1">
        <f t="array" ref="R260">_xlfn.IFS(OR(Q260="Missing",Q260="N/A",Q260="Still Employed"),Q260,ISNUMBER(SEARCH(",",Q260)),DATEVALUE(Q260),AND(ISNUMBER(SEARCH("-",Q260)),ISNUMBER(VALUE(LEFT(Q260,4)))),DATE(LEFT(Q260,4),MID(Q260,6,2),RIGHT(Q260,2)),ISNUMBER(SEARCH("-",Q260)),DATE(RIGHT(Q260,4),MID(Q260,4,2),LEFT(Q260,2)),ISNUMBER(SEARCH("/",Q260)),DATE(RIGHT(Q260,4),MID(Q260,4,2),LEFT(Q260,2)),TRUE,"Check Manually")</f>
        <v>Missing</v>
      </c>
      <c r="S260" s="31" t="str">
        <f t="shared" ca="1" si="56"/>
        <v>4 Years, 7 Months, 11 Days</v>
      </c>
      <c r="T260" s="31">
        <f t="shared" ca="1" si="57"/>
        <v>1685.08</v>
      </c>
      <c r="U260" s="31" t="str" cm="1">
        <f t="array" ref="U260">_xlfn.IFS(OR(R260="Missing",R260="N/A",R260="Still Employed"),"Unknown",ISNUMBER(R260),"Exited",TRUE,"Unknown")</f>
        <v>Unknown</v>
      </c>
      <c r="V260" s="31" t="str">
        <f t="shared" si="58"/>
        <v/>
      </c>
      <c r="W260" s="14" t="str">
        <f t="shared" si="59"/>
        <v>Active</v>
      </c>
      <c r="X260" s="19"/>
      <c r="Y260" s="18" t="str">
        <f t="shared" si="52"/>
        <v/>
      </c>
      <c r="Z260" s="22" t="str" cm="1">
        <f t="array" ref="Z260">_xlfn.IFS(Y260="","0",LEFT(Y260,5)="",Y260,LEFT(Y260,1)="₹",REPLACE(Y260,1,1,""),LEFT(Y260,4)="Rs. ",REPLACE(Y260,1,4,""),TRUE,Y260)</f>
        <v>0</v>
      </c>
      <c r="AA260" s="22" t="str">
        <f t="shared" si="53"/>
        <v>0</v>
      </c>
      <c r="AB260" s="7" t="s">
        <v>51</v>
      </c>
      <c r="AC260" s="7" t="str">
        <f t="shared" si="54"/>
        <v>Excellent</v>
      </c>
      <c r="AD260" s="7">
        <v>5</v>
      </c>
      <c r="AE260" cm="1">
        <f t="array" ref="AE260">_xlfn.IFS(AD260="",0,AD260&lt;0,"Negate Leave",AD260&gt;=0,AD260)</f>
        <v>5</v>
      </c>
    </row>
    <row r="261" spans="1:31" x14ac:dyDescent="0.3">
      <c r="A261" s="7">
        <v>5239</v>
      </c>
      <c r="B261" s="7" t="s">
        <v>1117</v>
      </c>
      <c r="C261" s="7" t="str">
        <f t="shared" si="49"/>
        <v>suresh mehta</v>
      </c>
      <c r="D261" s="7" t="str">
        <f t="shared" si="50"/>
        <v>Suresh Mehta</v>
      </c>
      <c r="E261" s="7" t="s">
        <v>68</v>
      </c>
      <c r="F261" s="7" t="s">
        <v>122</v>
      </c>
      <c r="G261" s="7" t="s">
        <v>91</v>
      </c>
      <c r="H261" s="7" t="str">
        <f>_xlfn.XLOOKUP(G261,Lookup_Tables!$A$4:$A$9,Lookup_Tables!$C$4:$C$9,"Not Found",0)</f>
        <v>Rajiv Kapoor</v>
      </c>
      <c r="I261" s="7" t="s">
        <v>110</v>
      </c>
      <c r="J261" s="7" t="s">
        <v>1129</v>
      </c>
      <c r="K261" s="7" t="str">
        <f t="shared" si="51"/>
        <v>simran.joshi@company.com</v>
      </c>
      <c r="L261" s="7" t="s">
        <v>1130</v>
      </c>
      <c r="M261" s="7" t="str">
        <f t="shared" si="48"/>
        <v>+91-8137226561</v>
      </c>
      <c r="N261" s="7" t="str" cm="1">
        <f t="array" ref="N261">_xlfn.IFS(M261="","Incomplete",LEN(M261)&lt;10,"Invalid",AND(LEN(M261) =10,LEFT(M261,4) &lt;&gt;"+91-"),"+91-"&amp;M261,TRUE,M261)</f>
        <v>+91-8137226561</v>
      </c>
      <c r="O261" s="8" t="s">
        <v>1131</v>
      </c>
      <c r="P261" s="14"/>
      <c r="Q261" s="14" t="str">
        <f t="shared" si="55"/>
        <v>Missing</v>
      </c>
      <c r="R261" s="14" t="str" cm="1">
        <f t="array" ref="R261">_xlfn.IFS(OR(Q261="Missing",Q261="N/A",Q261="Still Employed"),Q261,ISNUMBER(SEARCH(",",Q261)),DATEVALUE(Q261),AND(ISNUMBER(SEARCH("-",Q261)),ISNUMBER(VALUE(LEFT(Q261,4)))),DATE(LEFT(Q261,4),MID(Q261,6,2),RIGHT(Q261,2)),ISNUMBER(SEARCH("-",Q261)),DATE(RIGHT(Q261,4),MID(Q261,4,2),LEFT(Q261,2)),ISNUMBER(SEARCH("/",Q261)),DATE(RIGHT(Q261,4),MID(Q261,4,2),LEFT(Q261,2)),TRUE,"Check Manually")</f>
        <v>Missing</v>
      </c>
      <c r="S261" s="31" t="str">
        <f t="shared" ca="1" si="56"/>
        <v>5 Years, 11 Months, 18 Days</v>
      </c>
      <c r="T261" s="31">
        <f t="shared" ca="1" si="57"/>
        <v>2179.09</v>
      </c>
      <c r="U261" s="31" t="str" cm="1">
        <f t="array" ref="U261">_xlfn.IFS(OR(R261="Missing",R261="N/A",R261="Still Employed"),"Unknown",ISNUMBER(R261),"Exited",TRUE,"Unknown")</f>
        <v>Unknown</v>
      </c>
      <c r="V261" s="31" t="str">
        <f t="shared" si="58"/>
        <v/>
      </c>
      <c r="W261" s="14" t="str">
        <f t="shared" si="59"/>
        <v>Active</v>
      </c>
      <c r="X261" s="19"/>
      <c r="Y261" s="18" t="str">
        <f t="shared" si="52"/>
        <v/>
      </c>
      <c r="Z261" s="22" t="str" cm="1">
        <f t="array" ref="Z261">_xlfn.IFS(Y261="","0",LEFT(Y261,5)="",Y261,LEFT(Y261,1)="₹",REPLACE(Y261,1,1,""),LEFT(Y261,4)="Rs. ",REPLACE(Y261,1,4,""),TRUE,Y261)</f>
        <v>0</v>
      </c>
      <c r="AA261" s="22" t="str">
        <f t="shared" si="53"/>
        <v>0</v>
      </c>
      <c r="AB261" s="7" t="s">
        <v>127</v>
      </c>
      <c r="AC261" s="7" t="str">
        <f t="shared" si="54"/>
        <v>Good</v>
      </c>
      <c r="AD261" s="7">
        <v>13</v>
      </c>
      <c r="AE261" cm="1">
        <f t="array" ref="AE261">_xlfn.IFS(AD261="",0,AD261&lt;0,"Negate Leave",AD261&gt;=0,AD261)</f>
        <v>13</v>
      </c>
    </row>
    <row r="262" spans="1:31" x14ac:dyDescent="0.3">
      <c r="A262" s="7">
        <v>5156</v>
      </c>
      <c r="B262" s="7" t="s">
        <v>1121</v>
      </c>
      <c r="C262" s="7" t="str">
        <f t="shared" si="49"/>
        <v>Rohan Mehta</v>
      </c>
      <c r="D262" s="7" t="str">
        <f t="shared" si="50"/>
        <v>Rohan Mehta</v>
      </c>
      <c r="E262" s="7" t="s">
        <v>61</v>
      </c>
      <c r="F262" s="7" t="s">
        <v>151</v>
      </c>
      <c r="G262" s="7" t="s">
        <v>76</v>
      </c>
      <c r="H262" s="7" t="str">
        <f>_xlfn.XLOOKUP(G262,Lookup_Tables!$A$4:$A$9,Lookup_Tables!$C$4:$C$9,"Not Found",0)</f>
        <v>Ananya Sen</v>
      </c>
      <c r="I262" s="7" t="s">
        <v>175</v>
      </c>
      <c r="J262" s="7" t="s">
        <v>1133</v>
      </c>
      <c r="K262" s="7" t="str">
        <f t="shared" si="51"/>
        <v xml:space="preserve">nikhil.rao@company.com </v>
      </c>
      <c r="L262" s="7" t="s">
        <v>1134</v>
      </c>
      <c r="M262" s="7" t="str">
        <f t="shared" si="48"/>
        <v>8570951585</v>
      </c>
      <c r="N262" s="7" t="str" cm="1">
        <f t="array" ref="N262">_xlfn.IFS(M262="","Incomplete",LEN(M262)&lt;10,"Invalid",AND(LEN(M262) =10,LEFT(M262,4) &lt;&gt;"+91-"),"+91-"&amp;M262,TRUE,M262)</f>
        <v>+91-8570951585</v>
      </c>
      <c r="O262" s="8" t="s">
        <v>1135</v>
      </c>
      <c r="P262" s="14"/>
      <c r="Q262" s="14" t="str">
        <f t="shared" si="55"/>
        <v>Missing</v>
      </c>
      <c r="R262" s="14" t="str" cm="1">
        <f t="array" ref="R262">_xlfn.IFS(OR(Q262="Missing",Q262="N/A",Q262="Still Employed"),Q262,ISNUMBER(SEARCH(",",Q262)),DATEVALUE(Q262),AND(ISNUMBER(SEARCH("-",Q262)),ISNUMBER(VALUE(LEFT(Q262,4)))),DATE(LEFT(Q262,4),MID(Q262,6,2),RIGHT(Q262,2)),ISNUMBER(SEARCH("-",Q262)),DATE(RIGHT(Q262,4),MID(Q262,4,2),LEFT(Q262,2)),ISNUMBER(SEARCH("/",Q262)),DATE(RIGHT(Q262,4),MID(Q262,4,2),LEFT(Q262,2)),TRUE,"Check Manually")</f>
        <v>Missing</v>
      </c>
      <c r="S262" s="31" t="str">
        <f t="shared" ca="1" si="56"/>
        <v>4 Years, 5 Months, 9 Days</v>
      </c>
      <c r="T262" s="31">
        <f t="shared" ca="1" si="57"/>
        <v>1622.2</v>
      </c>
      <c r="U262" s="31" t="str" cm="1">
        <f t="array" ref="U262">_xlfn.IFS(OR(R262="Missing",R262="N/A",R262="Still Employed"),"Unknown",ISNUMBER(R262),"Exited",TRUE,"Unknown")</f>
        <v>Unknown</v>
      </c>
      <c r="V262" s="31" t="str">
        <f t="shared" si="58"/>
        <v/>
      </c>
      <c r="W262" s="14" t="str">
        <f t="shared" si="59"/>
        <v>Active</v>
      </c>
      <c r="X262" s="19">
        <v>38053</v>
      </c>
      <c r="Y262" s="18" t="str">
        <f t="shared" si="52"/>
        <v>38053</v>
      </c>
      <c r="Z262" s="22" t="str" cm="1">
        <f t="array" ref="Z262">_xlfn.IFS(Y262="","0",LEFT(Y262,5)="",Y262,LEFT(Y262,1)="₹",REPLACE(Y262,1,1,""),LEFT(Y262,4)="Rs. ",REPLACE(Y262,1,4,""),TRUE,Y262)</f>
        <v>38053</v>
      </c>
      <c r="AA262" s="22" t="str">
        <f t="shared" si="53"/>
        <v>38053</v>
      </c>
      <c r="AB262" s="7" t="s">
        <v>127</v>
      </c>
      <c r="AC262" s="7" t="str">
        <f t="shared" si="54"/>
        <v>Good</v>
      </c>
      <c r="AD262" s="7">
        <v>3</v>
      </c>
      <c r="AE262" cm="1">
        <f t="array" ref="AE262">_xlfn.IFS(AD262="",0,AD262&lt;0,"Negate Leave",AD262&gt;=0,AD262)</f>
        <v>3</v>
      </c>
    </row>
    <row r="263" spans="1:31" x14ac:dyDescent="0.3">
      <c r="A263" s="7">
        <v>5098</v>
      </c>
      <c r="B263" s="7" t="s">
        <v>945</v>
      </c>
      <c r="C263" s="7" t="str">
        <f t="shared" si="49"/>
        <v>Priya Reddy</v>
      </c>
      <c r="D263" s="7" t="str">
        <f t="shared" si="50"/>
        <v>Priya Reddy</v>
      </c>
      <c r="E263" s="7" t="s">
        <v>84</v>
      </c>
      <c r="F263" s="7" t="s">
        <v>151</v>
      </c>
      <c r="G263" s="7" t="s">
        <v>76</v>
      </c>
      <c r="H263" s="7" t="str">
        <f>_xlfn.XLOOKUP(G263,Lookup_Tables!$A$4:$A$9,Lookup_Tables!$C$4:$C$9,"Not Found",0)</f>
        <v>Ananya Sen</v>
      </c>
      <c r="I263" s="7" t="s">
        <v>70</v>
      </c>
      <c r="J263" s="7" t="s">
        <v>988</v>
      </c>
      <c r="K263" s="7" t="str">
        <f t="shared" si="51"/>
        <v>pooja.iyer@company.com</v>
      </c>
      <c r="L263" s="7" t="s">
        <v>1136</v>
      </c>
      <c r="M263" s="7" t="str">
        <f t="shared" si="48"/>
        <v>0652710028</v>
      </c>
      <c r="N263" s="7" t="str" cm="1">
        <f t="array" ref="N263">_xlfn.IFS(M263="","Incomplete",LEN(M263)&lt;10,"Invalid",AND(LEN(M263) =10,LEFT(M263,4) &lt;&gt;"+91-"),"+91-"&amp;M263,TRUE,M263)</f>
        <v>+91-0652710028</v>
      </c>
      <c r="O263" s="8" t="s">
        <v>1137</v>
      </c>
      <c r="P263" s="14"/>
      <c r="Q263" s="14" t="str">
        <f t="shared" si="55"/>
        <v>Missing</v>
      </c>
      <c r="R263" s="14" t="str" cm="1">
        <f t="array" ref="R263">_xlfn.IFS(OR(Q263="Missing",Q263="N/A",Q263="Still Employed"),Q263,ISNUMBER(SEARCH(",",Q263)),DATEVALUE(Q263),AND(ISNUMBER(SEARCH("-",Q263)),ISNUMBER(VALUE(LEFT(Q263,4)))),DATE(LEFT(Q263,4),MID(Q263,6,2),RIGHT(Q263,2)),ISNUMBER(SEARCH("-",Q263)),DATE(RIGHT(Q263,4),MID(Q263,4,2),LEFT(Q263,2)),ISNUMBER(SEARCH("/",Q263)),DATE(RIGHT(Q263,4),MID(Q263,4,2),LEFT(Q263,2)),TRUE,"Check Manually")</f>
        <v>Missing</v>
      </c>
      <c r="S263" s="31" t="str">
        <f t="shared" ca="1" si="56"/>
        <v>3 Years, 7 Months, 14 Days</v>
      </c>
      <c r="T263" s="31">
        <f t="shared" ca="1" si="57"/>
        <v>1322.83</v>
      </c>
      <c r="U263" s="31" t="str" cm="1">
        <f t="array" ref="U263">_xlfn.IFS(OR(R263="Missing",R263="N/A",R263="Still Employed"),"Unknown",ISNUMBER(R263),"Exited",TRUE,"Unknown")</f>
        <v>Unknown</v>
      </c>
      <c r="V263" s="31" t="str">
        <f t="shared" si="58"/>
        <v/>
      </c>
      <c r="W263" s="14" t="str">
        <f t="shared" si="59"/>
        <v>Active</v>
      </c>
      <c r="X263" s="19" t="s">
        <v>1138</v>
      </c>
      <c r="Y263" s="18" t="str">
        <f t="shared" si="52"/>
        <v>₹63,621</v>
      </c>
      <c r="Z263" s="22" t="str" cm="1">
        <f t="array" ref="Z263">_xlfn.IFS(Y263="","0",LEFT(Y263,5)="",Y263,LEFT(Y263,1)="₹",REPLACE(Y263,1,1,""),LEFT(Y263,4)="Rs. ",REPLACE(Y263,1,4,""),TRUE,Y263)</f>
        <v>63,621</v>
      </c>
      <c r="AA263" s="22" t="str">
        <f t="shared" si="53"/>
        <v>63621</v>
      </c>
      <c r="AB263" s="7" t="s">
        <v>51</v>
      </c>
      <c r="AC263" s="7" t="str">
        <f t="shared" si="54"/>
        <v>Excellent</v>
      </c>
      <c r="AD263" s="7">
        <v>16</v>
      </c>
      <c r="AE263" cm="1">
        <f t="array" ref="AE263">_xlfn.IFS(AD263="",0,AD263&lt;0,"Negate Leave",AD263&gt;=0,AD263)</f>
        <v>16</v>
      </c>
    </row>
    <row r="264" spans="1:31" x14ac:dyDescent="0.3">
      <c r="A264" s="7">
        <v>5131</v>
      </c>
      <c r="B264" s="7" t="s">
        <v>1128</v>
      </c>
      <c r="C264" s="7" t="str">
        <f t="shared" si="49"/>
        <v>Simran Joshi</v>
      </c>
      <c r="D264" s="7" t="str">
        <f t="shared" si="50"/>
        <v>Simran Joshi</v>
      </c>
      <c r="E264" s="7" t="s">
        <v>68</v>
      </c>
      <c r="F264" s="7" t="s">
        <v>53</v>
      </c>
      <c r="G264" s="7" t="s">
        <v>54</v>
      </c>
      <c r="H264" s="7" t="str">
        <f>_xlfn.XLOOKUP(G264,Lookup_Tables!$A$4:$A$9,Lookup_Tables!$C$4:$C$9,"Not Found",0)</f>
        <v>Leela Iyer</v>
      </c>
      <c r="I264" s="7" t="s">
        <v>47</v>
      </c>
      <c r="J264" s="7" t="s">
        <v>1140</v>
      </c>
      <c r="K264" s="7" t="str">
        <f t="shared" si="51"/>
        <v xml:space="preserve">vikram.shah@company.com </v>
      </c>
      <c r="L264" s="7" t="s">
        <v>1141</v>
      </c>
      <c r="M264" s="7" t="str">
        <f t="shared" si="48"/>
        <v>3409978371</v>
      </c>
      <c r="N264" s="7" t="str" cm="1">
        <f t="array" ref="N264">_xlfn.IFS(M264="","Incomplete",LEN(M264)&lt;10,"Invalid",AND(LEN(M264) =10,LEFT(M264,4) &lt;&gt;"+91-"),"+91-"&amp;M264,TRUE,M264)</f>
        <v>+91-3409978371</v>
      </c>
      <c r="O264" s="8" t="s">
        <v>1142</v>
      </c>
      <c r="P264" s="14"/>
      <c r="Q264" s="14" t="str">
        <f t="shared" si="55"/>
        <v>Missing</v>
      </c>
      <c r="R264" s="14" t="str" cm="1">
        <f t="array" ref="R264">_xlfn.IFS(OR(Q264="Missing",Q264="N/A",Q264="Still Employed"),Q264,ISNUMBER(SEARCH(",",Q264)),DATEVALUE(Q264),AND(ISNUMBER(SEARCH("-",Q264)),ISNUMBER(VALUE(LEFT(Q264,4)))),DATE(LEFT(Q264,4),MID(Q264,6,2),RIGHT(Q264,2)),ISNUMBER(SEARCH("-",Q264)),DATE(RIGHT(Q264,4),MID(Q264,4,2),LEFT(Q264,2)),ISNUMBER(SEARCH("/",Q264)),DATE(RIGHT(Q264,4),MID(Q264,4,2),LEFT(Q264,2)),TRUE,"Check Manually")</f>
        <v>Missing</v>
      </c>
      <c r="S264" s="31" t="str">
        <f t="shared" ca="1" si="56"/>
        <v>6 Years, 6 Months, 3 Days</v>
      </c>
      <c r="T264" s="31">
        <f t="shared" ca="1" si="57"/>
        <v>2377.14</v>
      </c>
      <c r="U264" s="31" t="str" cm="1">
        <f t="array" ref="U264">_xlfn.IFS(OR(R264="Missing",R264="N/A",R264="Still Employed"),"Unknown",ISNUMBER(R264),"Exited",TRUE,"Unknown")</f>
        <v>Unknown</v>
      </c>
      <c r="V264" s="31" t="str">
        <f t="shared" si="58"/>
        <v/>
      </c>
      <c r="W264" s="14" t="str">
        <f t="shared" si="59"/>
        <v>Active</v>
      </c>
      <c r="X264" s="19" t="s">
        <v>1143</v>
      </c>
      <c r="Y264" s="18" t="str">
        <f t="shared" si="52"/>
        <v>Rs. 42,883</v>
      </c>
      <c r="Z264" s="22" t="str" cm="1">
        <f t="array" ref="Z264">_xlfn.IFS(Y264="","0",LEFT(Y264,5)="",Y264,LEFT(Y264,1)="₹",REPLACE(Y264,1,1,""),LEFT(Y264,4)="Rs. ",REPLACE(Y264,1,4,""),TRUE,Y264)</f>
        <v>42,883</v>
      </c>
      <c r="AA264" s="22" t="str">
        <f t="shared" si="53"/>
        <v>42883</v>
      </c>
      <c r="AB264" s="7" t="s">
        <v>127</v>
      </c>
      <c r="AC264" s="7" t="str">
        <f t="shared" si="54"/>
        <v>Good</v>
      </c>
      <c r="AD264" s="7"/>
      <c r="AE264" cm="1">
        <f t="array" ref="AE264">_xlfn.IFS(AD264="",0,AD264&lt;0,"Negate Leave",AD264&gt;=0,AD264)</f>
        <v>0</v>
      </c>
    </row>
    <row r="265" spans="1:31" x14ac:dyDescent="0.3">
      <c r="A265" s="7">
        <v>5106</v>
      </c>
      <c r="B265" s="7" t="s">
        <v>1132</v>
      </c>
      <c r="C265" s="7" t="str">
        <f t="shared" si="49"/>
        <v>Nikhil Rao</v>
      </c>
      <c r="D265" s="7" t="str">
        <f t="shared" si="50"/>
        <v>Nikhil Rao</v>
      </c>
      <c r="E265" s="7" t="s">
        <v>68</v>
      </c>
      <c r="F265" s="7" t="s">
        <v>133</v>
      </c>
      <c r="G265" s="7" t="s">
        <v>69</v>
      </c>
      <c r="H265" s="7" t="str">
        <f>_xlfn.XLOOKUP(G265,Lookup_Tables!$A$4:$A$9,Lookup_Tables!$C$4:$C$9,"Not Found",0)</f>
        <v>Vivek Malhotra</v>
      </c>
      <c r="I265" s="7" t="s">
        <v>77</v>
      </c>
      <c r="J265" s="7" t="s">
        <v>1145</v>
      </c>
      <c r="K265" s="7" t="str">
        <f t="shared" si="51"/>
        <v>arjun.kapoor@company.com</v>
      </c>
      <c r="L265" s="7"/>
      <c r="M265" s="7" t="str">
        <f t="shared" si="48"/>
        <v/>
      </c>
      <c r="N265" s="7" t="str" cm="1">
        <f t="array" ref="N265">_xlfn.IFS(M265="","Incomplete",LEN(M265)&lt;10,"Invalid",AND(LEN(M265) =10,LEFT(M265,4) &lt;&gt;"+91-"),"+91-"&amp;M265,TRUE,M265)</f>
        <v>Incomplete</v>
      </c>
      <c r="O265" s="8" t="s">
        <v>1146</v>
      </c>
      <c r="P265" s="14"/>
      <c r="Q265" s="14" t="str">
        <f t="shared" si="55"/>
        <v>Missing</v>
      </c>
      <c r="R265" s="14" t="str" cm="1">
        <f t="array" ref="R265">_xlfn.IFS(OR(Q265="Missing",Q265="N/A",Q265="Still Employed"),Q265,ISNUMBER(SEARCH(",",Q265)),DATEVALUE(Q265),AND(ISNUMBER(SEARCH("-",Q265)),ISNUMBER(VALUE(LEFT(Q265,4)))),DATE(LEFT(Q265,4),MID(Q265,6,2),RIGHT(Q265,2)),ISNUMBER(SEARCH("-",Q265)),DATE(RIGHT(Q265,4),MID(Q265,4,2),LEFT(Q265,2)),ISNUMBER(SEARCH("/",Q265)),DATE(RIGHT(Q265,4),MID(Q265,4,2),LEFT(Q265,2)),TRUE,"Check Manually")</f>
        <v>Missing</v>
      </c>
      <c r="S265" s="31" t="str">
        <f t="shared" ca="1" si="56"/>
        <v>6 Years, 11 Months, 12 Days</v>
      </c>
      <c r="T265" s="31">
        <f t="shared" ca="1" si="57"/>
        <v>2538.34</v>
      </c>
      <c r="U265" s="31" t="str" cm="1">
        <f t="array" ref="U265">_xlfn.IFS(OR(R265="Missing",R265="N/A",R265="Still Employed"),"Unknown",ISNUMBER(R265),"Exited",TRUE,"Unknown")</f>
        <v>Unknown</v>
      </c>
      <c r="V265" s="31" t="str">
        <f t="shared" si="58"/>
        <v/>
      </c>
      <c r="W265" s="14" t="str">
        <f t="shared" si="59"/>
        <v>Active</v>
      </c>
      <c r="X265" s="19" t="s">
        <v>1147</v>
      </c>
      <c r="Y265" s="18" t="str">
        <f t="shared" si="52"/>
        <v>Rs. 157,614</v>
      </c>
      <c r="Z265" s="22" t="str" cm="1">
        <f t="array" ref="Z265">_xlfn.IFS(Y265="","0",LEFT(Y265,5)="",Y265,LEFT(Y265,1)="₹",REPLACE(Y265,1,1,""),LEFT(Y265,4)="Rs. ",REPLACE(Y265,1,4,""),TRUE,Y265)</f>
        <v>157,614</v>
      </c>
      <c r="AA265" s="22" t="str">
        <f t="shared" si="53"/>
        <v>157614</v>
      </c>
      <c r="AB265" s="7" t="s">
        <v>95</v>
      </c>
      <c r="AC265" s="7" t="str">
        <f t="shared" si="54"/>
        <v>Average</v>
      </c>
      <c r="AD265" s="7"/>
      <c r="AE265" cm="1">
        <f t="array" ref="AE265">_xlfn.IFS(AD265="",0,AD265&lt;0,"Negate Leave",AD265&gt;=0,AD265)</f>
        <v>0</v>
      </c>
    </row>
    <row r="266" spans="1:31" x14ac:dyDescent="0.3">
      <c r="A266" s="7">
        <v>5230</v>
      </c>
      <c r="B266" s="7" t="s">
        <v>987</v>
      </c>
      <c r="C266" s="7" t="str">
        <f t="shared" si="49"/>
        <v>Pooja Iyer</v>
      </c>
      <c r="D266" s="7" t="str">
        <f t="shared" si="50"/>
        <v>Pooja Iyer</v>
      </c>
      <c r="E266" s="7" t="s">
        <v>61</v>
      </c>
      <c r="F266" s="7" t="s">
        <v>151</v>
      </c>
      <c r="G266" s="7" t="s">
        <v>76</v>
      </c>
      <c r="H266" s="7" t="str">
        <f>_xlfn.XLOOKUP(G266,Lookup_Tables!$A$4:$A$9,Lookup_Tables!$C$4:$C$9,"Not Found",0)</f>
        <v>Ananya Sen</v>
      </c>
      <c r="I266" s="7" t="s">
        <v>62</v>
      </c>
      <c r="J266" s="7" t="s">
        <v>1149</v>
      </c>
      <c r="K266" s="7" t="str">
        <f t="shared" si="51"/>
        <v>anjali.joshi@company.com</v>
      </c>
      <c r="L266" s="7" t="s">
        <v>1150</v>
      </c>
      <c r="M266" s="7" t="str">
        <f t="shared" si="48"/>
        <v>65272845</v>
      </c>
      <c r="N266" s="7" t="str" cm="1">
        <f t="array" ref="N266">_xlfn.IFS(M266="","Incomplete",LEN(M266)&lt;10,"Invalid",AND(LEN(M266) =10,LEFT(M266,4) &lt;&gt;"+91-"),"+91-"&amp;M266,TRUE,M266)</f>
        <v>Invalid</v>
      </c>
      <c r="O266" s="8" t="s">
        <v>1151</v>
      </c>
      <c r="P266" s="14" t="s">
        <v>108</v>
      </c>
      <c r="Q266" s="14" t="str">
        <f t="shared" si="55"/>
        <v>30/06/2025</v>
      </c>
      <c r="R266" s="14" cm="1">
        <f t="array" ref="R266">_xlfn.IFS(OR(Q266="Missing",Q266="N/A",Q266="Still Employed"),Q266,ISNUMBER(SEARCH(",",Q266)),DATEVALUE(Q266),AND(ISNUMBER(SEARCH("-",Q266)),ISNUMBER(VALUE(LEFT(Q266,4)))),DATE(LEFT(Q266,4),MID(Q266,6,2),RIGHT(Q266,2)),ISNUMBER(SEARCH("-",Q266)),DATE(RIGHT(Q266,4),MID(Q266,4,2),LEFT(Q266,2)),ISNUMBER(SEARCH("/",Q266)),DATE(RIGHT(Q266,4),MID(Q266,4,2),LEFT(Q266,2)),TRUE,"Check Manually")</f>
        <v>45838</v>
      </c>
      <c r="S266" s="31" t="str">
        <f t="shared" ca="1" si="56"/>
        <v>1 Years, 6 Months, 24 Days</v>
      </c>
      <c r="T266" s="31">
        <f t="shared" ca="1" si="57"/>
        <v>571.89</v>
      </c>
      <c r="U266" s="31" t="str" cm="1">
        <f t="array" ref="U266">_xlfn.IFS(OR(R266="Missing",R266="N/A",R266="Still Employed"),"Unknown",ISNUMBER(R266),"Exited",TRUE,"Unknown")</f>
        <v>Exited</v>
      </c>
      <c r="V266" s="31">
        <f t="shared" si="58"/>
        <v>2025</v>
      </c>
      <c r="W266" s="14" t="str">
        <f t="shared" si="59"/>
        <v>Exited</v>
      </c>
      <c r="X266" s="19" t="s">
        <v>1152</v>
      </c>
      <c r="Y266" s="18" t="str">
        <f t="shared" si="52"/>
        <v>₹72,177</v>
      </c>
      <c r="Z266" s="22" t="str" cm="1">
        <f t="array" ref="Z266">_xlfn.IFS(Y266="","0",LEFT(Y266,5)="",Y266,LEFT(Y266,1)="₹",REPLACE(Y266,1,1,""),LEFT(Y266,4)="Rs. ",REPLACE(Y266,1,4,""),TRUE,Y266)</f>
        <v>72,177</v>
      </c>
      <c r="AA266" s="22" t="str">
        <f t="shared" si="53"/>
        <v>72177</v>
      </c>
      <c r="AB266" s="7" t="s">
        <v>51</v>
      </c>
      <c r="AC266" s="7" t="str">
        <f t="shared" si="54"/>
        <v>Excellent</v>
      </c>
      <c r="AD266" s="7">
        <v>23</v>
      </c>
      <c r="AE266" cm="1">
        <f t="array" ref="AE266">_xlfn.IFS(AD266="",0,AD266&lt;0,"Negate Leave",AD266&gt;=0,AD266)</f>
        <v>23</v>
      </c>
    </row>
    <row r="267" spans="1:31" x14ac:dyDescent="0.3">
      <c r="A267" s="7">
        <v>5078</v>
      </c>
      <c r="B267" s="7" t="s">
        <v>1139</v>
      </c>
      <c r="C267" s="7" t="str">
        <f t="shared" si="49"/>
        <v>Vikram Shah</v>
      </c>
      <c r="D267" s="7" t="str">
        <f t="shared" si="50"/>
        <v>Vikram Shah</v>
      </c>
      <c r="E267" s="7" t="s">
        <v>68</v>
      </c>
      <c r="F267" s="7" t="s">
        <v>219</v>
      </c>
      <c r="G267" s="7" t="s">
        <v>46</v>
      </c>
      <c r="H267" s="7" t="str">
        <f>_xlfn.XLOOKUP(G267,Lookup_Tables!$A$4:$A$9,Lookup_Tables!$C$4:$C$9,"Not Found",0)</f>
        <v>Faisal Ahmed</v>
      </c>
      <c r="I267" s="7" t="s">
        <v>77</v>
      </c>
      <c r="J267" s="7" t="s">
        <v>1154</v>
      </c>
      <c r="K267" s="7" t="str">
        <f t="shared" si="51"/>
        <v xml:space="preserve">divya.saxena@company.com </v>
      </c>
      <c r="L267" s="7" t="s">
        <v>1155</v>
      </c>
      <c r="M267" s="7" t="str">
        <f t="shared" si="48"/>
        <v>72326793</v>
      </c>
      <c r="N267" s="7" t="str" cm="1">
        <f t="array" ref="N267">_xlfn.IFS(M267="","Incomplete",LEN(M267)&lt;10,"Invalid",AND(LEN(M267) =10,LEFT(M267,4) &lt;&gt;"+91-"),"+91-"&amp;M267,TRUE,M267)</f>
        <v>Invalid</v>
      </c>
      <c r="O267" s="8" t="s">
        <v>1156</v>
      </c>
      <c r="P267" s="14" t="s">
        <v>1157</v>
      </c>
      <c r="Q267" s="14" t="str">
        <f t="shared" si="55"/>
        <v>Feb 26, 2021</v>
      </c>
      <c r="R267" s="14" cm="1">
        <f t="array" ref="R267">_xlfn.IFS(OR(Q267="Missing",Q267="N/A",Q267="Still Employed"),Q267,ISNUMBER(SEARCH(",",Q267)),DATEVALUE(Q267),AND(ISNUMBER(SEARCH("-",Q267)),ISNUMBER(VALUE(LEFT(Q267,4)))),DATE(LEFT(Q267,4),MID(Q267,6,2),RIGHT(Q267,2)),ISNUMBER(SEARCH("-",Q267)),DATE(RIGHT(Q267,4),MID(Q267,4,2),LEFT(Q267,2)),ISNUMBER(SEARCH("/",Q267)),DATE(RIGHT(Q267,4),MID(Q267,4,2),LEFT(Q267,2)),TRUE,"Check Manually")</f>
        <v>44253</v>
      </c>
      <c r="S267" s="31" t="str">
        <f t="shared" ca="1" si="56"/>
        <v>1 Years, 11 Months, 19 Days</v>
      </c>
      <c r="T267" s="31">
        <f t="shared" ca="1" si="57"/>
        <v>719.09</v>
      </c>
      <c r="U267" s="31" t="str" cm="1">
        <f t="array" ref="U267">_xlfn.IFS(OR(R267="Missing",R267="N/A",R267="Still Employed"),"Unknown",ISNUMBER(R267),"Exited",TRUE,"Unknown")</f>
        <v>Exited</v>
      </c>
      <c r="V267" s="31">
        <f t="shared" si="58"/>
        <v>2021</v>
      </c>
      <c r="W267" s="14" t="str">
        <f t="shared" si="59"/>
        <v>Exited</v>
      </c>
      <c r="X267" s="19">
        <v>57041</v>
      </c>
      <c r="Y267" s="18" t="str">
        <f t="shared" si="52"/>
        <v>57041</v>
      </c>
      <c r="Z267" s="22" t="str" cm="1">
        <f t="array" ref="Z267">_xlfn.IFS(Y267="","0",LEFT(Y267,5)="",Y267,LEFT(Y267,1)="₹",REPLACE(Y267,1,1,""),LEFT(Y267,4)="Rs. ",REPLACE(Y267,1,4,""),TRUE,Y267)</f>
        <v>57041</v>
      </c>
      <c r="AA267" s="22" t="str">
        <f t="shared" si="53"/>
        <v>57041</v>
      </c>
      <c r="AB267" s="7" t="s">
        <v>95</v>
      </c>
      <c r="AC267" s="7" t="str">
        <f t="shared" si="54"/>
        <v>Average</v>
      </c>
      <c r="AD267" s="7">
        <v>8</v>
      </c>
      <c r="AE267" cm="1">
        <f t="array" ref="AE267">_xlfn.IFS(AD267="",0,AD267&lt;0,"Negate Leave",AD267&gt;=0,AD267)</f>
        <v>8</v>
      </c>
    </row>
    <row r="268" spans="1:31" x14ac:dyDescent="0.3">
      <c r="A268" s="7">
        <v>5013</v>
      </c>
      <c r="B268" s="7" t="s">
        <v>1144</v>
      </c>
      <c r="C268" s="7" t="str">
        <f t="shared" si="49"/>
        <v>Arjun Kapoor</v>
      </c>
      <c r="D268" s="7" t="str">
        <f t="shared" si="50"/>
        <v>Arjun Kapoor</v>
      </c>
      <c r="E268" s="7" t="s">
        <v>68</v>
      </c>
      <c r="F268" s="7" t="s">
        <v>53</v>
      </c>
      <c r="G268" s="7" t="s">
        <v>54</v>
      </c>
      <c r="H268" s="7" t="str">
        <f>_xlfn.XLOOKUP(G268,Lookup_Tables!$A$4:$A$9,Lookup_Tables!$C$4:$C$9,"Not Found",0)</f>
        <v>Leela Iyer</v>
      </c>
      <c r="I268" s="7" t="s">
        <v>55</v>
      </c>
      <c r="J268" s="7" t="s">
        <v>1057</v>
      </c>
      <c r="K268" s="7" t="str">
        <f t="shared" si="51"/>
        <v>shreya.pillai@company.com</v>
      </c>
      <c r="L268" s="7" t="s">
        <v>1158</v>
      </c>
      <c r="M268" s="7" t="str">
        <f t="shared" si="48"/>
        <v>+91-3312459956</v>
      </c>
      <c r="N268" s="7" t="str" cm="1">
        <f t="array" ref="N268">_xlfn.IFS(M268="","Incomplete",LEN(M268)&lt;10,"Invalid",AND(LEN(M268) =10,LEFT(M268,4) &lt;&gt;"+91-"),"+91-"&amp;M268,TRUE,M268)</f>
        <v>+91-3312459956</v>
      </c>
      <c r="O268" s="8" t="s">
        <v>1159</v>
      </c>
      <c r="P268" s="14" t="s">
        <v>74</v>
      </c>
      <c r="Q268" s="14" t="str">
        <f t="shared" si="55"/>
        <v>Jun 30, 2025</v>
      </c>
      <c r="R268" s="14" cm="1">
        <f t="array" ref="R268">_xlfn.IFS(OR(Q268="Missing",Q268="N/A",Q268="Still Employed"),Q268,ISNUMBER(SEARCH(",",Q268)),DATEVALUE(Q268),AND(ISNUMBER(SEARCH("-",Q268)),ISNUMBER(VALUE(LEFT(Q268,4)))),DATE(LEFT(Q268,4),MID(Q268,6,2),RIGHT(Q268,2)),ISNUMBER(SEARCH("-",Q268)),DATE(RIGHT(Q268,4),MID(Q268,4,2),LEFT(Q268,2)),ISNUMBER(SEARCH("/",Q268)),DATE(RIGHT(Q268,4),MID(Q268,4,2),LEFT(Q268,2)),TRUE,"Check Manually")</f>
        <v>45838</v>
      </c>
      <c r="S268" s="31" t="str">
        <f t="shared" ca="1" si="56"/>
        <v>1 Years, 7 Months, 25 Days</v>
      </c>
      <c r="T268" s="31">
        <f t="shared" ca="1" si="57"/>
        <v>603.33000000000004</v>
      </c>
      <c r="U268" s="31" t="str" cm="1">
        <f t="array" ref="U268">_xlfn.IFS(OR(R268="Missing",R268="N/A",R268="Still Employed"),"Unknown",ISNUMBER(R268),"Exited",TRUE,"Unknown")</f>
        <v>Exited</v>
      </c>
      <c r="V268" s="31">
        <f t="shared" si="58"/>
        <v>2025</v>
      </c>
      <c r="W268" s="14" t="str">
        <f t="shared" si="59"/>
        <v>Exited</v>
      </c>
      <c r="X268" s="19">
        <v>119146</v>
      </c>
      <c r="Y268" s="18" t="str">
        <f t="shared" si="52"/>
        <v>119146</v>
      </c>
      <c r="Z268" s="22" t="str" cm="1">
        <f t="array" ref="Z268">_xlfn.IFS(Y268="","0",LEFT(Y268,5)="",Y268,LEFT(Y268,1)="₹",REPLACE(Y268,1,1,""),LEFT(Y268,4)="Rs. ",REPLACE(Y268,1,4,""),TRUE,Y268)</f>
        <v>119146</v>
      </c>
      <c r="AA268" s="22" t="str">
        <f t="shared" si="53"/>
        <v>119146</v>
      </c>
      <c r="AB268" s="7" t="s">
        <v>89</v>
      </c>
      <c r="AC268" s="7" t="str">
        <f t="shared" si="54"/>
        <v>Below Average</v>
      </c>
      <c r="AD268" s="7"/>
      <c r="AE268" cm="1">
        <f t="array" ref="AE268">_xlfn.IFS(AD268="",0,AD268&lt;0,"Negate Leave",AD268&gt;=0,AD268)</f>
        <v>0</v>
      </c>
    </row>
    <row r="269" spans="1:31" x14ac:dyDescent="0.3">
      <c r="A269" s="7">
        <v>5242</v>
      </c>
      <c r="B269" s="7" t="s">
        <v>1148</v>
      </c>
      <c r="C269" s="7" t="str">
        <f t="shared" si="49"/>
        <v>Anjali Joshi</v>
      </c>
      <c r="D269" s="7" t="str">
        <f t="shared" si="50"/>
        <v>Anjali Joshi</v>
      </c>
      <c r="E269" s="7" t="s">
        <v>68</v>
      </c>
      <c r="F269" s="7" t="s">
        <v>219</v>
      </c>
      <c r="G269" s="7" t="s">
        <v>46</v>
      </c>
      <c r="H269" s="7" t="str">
        <f>_xlfn.XLOOKUP(G269,Lookup_Tables!$A$4:$A$9,Lookup_Tables!$C$4:$C$9,"Not Found",0)</f>
        <v>Faisal Ahmed</v>
      </c>
      <c r="I269" s="7" t="s">
        <v>110</v>
      </c>
      <c r="J269" s="7" t="s">
        <v>1161</v>
      </c>
      <c r="K269" s="7" t="str">
        <f t="shared" si="51"/>
        <v>simranagarwal@company.com</v>
      </c>
      <c r="L269" s="7" t="s">
        <v>1162</v>
      </c>
      <c r="M269" s="7" t="str">
        <f t="shared" si="48"/>
        <v>3814064269</v>
      </c>
      <c r="N269" s="7" t="str" cm="1">
        <f t="array" ref="N269">_xlfn.IFS(M269="","Incomplete",LEN(M269)&lt;10,"Invalid",AND(LEN(M269) =10,LEFT(M269,4) &lt;&gt;"+91-"),"+91-"&amp;M269,TRUE,M269)</f>
        <v>+91-3814064269</v>
      </c>
      <c r="O269" s="8" t="s">
        <v>1163</v>
      </c>
      <c r="P269" s="14"/>
      <c r="Q269" s="14" t="str">
        <f t="shared" si="55"/>
        <v>Missing</v>
      </c>
      <c r="R269" s="14" t="str" cm="1">
        <f t="array" ref="R269">_xlfn.IFS(OR(Q269="Missing",Q269="N/A",Q269="Still Employed"),Q269,ISNUMBER(SEARCH(",",Q269)),DATEVALUE(Q269),AND(ISNUMBER(SEARCH("-",Q269)),ISNUMBER(VALUE(LEFT(Q269,4)))),DATE(LEFT(Q269,4),MID(Q269,6,2),RIGHT(Q269,2)),ISNUMBER(SEARCH("-",Q269)),DATE(RIGHT(Q269,4),MID(Q269,4,2),LEFT(Q269,2)),ISNUMBER(SEARCH("/",Q269)),DATE(RIGHT(Q269,4),MID(Q269,4,2),LEFT(Q269,2)),TRUE,"Check Manually")</f>
        <v>Missing</v>
      </c>
      <c r="S269" s="31" t="str">
        <f t="shared" ca="1" si="56"/>
        <v>2 Years, 0 Months, 27 Days</v>
      </c>
      <c r="T269" s="31">
        <f t="shared" ca="1" si="57"/>
        <v>757.5</v>
      </c>
      <c r="U269" s="31" t="str" cm="1">
        <f t="array" ref="U269">_xlfn.IFS(OR(R269="Missing",R269="N/A",R269="Still Employed"),"Unknown",ISNUMBER(R269),"Exited",TRUE,"Unknown")</f>
        <v>Unknown</v>
      </c>
      <c r="V269" s="31" t="str">
        <f t="shared" si="58"/>
        <v/>
      </c>
      <c r="W269" s="14" t="str">
        <f t="shared" si="59"/>
        <v>Active</v>
      </c>
      <c r="X269" s="19">
        <v>106778</v>
      </c>
      <c r="Y269" s="18" t="str">
        <f t="shared" si="52"/>
        <v>106778</v>
      </c>
      <c r="Z269" s="22" t="str" cm="1">
        <f t="array" ref="Z269">_xlfn.IFS(Y269="","0",LEFT(Y269,5)="",Y269,LEFT(Y269,1)="₹",REPLACE(Y269,1,1,""),LEFT(Y269,4)="Rs. ",REPLACE(Y269,1,4,""),TRUE,Y269)</f>
        <v>106778</v>
      </c>
      <c r="AA269" s="22" t="str">
        <f t="shared" si="53"/>
        <v>106778</v>
      </c>
      <c r="AB269" s="7" t="s">
        <v>51</v>
      </c>
      <c r="AC269" s="7" t="str">
        <f t="shared" si="54"/>
        <v>Excellent</v>
      </c>
      <c r="AD269" s="7">
        <v>13</v>
      </c>
      <c r="AE269" cm="1">
        <f t="array" ref="AE269">_xlfn.IFS(AD269="",0,AD269&lt;0,"Negate Leave",AD269&gt;=0,AD269)</f>
        <v>13</v>
      </c>
    </row>
    <row r="270" spans="1:31" x14ac:dyDescent="0.3">
      <c r="A270" s="7">
        <v>5034</v>
      </c>
      <c r="B270" s="7" t="s">
        <v>1153</v>
      </c>
      <c r="C270" s="7" t="str">
        <f t="shared" si="49"/>
        <v>DIVYA SAXENA</v>
      </c>
      <c r="D270" s="7" t="str">
        <f t="shared" si="50"/>
        <v>Divya Saxena</v>
      </c>
      <c r="E270" s="7" t="s">
        <v>68</v>
      </c>
      <c r="F270" s="7" t="s">
        <v>122</v>
      </c>
      <c r="G270" s="7" t="s">
        <v>91</v>
      </c>
      <c r="H270" s="7" t="str">
        <f>_xlfn.XLOOKUP(G270,Lookup_Tables!$A$4:$A$9,Lookup_Tables!$C$4:$C$9,"Not Found",0)</f>
        <v>Rajiv Kapoor</v>
      </c>
      <c r="I270" s="7" t="s">
        <v>47</v>
      </c>
      <c r="J270" s="7" t="s">
        <v>1165</v>
      </c>
      <c r="K270" s="7" t="str">
        <f t="shared" si="51"/>
        <v>aarav.rao@company.com</v>
      </c>
      <c r="L270" s="7" t="s">
        <v>1166</v>
      </c>
      <c r="M270" s="7" t="str">
        <f t="shared" si="48"/>
        <v>1953816133</v>
      </c>
      <c r="N270" s="7" t="str" cm="1">
        <f t="array" ref="N270">_xlfn.IFS(M270="","Incomplete",LEN(M270)&lt;10,"Invalid",AND(LEN(M270) =10,LEFT(M270,4) &lt;&gt;"+91-"),"+91-"&amp;M270,TRUE,M270)</f>
        <v>+91-1953816133</v>
      </c>
      <c r="O270" s="8" t="s">
        <v>1167</v>
      </c>
      <c r="P270" s="14"/>
      <c r="Q270" s="14" t="str">
        <f t="shared" si="55"/>
        <v>Missing</v>
      </c>
      <c r="R270" s="14" t="str" cm="1">
        <f t="array" ref="R270">_xlfn.IFS(OR(Q270="Missing",Q270="N/A",Q270="Still Employed"),Q270,ISNUMBER(SEARCH(",",Q270)),DATEVALUE(Q270),AND(ISNUMBER(SEARCH("-",Q270)),ISNUMBER(VALUE(LEFT(Q270,4)))),DATE(LEFT(Q270,4),MID(Q270,6,2),RIGHT(Q270,2)),ISNUMBER(SEARCH("-",Q270)),DATE(RIGHT(Q270,4),MID(Q270,4,2),LEFT(Q270,2)),ISNUMBER(SEARCH("/",Q270)),DATE(RIGHT(Q270,4),MID(Q270,4,2),LEFT(Q270,2)),TRUE,"Check Manually")</f>
        <v>Missing</v>
      </c>
      <c r="S270" s="31" t="str">
        <f t="shared" ca="1" si="56"/>
        <v>6 Years, 11 Months, 17 Days</v>
      </c>
      <c r="T270" s="31">
        <f t="shared" ca="1" si="57"/>
        <v>2543.34</v>
      </c>
      <c r="U270" s="31" t="str" cm="1">
        <f t="array" ref="U270">_xlfn.IFS(OR(R270="Missing",R270="N/A",R270="Still Employed"),"Unknown",ISNUMBER(R270),"Exited",TRUE,"Unknown")</f>
        <v>Unknown</v>
      </c>
      <c r="V270" s="31" t="str">
        <f t="shared" si="58"/>
        <v/>
      </c>
      <c r="W270" s="14" t="str">
        <f t="shared" si="59"/>
        <v>Active</v>
      </c>
      <c r="X270" s="19" t="s">
        <v>1168</v>
      </c>
      <c r="Y270" s="18" t="str">
        <f t="shared" si="52"/>
        <v>₹71,281</v>
      </c>
      <c r="Z270" s="22" t="str" cm="1">
        <f t="array" ref="Z270">_xlfn.IFS(Y270="","0",LEFT(Y270,5)="",Y270,LEFT(Y270,1)="₹",REPLACE(Y270,1,1,""),LEFT(Y270,4)="Rs. ",REPLACE(Y270,1,4,""),TRUE,Y270)</f>
        <v>71,281</v>
      </c>
      <c r="AA270" s="22" t="str">
        <f t="shared" si="53"/>
        <v>71281</v>
      </c>
      <c r="AB270" s="7"/>
      <c r="AC270" s="7" t="str">
        <f t="shared" si="54"/>
        <v>Not Rated</v>
      </c>
      <c r="AD270" s="7">
        <v>22</v>
      </c>
      <c r="AE270" cm="1">
        <f t="array" ref="AE270">_xlfn.IFS(AD270="",0,AD270&lt;0,"Negate Leave",AD270&gt;=0,AD270)</f>
        <v>22</v>
      </c>
    </row>
    <row r="271" spans="1:31" x14ac:dyDescent="0.3">
      <c r="A271" s="7">
        <v>5069</v>
      </c>
      <c r="B271" s="7" t="s">
        <v>1056</v>
      </c>
      <c r="C271" s="7" t="str">
        <f t="shared" si="49"/>
        <v>Shreya Pillai</v>
      </c>
      <c r="D271" s="7" t="str">
        <f t="shared" si="50"/>
        <v>Shreya Pillai</v>
      </c>
      <c r="E271" s="7" t="s">
        <v>84</v>
      </c>
      <c r="F271" s="7" t="s">
        <v>219</v>
      </c>
      <c r="G271" s="7" t="s">
        <v>46</v>
      </c>
      <c r="H271" s="7" t="str">
        <f>_xlfn.XLOOKUP(G271,Lookup_Tables!$A$4:$A$9,Lookup_Tables!$C$4:$C$9,"Not Found",0)</f>
        <v>Faisal Ahmed</v>
      </c>
      <c r="I271" s="7" t="s">
        <v>47</v>
      </c>
      <c r="J271" s="7" t="s">
        <v>1170</v>
      </c>
      <c r="K271" s="7" t="str">
        <f t="shared" si="51"/>
        <v>divya.menon@company.com</v>
      </c>
      <c r="L271" s="7" t="s">
        <v>1171</v>
      </c>
      <c r="M271" s="7" t="str">
        <f t="shared" si="48"/>
        <v>4963666937</v>
      </c>
      <c r="N271" s="7" t="str" cm="1">
        <f t="array" ref="N271">_xlfn.IFS(M271="","Incomplete",LEN(M271)&lt;10,"Invalid",AND(LEN(M271) =10,LEFT(M271,4) &lt;&gt;"+91-"),"+91-"&amp;M271,TRUE,M271)</f>
        <v>+91-4963666937</v>
      </c>
      <c r="O271" s="8" t="s">
        <v>1172</v>
      </c>
      <c r="P271" s="14"/>
      <c r="Q271" s="14" t="str">
        <f t="shared" si="55"/>
        <v>Missing</v>
      </c>
      <c r="R271" s="14" t="str" cm="1">
        <f t="array" ref="R271">_xlfn.IFS(OR(Q271="Missing",Q271="N/A",Q271="Still Employed"),Q271,ISNUMBER(SEARCH(",",Q271)),DATEVALUE(Q271),AND(ISNUMBER(SEARCH("-",Q271)),ISNUMBER(VALUE(LEFT(Q271,4)))),DATE(LEFT(Q271,4),MID(Q271,6,2),RIGHT(Q271,2)),ISNUMBER(SEARCH("-",Q271)),DATE(RIGHT(Q271,4),MID(Q271,4,2),LEFT(Q271,2)),ISNUMBER(SEARCH("/",Q271)),DATE(RIGHT(Q271,4),MID(Q271,4,2),LEFT(Q271,2)),TRUE,"Check Manually")</f>
        <v>Missing</v>
      </c>
      <c r="S271" s="31" t="str">
        <f t="shared" ca="1" si="56"/>
        <v>2 Years, 2 Months, 11 Days</v>
      </c>
      <c r="T271" s="31">
        <f t="shared" ca="1" si="57"/>
        <v>802.38</v>
      </c>
      <c r="U271" s="31" t="str" cm="1">
        <f t="array" ref="U271">_xlfn.IFS(OR(R271="Missing",R271="N/A",R271="Still Employed"),"Unknown",ISNUMBER(R271),"Exited",TRUE,"Unknown")</f>
        <v>Unknown</v>
      </c>
      <c r="V271" s="31" t="str">
        <f t="shared" si="58"/>
        <v/>
      </c>
      <c r="W271" s="14" t="str">
        <f t="shared" si="59"/>
        <v>Active</v>
      </c>
      <c r="X271" s="19" t="s">
        <v>1173</v>
      </c>
      <c r="Y271" s="18" t="str">
        <f t="shared" si="52"/>
        <v>₹122,042</v>
      </c>
      <c r="Z271" s="22" t="str" cm="1">
        <f t="array" ref="Z271">_xlfn.IFS(Y271="","0",LEFT(Y271,5)="",Y271,LEFT(Y271,1)="₹",REPLACE(Y271,1,1,""),LEFT(Y271,4)="Rs. ",REPLACE(Y271,1,4,""),TRUE,Y271)</f>
        <v>122,042</v>
      </c>
      <c r="AA271" s="22" t="str">
        <f t="shared" si="53"/>
        <v>122042</v>
      </c>
      <c r="AB271" s="7"/>
      <c r="AC271" s="7" t="str">
        <f t="shared" si="54"/>
        <v>Not Rated</v>
      </c>
      <c r="AD271" s="7">
        <v>10</v>
      </c>
      <c r="AE271" cm="1">
        <f t="array" ref="AE271">_xlfn.IFS(AD271="",0,AD271&lt;0,"Negate Leave",AD271&gt;=0,AD271)</f>
        <v>10</v>
      </c>
    </row>
    <row r="272" spans="1:31" x14ac:dyDescent="0.3">
      <c r="A272" s="7">
        <v>5147</v>
      </c>
      <c r="B272" s="7" t="s">
        <v>1160</v>
      </c>
      <c r="C272" s="7" t="str">
        <f t="shared" si="49"/>
        <v>Simran Agarwal</v>
      </c>
      <c r="D272" s="7" t="str">
        <f t="shared" si="50"/>
        <v>Simran Agarwal</v>
      </c>
      <c r="E272" s="7" t="s">
        <v>61</v>
      </c>
      <c r="F272" s="7" t="s">
        <v>151</v>
      </c>
      <c r="G272" s="7" t="s">
        <v>76</v>
      </c>
      <c r="H272" s="7" t="str">
        <f>_xlfn.XLOOKUP(G272,Lookup_Tables!$A$4:$A$9,Lookup_Tables!$C$4:$C$9,"Not Found",0)</f>
        <v>Ananya Sen</v>
      </c>
      <c r="I272" s="7" t="s">
        <v>62</v>
      </c>
      <c r="J272" s="7" t="s">
        <v>1175</v>
      </c>
      <c r="K272" s="7" t="str">
        <f t="shared" si="51"/>
        <v>kavya.menon@company.com</v>
      </c>
      <c r="L272" s="7" t="s">
        <v>1176</v>
      </c>
      <c r="M272" s="7" t="str">
        <f t="shared" si="48"/>
        <v>4706589893</v>
      </c>
      <c r="N272" s="7" t="str" cm="1">
        <f t="array" ref="N272">_xlfn.IFS(M272="","Incomplete",LEN(M272)&lt;10,"Invalid",AND(LEN(M272) =10,LEFT(M272,4) &lt;&gt;"+91-"),"+91-"&amp;M272,TRUE,M272)</f>
        <v>+91-4706589893</v>
      </c>
      <c r="O272" s="8" t="s">
        <v>1177</v>
      </c>
      <c r="P272" s="14"/>
      <c r="Q272" s="14" t="str">
        <f t="shared" si="55"/>
        <v>Missing</v>
      </c>
      <c r="R272" s="14" t="str" cm="1">
        <f t="array" ref="R272">_xlfn.IFS(OR(Q272="Missing",Q272="N/A",Q272="Still Employed"),Q272,ISNUMBER(SEARCH(",",Q272)),DATEVALUE(Q272),AND(ISNUMBER(SEARCH("-",Q272)),ISNUMBER(VALUE(LEFT(Q272,4)))),DATE(LEFT(Q272,4),MID(Q272,6,2),RIGHT(Q272,2)),ISNUMBER(SEARCH("-",Q272)),DATE(RIGHT(Q272,4),MID(Q272,4,2),LEFT(Q272,2)),ISNUMBER(SEARCH("/",Q272)),DATE(RIGHT(Q272,4),MID(Q272,4,2),LEFT(Q272,2)),TRUE,"Check Manually")</f>
        <v>Missing</v>
      </c>
      <c r="S272" s="31" t="str">
        <f t="shared" ca="1" si="56"/>
        <v>8 Years, 0 Months, 27 Days</v>
      </c>
      <c r="T272" s="31">
        <f t="shared" ca="1" si="57"/>
        <v>2949</v>
      </c>
      <c r="U272" s="31" t="str" cm="1">
        <f t="array" ref="U272">_xlfn.IFS(OR(R272="Missing",R272="N/A",R272="Still Employed"),"Unknown",ISNUMBER(R272),"Exited",TRUE,"Unknown")</f>
        <v>Unknown</v>
      </c>
      <c r="V272" s="31" t="str">
        <f t="shared" si="58"/>
        <v/>
      </c>
      <c r="W272" s="14" t="str">
        <f t="shared" si="59"/>
        <v>Active</v>
      </c>
      <c r="X272" s="19" t="s">
        <v>1178</v>
      </c>
      <c r="Y272" s="18" t="str">
        <f t="shared" si="52"/>
        <v>₹161,247</v>
      </c>
      <c r="Z272" s="22" t="str" cm="1">
        <f t="array" ref="Z272">_xlfn.IFS(Y272="","0",LEFT(Y272,5)="",Y272,LEFT(Y272,1)="₹",REPLACE(Y272,1,1,""),LEFT(Y272,4)="Rs. ",REPLACE(Y272,1,4,""),TRUE,Y272)</f>
        <v>161,247</v>
      </c>
      <c r="AA272" s="22" t="str">
        <f t="shared" si="53"/>
        <v>161247</v>
      </c>
      <c r="AB272" s="7" t="s">
        <v>144</v>
      </c>
      <c r="AC272" s="7" t="str">
        <f t="shared" si="54"/>
        <v>Poor</v>
      </c>
      <c r="AD272" s="7">
        <v>7</v>
      </c>
      <c r="AE272" cm="1">
        <f t="array" ref="AE272">_xlfn.IFS(AD272="",0,AD272&lt;0,"Negate Leave",AD272&gt;=0,AD272)</f>
        <v>7</v>
      </c>
    </row>
    <row r="273" spans="1:31" x14ac:dyDescent="0.3">
      <c r="A273" s="7">
        <v>5049</v>
      </c>
      <c r="B273" s="7" t="s">
        <v>1164</v>
      </c>
      <c r="C273" s="7" t="str">
        <f t="shared" si="49"/>
        <v>Aarav Rao</v>
      </c>
      <c r="D273" s="7" t="str">
        <f t="shared" si="50"/>
        <v>Aarav Rao</v>
      </c>
      <c r="E273" s="7" t="s">
        <v>84</v>
      </c>
      <c r="F273" s="7" t="s">
        <v>389</v>
      </c>
      <c r="G273" s="7" t="s">
        <v>140</v>
      </c>
      <c r="H273" s="7" t="str">
        <f>_xlfn.XLOOKUP(G273,Lookup_Tables!$A$4:$A$9,Lookup_Tables!$C$4:$C$9,"Not Found",0)</f>
        <v>Sunita Rao</v>
      </c>
      <c r="I273" s="7" t="s">
        <v>77</v>
      </c>
      <c r="J273" s="7" t="s">
        <v>1180</v>
      </c>
      <c r="K273" s="7" t="str">
        <f t="shared" si="51"/>
        <v>yash.kapoor@company.com</v>
      </c>
      <c r="L273" s="7" t="s">
        <v>1181</v>
      </c>
      <c r="M273" s="7" t="str">
        <f t="shared" si="48"/>
        <v>9513511766</v>
      </c>
      <c r="N273" s="7" t="str" cm="1">
        <f t="array" ref="N273">_xlfn.IFS(M273="","Incomplete",LEN(M273)&lt;10,"Invalid",AND(LEN(M273) =10,LEFT(M273,4) &lt;&gt;"+91-"),"+91-"&amp;M273,TRUE,M273)</f>
        <v>+91-9513511766</v>
      </c>
      <c r="O273" s="8" t="s">
        <v>1182</v>
      </c>
      <c r="P273" s="14" t="s">
        <v>126</v>
      </c>
      <c r="Q273" s="14" t="str">
        <f t="shared" si="55"/>
        <v>N/A</v>
      </c>
      <c r="R273" s="14" t="str" cm="1">
        <f t="array" ref="R273">_xlfn.IFS(OR(Q273="Missing",Q273="N/A",Q273="Still Employed"),Q273,ISNUMBER(SEARCH(",",Q273)),DATEVALUE(Q273),AND(ISNUMBER(SEARCH("-",Q273)),ISNUMBER(VALUE(LEFT(Q273,4)))),DATE(LEFT(Q273,4),MID(Q273,6,2),RIGHT(Q273,2)),ISNUMBER(SEARCH("-",Q273)),DATE(RIGHT(Q273,4),MID(Q273,4,2),LEFT(Q273,2)),ISNUMBER(SEARCH("/",Q273)),DATE(RIGHT(Q273,4),MID(Q273,4,2),LEFT(Q273,2)),TRUE,"Check Manually")</f>
        <v>N/A</v>
      </c>
      <c r="S273" s="31" t="str">
        <f t="shared" ca="1" si="56"/>
        <v>4 Years, 7 Months, 7 Days</v>
      </c>
      <c r="T273" s="31">
        <f t="shared" ca="1" si="57"/>
        <v>1681.08</v>
      </c>
      <c r="U273" s="31" t="str" cm="1">
        <f t="array" ref="U273">_xlfn.IFS(OR(R273="Missing",R273="N/A",R273="Still Employed"),"Unknown",ISNUMBER(R273),"Exited",TRUE,"Unknown")</f>
        <v>Unknown</v>
      </c>
      <c r="V273" s="31" t="str">
        <f t="shared" si="58"/>
        <v/>
      </c>
      <c r="W273" s="14" t="str">
        <f t="shared" si="59"/>
        <v>Active</v>
      </c>
      <c r="X273" s="19" t="s">
        <v>1183</v>
      </c>
      <c r="Y273" s="18" t="str">
        <f t="shared" si="52"/>
        <v>68,940</v>
      </c>
      <c r="Z273" s="22" t="str" cm="1">
        <f t="array" ref="Z273">_xlfn.IFS(Y273="","0",LEFT(Y273,5)="",Y273,LEFT(Y273,1)="₹",REPLACE(Y273,1,1,""),LEFT(Y273,4)="Rs. ",REPLACE(Y273,1,4,""),TRUE,Y273)</f>
        <v>68,940</v>
      </c>
      <c r="AA273" s="22" t="str">
        <f t="shared" si="53"/>
        <v>68940</v>
      </c>
      <c r="AB273" s="7" t="s">
        <v>51</v>
      </c>
      <c r="AC273" s="7" t="str">
        <f t="shared" si="54"/>
        <v>Excellent</v>
      </c>
      <c r="AD273" s="7">
        <v>15</v>
      </c>
      <c r="AE273" cm="1">
        <f t="array" ref="AE273">_xlfn.IFS(AD273="",0,AD273&lt;0,"Negate Leave",AD273&gt;=0,AD273)</f>
        <v>15</v>
      </c>
    </row>
    <row r="274" spans="1:31" x14ac:dyDescent="0.3">
      <c r="A274" s="7">
        <v>5067</v>
      </c>
      <c r="B274" s="7" t="s">
        <v>1169</v>
      </c>
      <c r="C274" s="7" t="str">
        <f t="shared" si="49"/>
        <v>Divya Menon</v>
      </c>
      <c r="D274" s="7" t="str">
        <f t="shared" si="50"/>
        <v>Divya Menon</v>
      </c>
      <c r="E274" s="7" t="s">
        <v>68</v>
      </c>
      <c r="F274" s="7" t="s">
        <v>389</v>
      </c>
      <c r="G274" s="7" t="s">
        <v>140</v>
      </c>
      <c r="H274" s="7" t="str">
        <f>_xlfn.XLOOKUP(G274,Lookup_Tables!$A$4:$A$9,Lookup_Tables!$C$4:$C$9,"Not Found",0)</f>
        <v>Sunita Rao</v>
      </c>
      <c r="I274" s="7" t="s">
        <v>47</v>
      </c>
      <c r="J274" s="7" t="s">
        <v>197</v>
      </c>
      <c r="K274" s="7" t="str">
        <f t="shared" si="51"/>
        <v>anjali.saxena@company.com</v>
      </c>
      <c r="L274" s="7" t="s">
        <v>1184</v>
      </c>
      <c r="M274" s="7" t="str">
        <f t="shared" si="48"/>
        <v>2968611874</v>
      </c>
      <c r="N274" s="7" t="str" cm="1">
        <f t="array" ref="N274">_xlfn.IFS(M274="","Incomplete",LEN(M274)&lt;10,"Invalid",AND(LEN(M274) =10,LEFT(M274,4) &lt;&gt;"+91-"),"+91-"&amp;M274,TRUE,M274)</f>
        <v>+91-2968611874</v>
      </c>
      <c r="O274" s="8" t="s">
        <v>1185</v>
      </c>
      <c r="P274" s="14"/>
      <c r="Q274" s="14" t="str">
        <f t="shared" si="55"/>
        <v>Missing</v>
      </c>
      <c r="R274" s="14" t="str" cm="1">
        <f t="array" ref="R274">_xlfn.IFS(OR(Q274="Missing",Q274="N/A",Q274="Still Employed"),Q274,ISNUMBER(SEARCH(",",Q274)),DATEVALUE(Q274),AND(ISNUMBER(SEARCH("-",Q274)),ISNUMBER(VALUE(LEFT(Q274,4)))),DATE(LEFT(Q274,4),MID(Q274,6,2),RIGHT(Q274,2)),ISNUMBER(SEARCH("-",Q274)),DATE(RIGHT(Q274,4),MID(Q274,4,2),LEFT(Q274,2)),ISNUMBER(SEARCH("/",Q274)),DATE(RIGHT(Q274,4),MID(Q274,4,2),LEFT(Q274,2)),TRUE,"Check Manually")</f>
        <v>Missing</v>
      </c>
      <c r="S274" s="31" t="str">
        <f t="shared" ca="1" si="56"/>
        <v>7 Years, 6 Months, 10 Days</v>
      </c>
      <c r="T274" s="31">
        <f t="shared" ca="1" si="57"/>
        <v>2749.39</v>
      </c>
      <c r="U274" s="31" t="str" cm="1">
        <f t="array" ref="U274">_xlfn.IFS(OR(R274="Missing",R274="N/A",R274="Still Employed"),"Unknown",ISNUMBER(R274),"Exited",TRUE,"Unknown")</f>
        <v>Unknown</v>
      </c>
      <c r="V274" s="31" t="str">
        <f t="shared" si="58"/>
        <v/>
      </c>
      <c r="W274" s="14" t="str">
        <f t="shared" si="59"/>
        <v>Active</v>
      </c>
      <c r="X274" s="19" t="s">
        <v>1186</v>
      </c>
      <c r="Y274" s="18" t="str">
        <f t="shared" si="52"/>
        <v>Rs. 113,382</v>
      </c>
      <c r="Z274" s="22" t="str" cm="1">
        <f t="array" ref="Z274">_xlfn.IFS(Y274="","0",LEFT(Y274,5)="",Y274,LEFT(Y274,1)="₹",REPLACE(Y274,1,1,""),LEFT(Y274,4)="Rs. ",REPLACE(Y274,1,4,""),TRUE,Y274)</f>
        <v>113,382</v>
      </c>
      <c r="AA274" s="22" t="str">
        <f t="shared" si="53"/>
        <v>113382</v>
      </c>
      <c r="AB274" s="7" t="s">
        <v>51</v>
      </c>
      <c r="AC274" s="7" t="str">
        <f t="shared" si="54"/>
        <v>Excellent</v>
      </c>
      <c r="AD274" s="7">
        <v>4</v>
      </c>
      <c r="AE274" cm="1">
        <f t="array" ref="AE274">_xlfn.IFS(AD274="",0,AD274&lt;0,"Negate Leave",AD274&gt;=0,AD274)</f>
        <v>4</v>
      </c>
    </row>
    <row r="275" spans="1:31" x14ac:dyDescent="0.3">
      <c r="A275" s="7">
        <v>5322</v>
      </c>
      <c r="B275" s="7" t="s">
        <v>1174</v>
      </c>
      <c r="C275" s="7" t="str">
        <f t="shared" si="49"/>
        <v>Kavya Menon</v>
      </c>
      <c r="D275" s="7" t="str">
        <f t="shared" si="50"/>
        <v>Kavya Menon</v>
      </c>
      <c r="E275" s="7" t="s">
        <v>68</v>
      </c>
      <c r="F275" s="7" t="s">
        <v>151</v>
      </c>
      <c r="G275" s="7" t="s">
        <v>76</v>
      </c>
      <c r="H275" s="7" t="str">
        <f>_xlfn.XLOOKUP(G275,Lookup_Tables!$A$4:$A$9,Lookup_Tables!$C$4:$C$9,"Not Found",0)</f>
        <v>Ananya Sen</v>
      </c>
      <c r="I275" s="7" t="s">
        <v>47</v>
      </c>
      <c r="J275" s="7" t="s">
        <v>752</v>
      </c>
      <c r="K275" s="7" t="str">
        <f t="shared" si="51"/>
        <v>manish.saxena@company.com</v>
      </c>
      <c r="L275" s="7" t="s">
        <v>1188</v>
      </c>
      <c r="M275" s="7" t="str">
        <f t="shared" si="48"/>
        <v>9692913072</v>
      </c>
      <c r="N275" s="7" t="str" cm="1">
        <f t="array" ref="N275">_xlfn.IFS(M275="","Incomplete",LEN(M275)&lt;10,"Invalid",AND(LEN(M275) =10,LEFT(M275,4) &lt;&gt;"+91-"),"+91-"&amp;M275,TRUE,M275)</f>
        <v>+91-9692913072</v>
      </c>
      <c r="O275" s="8" t="s">
        <v>1189</v>
      </c>
      <c r="P275" s="14"/>
      <c r="Q275" s="14" t="str">
        <f t="shared" si="55"/>
        <v>Missing</v>
      </c>
      <c r="R275" s="14" t="str" cm="1">
        <f t="array" ref="R275">_xlfn.IFS(OR(Q275="Missing",Q275="N/A",Q275="Still Employed"),Q275,ISNUMBER(SEARCH(",",Q275)),DATEVALUE(Q275),AND(ISNUMBER(SEARCH("-",Q275)),ISNUMBER(VALUE(LEFT(Q275,4)))),DATE(LEFT(Q275,4),MID(Q275,6,2),RIGHT(Q275,2)),ISNUMBER(SEARCH("-",Q275)),DATE(RIGHT(Q275,4),MID(Q275,4,2),LEFT(Q275,2)),ISNUMBER(SEARCH("/",Q275)),DATE(RIGHT(Q275,4),MID(Q275,4,2),LEFT(Q275,2)),TRUE,"Check Manually")</f>
        <v>Missing</v>
      </c>
      <c r="S275" s="31" t="str">
        <f t="shared" ca="1" si="56"/>
        <v>5 Years, 2 Months, 6 Days</v>
      </c>
      <c r="T275" s="31">
        <f t="shared" ca="1" si="57"/>
        <v>1893.13</v>
      </c>
      <c r="U275" s="31" t="str" cm="1">
        <f t="array" ref="U275">_xlfn.IFS(OR(R275="Missing",R275="N/A",R275="Still Employed"),"Unknown",ISNUMBER(R275),"Exited",TRUE,"Unknown")</f>
        <v>Unknown</v>
      </c>
      <c r="V275" s="31" t="str">
        <f t="shared" si="58"/>
        <v/>
      </c>
      <c r="W275" s="14" t="str">
        <f t="shared" si="59"/>
        <v>Active</v>
      </c>
      <c r="X275" s="19"/>
      <c r="Y275" s="18" t="str">
        <f t="shared" si="52"/>
        <v/>
      </c>
      <c r="Z275" s="22" t="str" cm="1">
        <f t="array" ref="Z275">_xlfn.IFS(Y275="","0",LEFT(Y275,5)="",Y275,LEFT(Y275,1)="₹",REPLACE(Y275,1,1,""),LEFT(Y275,4)="Rs. ",REPLACE(Y275,1,4,""),TRUE,Y275)</f>
        <v>0</v>
      </c>
      <c r="AA275" s="22" t="str">
        <f t="shared" si="53"/>
        <v>0</v>
      </c>
      <c r="AB275" s="7" t="s">
        <v>51</v>
      </c>
      <c r="AC275" s="7" t="str">
        <f t="shared" si="54"/>
        <v>Excellent</v>
      </c>
      <c r="AD275" s="7">
        <v>0</v>
      </c>
      <c r="AE275" cm="1">
        <f t="array" ref="AE275">_xlfn.IFS(AD275="",0,AD275&lt;0,"Negate Leave",AD275&gt;=0,AD275)</f>
        <v>0</v>
      </c>
    </row>
    <row r="276" spans="1:31" x14ac:dyDescent="0.3">
      <c r="A276" s="7">
        <v>5125</v>
      </c>
      <c r="B276" s="7" t="s">
        <v>1179</v>
      </c>
      <c r="C276" s="7" t="str">
        <f t="shared" si="49"/>
        <v>Yash Kapoor</v>
      </c>
      <c r="D276" s="7" t="str">
        <f t="shared" si="50"/>
        <v>Yash Kapoor</v>
      </c>
      <c r="E276" s="7" t="s">
        <v>68</v>
      </c>
      <c r="F276" s="7" t="s">
        <v>122</v>
      </c>
      <c r="G276" s="7" t="s">
        <v>91</v>
      </c>
      <c r="H276" s="7" t="str">
        <f>_xlfn.XLOOKUP(G276,Lookup_Tables!$A$4:$A$9,Lookup_Tables!$C$4:$C$9,"Not Found",0)</f>
        <v>Rajiv Kapoor</v>
      </c>
      <c r="I276" s="7" t="s">
        <v>62</v>
      </c>
      <c r="J276" s="7" t="s">
        <v>1191</v>
      </c>
      <c r="K276" s="7" t="str">
        <f t="shared" si="51"/>
        <v>sanjay.rao@company.com</v>
      </c>
      <c r="L276" s="7" t="s">
        <v>1192</v>
      </c>
      <c r="M276" s="7" t="str">
        <f t="shared" si="48"/>
        <v>+91-5369942340</v>
      </c>
      <c r="N276" s="7" t="str" cm="1">
        <f t="array" ref="N276">_xlfn.IFS(M276="","Incomplete",LEN(M276)&lt;10,"Invalid",AND(LEN(M276) =10,LEFT(M276,4) &lt;&gt;"+91-"),"+91-"&amp;M276,TRUE,M276)</f>
        <v>+91-5369942340</v>
      </c>
      <c r="O276" s="8" t="s">
        <v>1193</v>
      </c>
      <c r="P276" s="14" t="s">
        <v>126</v>
      </c>
      <c r="Q276" s="14" t="str">
        <f t="shared" si="55"/>
        <v>N/A</v>
      </c>
      <c r="R276" s="14" t="str" cm="1">
        <f t="array" ref="R276">_xlfn.IFS(OR(Q276="Missing",Q276="N/A",Q276="Still Employed"),Q276,ISNUMBER(SEARCH(",",Q276)),DATEVALUE(Q276),AND(ISNUMBER(SEARCH("-",Q276)),ISNUMBER(VALUE(LEFT(Q276,4)))),DATE(LEFT(Q276,4),MID(Q276,6,2),RIGHT(Q276,2)),ISNUMBER(SEARCH("-",Q276)),DATE(RIGHT(Q276,4),MID(Q276,4,2),LEFT(Q276,2)),ISNUMBER(SEARCH("/",Q276)),DATE(RIGHT(Q276,4),MID(Q276,4,2),LEFT(Q276,2)),TRUE,"Check Manually")</f>
        <v>N/A</v>
      </c>
      <c r="S276" s="31" t="str">
        <f t="shared" ca="1" si="56"/>
        <v>8 Years, 3 Months, 11 Days</v>
      </c>
      <c r="T276" s="31">
        <f t="shared" ca="1" si="57"/>
        <v>3024.32</v>
      </c>
      <c r="U276" s="31" t="str" cm="1">
        <f t="array" ref="U276">_xlfn.IFS(OR(R276="Missing",R276="N/A",R276="Still Employed"),"Unknown",ISNUMBER(R276),"Exited",TRUE,"Unknown")</f>
        <v>Unknown</v>
      </c>
      <c r="V276" s="31" t="str">
        <f t="shared" si="58"/>
        <v/>
      </c>
      <c r="W276" s="14" t="str">
        <f t="shared" si="59"/>
        <v>Active</v>
      </c>
      <c r="X276" s="19"/>
      <c r="Y276" s="18" t="str">
        <f t="shared" si="52"/>
        <v/>
      </c>
      <c r="Z276" s="22" t="str" cm="1">
        <f t="array" ref="Z276">_xlfn.IFS(Y276="","0",LEFT(Y276,5)="",Y276,LEFT(Y276,1)="₹",REPLACE(Y276,1,1,""),LEFT(Y276,4)="Rs. ",REPLACE(Y276,1,4,""),TRUE,Y276)</f>
        <v>0</v>
      </c>
      <c r="AA276" s="22" t="str">
        <f t="shared" si="53"/>
        <v>0</v>
      </c>
      <c r="AB276" s="7" t="s">
        <v>95</v>
      </c>
      <c r="AC276" s="7" t="str">
        <f t="shared" si="54"/>
        <v>Average</v>
      </c>
      <c r="AD276" s="7">
        <v>7</v>
      </c>
      <c r="AE276" cm="1">
        <f t="array" ref="AE276">_xlfn.IFS(AD276="",0,AD276&lt;0,"Negate Leave",AD276&gt;=0,AD276)</f>
        <v>7</v>
      </c>
    </row>
    <row r="277" spans="1:31" x14ac:dyDescent="0.3">
      <c r="A277" s="7">
        <v>5228</v>
      </c>
      <c r="B277" s="7" t="s">
        <v>196</v>
      </c>
      <c r="C277" s="7" t="str">
        <f t="shared" si="49"/>
        <v>Anjali Saxena</v>
      </c>
      <c r="D277" s="7" t="str">
        <f t="shared" si="50"/>
        <v>Anjali Saxena</v>
      </c>
      <c r="E277" s="7" t="s">
        <v>68</v>
      </c>
      <c r="F277" s="7" t="s">
        <v>122</v>
      </c>
      <c r="G277" s="7" t="s">
        <v>91</v>
      </c>
      <c r="H277" s="7" t="str">
        <f>_xlfn.XLOOKUP(G277,Lookup_Tables!$A$4:$A$9,Lookup_Tables!$C$4:$C$9,"Not Found",0)</f>
        <v>Rajiv Kapoor</v>
      </c>
      <c r="I277" s="7" t="s">
        <v>62</v>
      </c>
      <c r="J277" s="7" t="s">
        <v>1195</v>
      </c>
      <c r="K277" s="7" t="str">
        <f t="shared" si="51"/>
        <v xml:space="preserve">tanvi.reddy@company.com </v>
      </c>
      <c r="L277" s="7" t="s">
        <v>1196</v>
      </c>
      <c r="M277" s="7" t="str">
        <f t="shared" si="48"/>
        <v>9197003552</v>
      </c>
      <c r="N277" s="7" t="str" cm="1">
        <f t="array" ref="N277">_xlfn.IFS(M277="","Incomplete",LEN(M277)&lt;10,"Invalid",AND(LEN(M277) =10,LEFT(M277,4) &lt;&gt;"+91-"),"+91-"&amp;M277,TRUE,M277)</f>
        <v>+91-9197003552</v>
      </c>
      <c r="O277" s="8" t="s">
        <v>1197</v>
      </c>
      <c r="P277" s="14" t="s">
        <v>114</v>
      </c>
      <c r="Q277" s="14" t="str">
        <f t="shared" si="55"/>
        <v>Still Employed</v>
      </c>
      <c r="R277" s="14" t="str" cm="1">
        <f t="array" ref="R277">_xlfn.IFS(OR(Q277="Missing",Q277="N/A",Q277="Still Employed"),Q277,ISNUMBER(SEARCH(",",Q277)),DATEVALUE(Q277),AND(ISNUMBER(SEARCH("-",Q277)),ISNUMBER(VALUE(LEFT(Q277,4)))),DATE(LEFT(Q277,4),MID(Q277,6,2),RIGHT(Q277,2)),ISNUMBER(SEARCH("-",Q277)),DATE(RIGHT(Q277,4),MID(Q277,4,2),LEFT(Q277,2)),ISNUMBER(SEARCH("/",Q277)),DATE(RIGHT(Q277,4),MID(Q277,4,2),LEFT(Q277,2)),TRUE,"Check Manually")</f>
        <v>Still Employed</v>
      </c>
      <c r="S277" s="31" t="str">
        <f t="shared" ca="1" si="56"/>
        <v>5 Years, 1 Months, 1 Days</v>
      </c>
      <c r="T277" s="31">
        <f t="shared" ca="1" si="57"/>
        <v>1857.69</v>
      </c>
      <c r="U277" s="31" t="str" cm="1">
        <f t="array" ref="U277">_xlfn.IFS(OR(R277="Missing",R277="N/A",R277="Still Employed"),"Unknown",ISNUMBER(R277),"Exited",TRUE,"Unknown")</f>
        <v>Unknown</v>
      </c>
      <c r="V277" s="31" t="str">
        <f t="shared" si="58"/>
        <v/>
      </c>
      <c r="W277" s="14" t="str">
        <f t="shared" si="59"/>
        <v>Active</v>
      </c>
      <c r="X277" s="19"/>
      <c r="Y277" s="18" t="str">
        <f t="shared" si="52"/>
        <v/>
      </c>
      <c r="Z277" s="22" t="str" cm="1">
        <f t="array" ref="Z277">_xlfn.IFS(Y277="","0",LEFT(Y277,5)="",Y277,LEFT(Y277,1)="₹",REPLACE(Y277,1,1,""),LEFT(Y277,4)="Rs. ",REPLACE(Y277,1,4,""),TRUE,Y277)</f>
        <v>0</v>
      </c>
      <c r="AA277" s="22" t="str">
        <f t="shared" si="53"/>
        <v>0</v>
      </c>
      <c r="AB277" s="7"/>
      <c r="AC277" s="7" t="str">
        <f t="shared" si="54"/>
        <v>Not Rated</v>
      </c>
      <c r="AD277" s="7">
        <v>13</v>
      </c>
      <c r="AE277" cm="1">
        <f t="array" ref="AE277">_xlfn.IFS(AD277="",0,AD277&lt;0,"Negate Leave",AD277&gt;=0,AD277)</f>
        <v>13</v>
      </c>
    </row>
    <row r="278" spans="1:31" x14ac:dyDescent="0.3">
      <c r="A278" s="7">
        <v>5063</v>
      </c>
      <c r="B278" s="7" t="s">
        <v>1187</v>
      </c>
      <c r="C278" s="7" t="str">
        <f t="shared" si="49"/>
        <v>Manish Saxena</v>
      </c>
      <c r="D278" s="7" t="str">
        <f t="shared" si="50"/>
        <v>Manish Saxena</v>
      </c>
      <c r="E278" s="7" t="s">
        <v>61</v>
      </c>
      <c r="F278" s="7" t="s">
        <v>219</v>
      </c>
      <c r="G278" s="7" t="s">
        <v>46</v>
      </c>
      <c r="H278" s="7" t="str">
        <f>_xlfn.XLOOKUP(G278,Lookup_Tables!$A$4:$A$9,Lookup_Tables!$C$4:$C$9,"Not Found",0)</f>
        <v>Faisal Ahmed</v>
      </c>
      <c r="I278" s="7" t="s">
        <v>85</v>
      </c>
      <c r="J278" s="7" t="s">
        <v>1199</v>
      </c>
      <c r="K278" s="7" t="str">
        <f t="shared" si="51"/>
        <v>anita.saxena@company.com</v>
      </c>
      <c r="L278" s="7" t="s">
        <v>1200</v>
      </c>
      <c r="M278" s="7" t="str">
        <f t="shared" si="48"/>
        <v>96755766</v>
      </c>
      <c r="N278" s="7" t="str" cm="1">
        <f t="array" ref="N278">_xlfn.IFS(M278="","Incomplete",LEN(M278)&lt;10,"Invalid",AND(LEN(M278) =10,LEFT(M278,4) &lt;&gt;"+91-"),"+91-"&amp;M278,TRUE,M278)</f>
        <v>Invalid</v>
      </c>
      <c r="O278" s="8" t="s">
        <v>1201</v>
      </c>
      <c r="P278" s="14" t="s">
        <v>1202</v>
      </c>
      <c r="Q278" s="14" t="str">
        <f t="shared" si="55"/>
        <v>Nov 16, 2023</v>
      </c>
      <c r="R278" s="14" cm="1">
        <f t="array" ref="R278">_xlfn.IFS(OR(Q278="Missing",Q278="N/A",Q278="Still Employed"),Q278,ISNUMBER(SEARCH(",",Q278)),DATEVALUE(Q278),AND(ISNUMBER(SEARCH("-",Q278)),ISNUMBER(VALUE(LEFT(Q278,4)))),DATE(LEFT(Q278,4),MID(Q278,6,2),RIGHT(Q278,2)),ISNUMBER(SEARCH("-",Q278)),DATE(RIGHT(Q278,4),MID(Q278,4,2),LEFT(Q278,2)),ISNUMBER(SEARCH("/",Q278)),DATE(RIGHT(Q278,4),MID(Q278,4,2),LEFT(Q278,2)),TRUE,"Check Manually")</f>
        <v>45246</v>
      </c>
      <c r="S278" s="31" t="str">
        <f t="shared" ca="1" si="56"/>
        <v>2 Years, 7 Months, 4 Days</v>
      </c>
      <c r="T278" s="31">
        <f t="shared" ca="1" si="57"/>
        <v>947.58</v>
      </c>
      <c r="U278" s="31" t="str" cm="1">
        <f t="array" ref="U278">_xlfn.IFS(OR(R278="Missing",R278="N/A",R278="Still Employed"),"Unknown",ISNUMBER(R278),"Exited",TRUE,"Unknown")</f>
        <v>Exited</v>
      </c>
      <c r="V278" s="31">
        <f t="shared" si="58"/>
        <v>2023</v>
      </c>
      <c r="W278" s="14" t="str">
        <f t="shared" si="59"/>
        <v>Exited</v>
      </c>
      <c r="X278" s="19" t="s">
        <v>1203</v>
      </c>
      <c r="Y278" s="18" t="str">
        <f t="shared" si="52"/>
        <v>₹63,797</v>
      </c>
      <c r="Z278" s="22" t="str" cm="1">
        <f t="array" ref="Z278">_xlfn.IFS(Y278="","0",LEFT(Y278,5)="",Y278,LEFT(Y278,1)="₹",REPLACE(Y278,1,1,""),LEFT(Y278,4)="Rs. ",REPLACE(Y278,1,4,""),TRUE,Y278)</f>
        <v>63,797</v>
      </c>
      <c r="AA278" s="22" t="str">
        <f t="shared" si="53"/>
        <v>63797</v>
      </c>
      <c r="AB278" s="7" t="s">
        <v>51</v>
      </c>
      <c r="AC278" s="7" t="str">
        <f t="shared" si="54"/>
        <v>Excellent</v>
      </c>
      <c r="AD278" s="7">
        <v>7</v>
      </c>
      <c r="AE278" cm="1">
        <f t="array" ref="AE278">_xlfn.IFS(AD278="",0,AD278&lt;0,"Negate Leave",AD278&gt;=0,AD278)</f>
        <v>7</v>
      </c>
    </row>
    <row r="279" spans="1:31" x14ac:dyDescent="0.3">
      <c r="A279" s="7">
        <v>5329</v>
      </c>
      <c r="B279" s="7" t="s">
        <v>1190</v>
      </c>
      <c r="C279" s="7" t="str">
        <f t="shared" si="49"/>
        <v>Sanjay Rao</v>
      </c>
      <c r="D279" s="7" t="str">
        <f t="shared" si="50"/>
        <v>Sanjay Rao</v>
      </c>
      <c r="E279" s="7" t="s">
        <v>68</v>
      </c>
      <c r="F279" s="7" t="s">
        <v>122</v>
      </c>
      <c r="G279" s="7" t="s">
        <v>91</v>
      </c>
      <c r="H279" s="7" t="str">
        <f>_xlfn.XLOOKUP(G279,Lookup_Tables!$A$4:$A$9,Lookup_Tables!$C$4:$C$9,"Not Found",0)</f>
        <v>Rajiv Kapoor</v>
      </c>
      <c r="I279" s="7" t="s">
        <v>85</v>
      </c>
      <c r="J279" s="7" t="s">
        <v>1129</v>
      </c>
      <c r="K279" s="7" t="str">
        <f t="shared" si="51"/>
        <v>simran.joshi@company.com</v>
      </c>
      <c r="L279" s="7" t="s">
        <v>1205</v>
      </c>
      <c r="M279" s="7" t="str">
        <f t="shared" si="48"/>
        <v>6076311346</v>
      </c>
      <c r="N279" s="7" t="str" cm="1">
        <f t="array" ref="N279">_xlfn.IFS(M279="","Incomplete",LEN(M279)&lt;10,"Invalid",AND(LEN(M279) =10,LEFT(M279,4) &lt;&gt;"+91-"),"+91-"&amp;M279,TRUE,M279)</f>
        <v>+91-6076311346</v>
      </c>
      <c r="O279" s="8" t="s">
        <v>1206</v>
      </c>
      <c r="P279" s="14" t="s">
        <v>114</v>
      </c>
      <c r="Q279" s="14" t="str">
        <f t="shared" si="55"/>
        <v>Still Employed</v>
      </c>
      <c r="R279" s="14" t="str" cm="1">
        <f t="array" ref="R279">_xlfn.IFS(OR(Q279="Missing",Q279="N/A",Q279="Still Employed"),Q279,ISNUMBER(SEARCH(",",Q279)),DATEVALUE(Q279),AND(ISNUMBER(SEARCH("-",Q279)),ISNUMBER(VALUE(LEFT(Q279,4)))),DATE(LEFT(Q279,4),MID(Q279,6,2),RIGHT(Q279,2)),ISNUMBER(SEARCH("-",Q279)),DATE(RIGHT(Q279,4),MID(Q279,4,2),LEFT(Q279,2)),ISNUMBER(SEARCH("/",Q279)),DATE(RIGHT(Q279,4),MID(Q279,4,2),LEFT(Q279,2)),TRUE,"Check Manually")</f>
        <v>Still Employed</v>
      </c>
      <c r="S279" s="31" t="str">
        <f t="shared" ca="1" si="56"/>
        <v>8 Years, 3 Months, 8 Days</v>
      </c>
      <c r="T279" s="31">
        <f t="shared" ca="1" si="57"/>
        <v>3021.32</v>
      </c>
      <c r="U279" s="31" t="str" cm="1">
        <f t="array" ref="U279">_xlfn.IFS(OR(R279="Missing",R279="N/A",R279="Still Employed"),"Unknown",ISNUMBER(R279),"Exited",TRUE,"Unknown")</f>
        <v>Unknown</v>
      </c>
      <c r="V279" s="31" t="str">
        <f t="shared" si="58"/>
        <v/>
      </c>
      <c r="W279" s="14" t="str">
        <f t="shared" si="59"/>
        <v>Active</v>
      </c>
      <c r="X279" s="19" t="s">
        <v>1207</v>
      </c>
      <c r="Y279" s="18" t="str">
        <f t="shared" si="52"/>
        <v>₹165,280</v>
      </c>
      <c r="Z279" s="22" t="str" cm="1">
        <f t="array" ref="Z279">_xlfn.IFS(Y279="","0",LEFT(Y279,5)="",Y279,LEFT(Y279,1)="₹",REPLACE(Y279,1,1,""),LEFT(Y279,4)="Rs. ",REPLACE(Y279,1,4,""),TRUE,Y279)</f>
        <v>165,280</v>
      </c>
      <c r="AA279" s="22" t="str">
        <f t="shared" si="53"/>
        <v>165280</v>
      </c>
      <c r="AB279" s="7" t="s">
        <v>89</v>
      </c>
      <c r="AC279" s="7" t="str">
        <f t="shared" si="54"/>
        <v>Below Average</v>
      </c>
      <c r="AD279" s="7">
        <v>8</v>
      </c>
      <c r="AE279" cm="1">
        <f t="array" ref="AE279">_xlfn.IFS(AD279="",0,AD279&lt;0,"Negate Leave",AD279&gt;=0,AD279)</f>
        <v>8</v>
      </c>
    </row>
    <row r="280" spans="1:31" x14ac:dyDescent="0.3">
      <c r="A280" s="7">
        <v>5348</v>
      </c>
      <c r="B280" s="7" t="s">
        <v>1194</v>
      </c>
      <c r="C280" s="7" t="str">
        <f t="shared" si="49"/>
        <v>Tanvi Reddy</v>
      </c>
      <c r="D280" s="7" t="str">
        <f t="shared" si="50"/>
        <v>Tanvi Reddy</v>
      </c>
      <c r="E280" s="7" t="s">
        <v>68</v>
      </c>
      <c r="F280" s="7" t="s">
        <v>151</v>
      </c>
      <c r="G280" s="7" t="s">
        <v>76</v>
      </c>
      <c r="H280" s="7" t="str">
        <f>_xlfn.XLOOKUP(G280,Lookup_Tables!$A$4:$A$9,Lookup_Tables!$C$4:$C$9,"Not Found",0)</f>
        <v>Ananya Sen</v>
      </c>
      <c r="I280" s="7" t="s">
        <v>70</v>
      </c>
      <c r="J280" s="7" t="s">
        <v>1209</v>
      </c>
      <c r="K280" s="7" t="str">
        <f t="shared" si="51"/>
        <v>priya.pillai@company.com</v>
      </c>
      <c r="L280" s="7" t="s">
        <v>1210</v>
      </c>
      <c r="M280" s="7" t="str">
        <f t="shared" si="48"/>
        <v>7495288314</v>
      </c>
      <c r="N280" s="7" t="str" cm="1">
        <f t="array" ref="N280">_xlfn.IFS(M280="","Incomplete",LEN(M280)&lt;10,"Invalid",AND(LEN(M280) =10,LEFT(M280,4) &lt;&gt;"+91-"),"+91-"&amp;M280,TRUE,M280)</f>
        <v>+91-7495288314</v>
      </c>
      <c r="O280" s="8" t="s">
        <v>1211</v>
      </c>
      <c r="P280" s="14" t="s">
        <v>114</v>
      </c>
      <c r="Q280" s="14" t="str">
        <f t="shared" si="55"/>
        <v>Still Employed</v>
      </c>
      <c r="R280" s="14" t="str" cm="1">
        <f t="array" ref="R280">_xlfn.IFS(OR(Q280="Missing",Q280="N/A",Q280="Still Employed"),Q280,ISNUMBER(SEARCH(",",Q280)),DATEVALUE(Q280),AND(ISNUMBER(SEARCH("-",Q280)),ISNUMBER(VALUE(LEFT(Q280,4)))),DATE(LEFT(Q280,4),MID(Q280,6,2),RIGHT(Q280,2)),ISNUMBER(SEARCH("-",Q280)),DATE(RIGHT(Q280,4),MID(Q280,4,2),LEFT(Q280,2)),ISNUMBER(SEARCH("/",Q280)),DATE(RIGHT(Q280,4),MID(Q280,4,2),LEFT(Q280,2)),TRUE,"Check Manually")</f>
        <v>Still Employed</v>
      </c>
      <c r="S280" s="31" t="str">
        <f t="shared" ca="1" si="56"/>
        <v>3 Years, 11 Months, 3 Days</v>
      </c>
      <c r="T280" s="31">
        <f t="shared" ca="1" si="57"/>
        <v>1433.5900000000001</v>
      </c>
      <c r="U280" s="31" t="str" cm="1">
        <f t="array" ref="U280">_xlfn.IFS(OR(R280="Missing",R280="N/A",R280="Still Employed"),"Unknown",ISNUMBER(R280),"Exited",TRUE,"Unknown")</f>
        <v>Unknown</v>
      </c>
      <c r="V280" s="31" t="str">
        <f t="shared" si="58"/>
        <v/>
      </c>
      <c r="W280" s="14" t="str">
        <f t="shared" si="59"/>
        <v>Active</v>
      </c>
      <c r="X280" s="19">
        <v>90051</v>
      </c>
      <c r="Y280" s="18" t="str">
        <f t="shared" si="52"/>
        <v>90051</v>
      </c>
      <c r="Z280" s="22" t="str" cm="1">
        <f t="array" ref="Z280">_xlfn.IFS(Y280="","0",LEFT(Y280,5)="",Y280,LEFT(Y280,1)="₹",REPLACE(Y280,1,1,""),LEFT(Y280,4)="Rs. ",REPLACE(Y280,1,4,""),TRUE,Y280)</f>
        <v>90051</v>
      </c>
      <c r="AA280" s="22" t="str">
        <f t="shared" si="53"/>
        <v>90051</v>
      </c>
      <c r="AB280" s="7" t="s">
        <v>89</v>
      </c>
      <c r="AC280" s="7" t="str">
        <f t="shared" si="54"/>
        <v>Below Average</v>
      </c>
      <c r="AD280" s="7">
        <v>6</v>
      </c>
      <c r="AE280" cm="1">
        <f t="array" ref="AE280">_xlfn.IFS(AD280="",0,AD280&lt;0,"Negate Leave",AD280&gt;=0,AD280)</f>
        <v>6</v>
      </c>
    </row>
    <row r="281" spans="1:31" x14ac:dyDescent="0.3">
      <c r="A281" s="7">
        <v>5339</v>
      </c>
      <c r="B281" s="7" t="s">
        <v>1198</v>
      </c>
      <c r="C281" s="7" t="str">
        <f t="shared" si="49"/>
        <v>Anita Saxena</v>
      </c>
      <c r="D281" s="7" t="str">
        <f t="shared" si="50"/>
        <v>Anita Saxena</v>
      </c>
      <c r="E281" s="7" t="s">
        <v>68</v>
      </c>
      <c r="F281" s="7" t="s">
        <v>122</v>
      </c>
      <c r="G281" s="7" t="s">
        <v>91</v>
      </c>
      <c r="H281" s="7" t="str">
        <f>_xlfn.XLOOKUP(G281,Lookup_Tables!$A$4:$A$9,Lookup_Tables!$C$4:$C$9,"Not Found",0)</f>
        <v>Rajiv Kapoor</v>
      </c>
      <c r="I281" s="7" t="s">
        <v>110</v>
      </c>
      <c r="J281" s="7" t="s">
        <v>1213</v>
      </c>
      <c r="K281" s="7" t="str">
        <f t="shared" si="51"/>
        <v>rajesh.mehta@company.com</v>
      </c>
      <c r="L281" s="7" t="s">
        <v>1214</v>
      </c>
      <c r="M281" s="7" t="str">
        <f t="shared" si="48"/>
        <v>2553802848</v>
      </c>
      <c r="N281" s="7" t="str" cm="1">
        <f t="array" ref="N281">_xlfn.IFS(M281="","Incomplete",LEN(M281)&lt;10,"Invalid",AND(LEN(M281) =10,LEFT(M281,4) &lt;&gt;"+91-"),"+91-"&amp;M281,TRUE,M281)</f>
        <v>+91-2553802848</v>
      </c>
      <c r="O281" s="8" t="s">
        <v>1215</v>
      </c>
      <c r="P281" s="14" t="s">
        <v>74</v>
      </c>
      <c r="Q281" s="14" t="str">
        <f t="shared" si="55"/>
        <v>Jun 30, 2025</v>
      </c>
      <c r="R281" s="14" cm="1">
        <f t="array" ref="R281">_xlfn.IFS(OR(Q281="Missing",Q281="N/A",Q281="Still Employed"),Q281,ISNUMBER(SEARCH(",",Q281)),DATEVALUE(Q281),AND(ISNUMBER(SEARCH("-",Q281)),ISNUMBER(VALUE(LEFT(Q281,4)))),DATE(LEFT(Q281,4),MID(Q281,6,2),RIGHT(Q281,2)),ISNUMBER(SEARCH("-",Q281)),DATE(RIGHT(Q281,4),MID(Q281,4,2),LEFT(Q281,2)),ISNUMBER(SEARCH("/",Q281)),DATE(RIGHT(Q281,4),MID(Q281,4,2),LEFT(Q281,2)),TRUE,"Check Manually")</f>
        <v>45838</v>
      </c>
      <c r="S281" s="31" t="str">
        <f t="shared" ca="1" si="56"/>
        <v>2 Years, 0 Months, 29 Days</v>
      </c>
      <c r="T281" s="31">
        <f t="shared" ca="1" si="57"/>
        <v>759.5</v>
      </c>
      <c r="U281" s="31" t="str" cm="1">
        <f t="array" ref="U281">_xlfn.IFS(OR(R281="Missing",R281="N/A",R281="Still Employed"),"Unknown",ISNUMBER(R281),"Exited",TRUE,"Unknown")</f>
        <v>Exited</v>
      </c>
      <c r="V281" s="31">
        <f t="shared" si="58"/>
        <v>2025</v>
      </c>
      <c r="W281" s="14" t="str">
        <f t="shared" si="59"/>
        <v>Exited</v>
      </c>
      <c r="X281" s="19" t="s">
        <v>1216</v>
      </c>
      <c r="Y281" s="18" t="str">
        <f t="shared" si="52"/>
        <v>₹144,556</v>
      </c>
      <c r="Z281" s="22" t="str" cm="1">
        <f t="array" ref="Z281">_xlfn.IFS(Y281="","0",LEFT(Y281,5)="",Y281,LEFT(Y281,1)="₹",REPLACE(Y281,1,1,""),LEFT(Y281,4)="Rs. ",REPLACE(Y281,1,4,""),TRUE,Y281)</f>
        <v>144,556</v>
      </c>
      <c r="AA281" s="22" t="str">
        <f t="shared" si="53"/>
        <v>144556</v>
      </c>
      <c r="AB281" s="7" t="s">
        <v>95</v>
      </c>
      <c r="AC281" s="7" t="str">
        <f t="shared" si="54"/>
        <v>Average</v>
      </c>
      <c r="AD281" s="7">
        <v>6</v>
      </c>
      <c r="AE281" cm="1">
        <f t="array" ref="AE281">_xlfn.IFS(AD281="",0,AD281&lt;0,"Negate Leave",AD281&gt;=0,AD281)</f>
        <v>6</v>
      </c>
    </row>
    <row r="282" spans="1:31" x14ac:dyDescent="0.3">
      <c r="A282" s="7">
        <v>5248</v>
      </c>
      <c r="B282" s="7" t="s">
        <v>1204</v>
      </c>
      <c r="C282" s="7" t="str">
        <f t="shared" si="49"/>
        <v>Simran Joshi</v>
      </c>
      <c r="D282" s="7" t="str">
        <f t="shared" si="50"/>
        <v>Simran Joshi</v>
      </c>
      <c r="E282" s="7" t="s">
        <v>61</v>
      </c>
      <c r="F282" s="7" t="s">
        <v>122</v>
      </c>
      <c r="G282" s="7" t="s">
        <v>91</v>
      </c>
      <c r="H282" s="7" t="str">
        <f>_xlfn.XLOOKUP(G282,Lookup_Tables!$A$4:$A$9,Lookup_Tables!$C$4:$C$9,"Not Found",0)</f>
        <v>Rajiv Kapoor</v>
      </c>
      <c r="I282" s="7" t="s">
        <v>175</v>
      </c>
      <c r="J282" s="7" t="s">
        <v>554</v>
      </c>
      <c r="K282" s="7" t="str">
        <f t="shared" si="51"/>
        <v>isha.rao@company.com</v>
      </c>
      <c r="L282" s="7" t="s">
        <v>1217</v>
      </c>
      <c r="M282" s="7" t="str">
        <f t="shared" si="48"/>
        <v>2322761077</v>
      </c>
      <c r="N282" s="7" t="str" cm="1">
        <f t="array" ref="N282">_xlfn.IFS(M282="","Incomplete",LEN(M282)&lt;10,"Invalid",AND(LEN(M282) =10,LEFT(M282,4) &lt;&gt;"+91-"),"+91-"&amp;M282,TRUE,M282)</f>
        <v>+91-2322761077</v>
      </c>
      <c r="O282" s="8" t="s">
        <v>1218</v>
      </c>
      <c r="P282" s="14"/>
      <c r="Q282" s="14" t="str">
        <f t="shared" si="55"/>
        <v>Missing</v>
      </c>
      <c r="R282" s="14" t="str" cm="1">
        <f t="array" ref="R282">_xlfn.IFS(OR(Q282="Missing",Q282="N/A",Q282="Still Employed"),Q282,ISNUMBER(SEARCH(",",Q282)),DATEVALUE(Q282),AND(ISNUMBER(SEARCH("-",Q282)),ISNUMBER(VALUE(LEFT(Q282,4)))),DATE(LEFT(Q282,4),MID(Q282,6,2),RIGHT(Q282,2)),ISNUMBER(SEARCH("-",Q282)),DATE(RIGHT(Q282,4),MID(Q282,4,2),LEFT(Q282,2)),ISNUMBER(SEARCH("/",Q282)),DATE(RIGHT(Q282,4),MID(Q282,4,2),LEFT(Q282,2)),TRUE,"Check Manually")</f>
        <v>Missing</v>
      </c>
      <c r="S282" s="31" t="str">
        <f t="shared" ca="1" si="56"/>
        <v>6 Years, 1 Months, 16 Days</v>
      </c>
      <c r="T282" s="31">
        <f t="shared" ca="1" si="57"/>
        <v>2237.94</v>
      </c>
      <c r="U282" s="31" t="str" cm="1">
        <f t="array" ref="U282">_xlfn.IFS(OR(R282="Missing",R282="N/A",R282="Still Employed"),"Unknown",ISNUMBER(R282),"Exited",TRUE,"Unknown")</f>
        <v>Unknown</v>
      </c>
      <c r="V282" s="31" t="str">
        <f t="shared" si="58"/>
        <v/>
      </c>
      <c r="W282" s="14" t="str">
        <f t="shared" si="59"/>
        <v>Active</v>
      </c>
      <c r="X282" s="19" t="s">
        <v>1219</v>
      </c>
      <c r="Y282" s="18" t="str">
        <f t="shared" si="52"/>
        <v>₹76,283</v>
      </c>
      <c r="Z282" s="22" t="str" cm="1">
        <f t="array" ref="Z282">_xlfn.IFS(Y282="","0",LEFT(Y282,5)="",Y282,LEFT(Y282,1)="₹",REPLACE(Y282,1,1,""),LEFT(Y282,4)="Rs. ",REPLACE(Y282,1,4,""),TRUE,Y282)</f>
        <v>76,283</v>
      </c>
      <c r="AA282" s="22" t="str">
        <f t="shared" si="53"/>
        <v>76283</v>
      </c>
      <c r="AB282" s="7" t="s">
        <v>144</v>
      </c>
      <c r="AC282" s="7" t="str">
        <f t="shared" si="54"/>
        <v>Poor</v>
      </c>
      <c r="AD282" s="7"/>
      <c r="AE282" cm="1">
        <f t="array" ref="AE282">_xlfn.IFS(AD282="",0,AD282&lt;0,"Negate Leave",AD282&gt;=0,AD282)</f>
        <v>0</v>
      </c>
    </row>
    <row r="283" spans="1:31" x14ac:dyDescent="0.3">
      <c r="A283" s="7">
        <v>5026</v>
      </c>
      <c r="B283" s="7" t="s">
        <v>1208</v>
      </c>
      <c r="C283" s="7" t="str">
        <f t="shared" si="49"/>
        <v>Priya Pillai</v>
      </c>
      <c r="D283" s="7" t="str">
        <f t="shared" si="50"/>
        <v>Priya Pillai</v>
      </c>
      <c r="E283" s="7" t="s">
        <v>84</v>
      </c>
      <c r="F283" s="7" t="s">
        <v>53</v>
      </c>
      <c r="G283" s="7" t="s">
        <v>54</v>
      </c>
      <c r="H283" s="7" t="str">
        <f>_xlfn.XLOOKUP(G283,Lookup_Tables!$A$4:$A$9,Lookup_Tables!$C$4:$C$9,"Not Found",0)</f>
        <v>Leela Iyer</v>
      </c>
      <c r="I283" s="7" t="s">
        <v>77</v>
      </c>
      <c r="J283" s="7" t="s">
        <v>1221</v>
      </c>
      <c r="K283" s="7" t="str">
        <f t="shared" si="51"/>
        <v xml:space="preserve">amit.verma@company.com </v>
      </c>
      <c r="L283" s="7" t="s">
        <v>1222</v>
      </c>
      <c r="M283" s="7" t="str">
        <f t="shared" si="48"/>
        <v>38344922</v>
      </c>
      <c r="N283" s="7" t="str" cm="1">
        <f t="array" ref="N283">_xlfn.IFS(M283="","Incomplete",LEN(M283)&lt;10,"Invalid",AND(LEN(M283) =10,LEFT(M283,4) &lt;&gt;"+91-"),"+91-"&amp;M283,TRUE,M283)</f>
        <v>Invalid</v>
      </c>
      <c r="O283" s="8" t="s">
        <v>1223</v>
      </c>
      <c r="P283" s="14" t="s">
        <v>114</v>
      </c>
      <c r="Q283" s="14" t="str">
        <f t="shared" si="55"/>
        <v>Still Employed</v>
      </c>
      <c r="R283" s="14" t="str" cm="1">
        <f t="array" ref="R283">_xlfn.IFS(OR(Q283="Missing",Q283="N/A",Q283="Still Employed"),Q283,ISNUMBER(SEARCH(",",Q283)),DATEVALUE(Q283),AND(ISNUMBER(SEARCH("-",Q283)),ISNUMBER(VALUE(LEFT(Q283,4)))),DATE(LEFT(Q283,4),MID(Q283,6,2),RIGHT(Q283,2)),ISNUMBER(SEARCH("-",Q283)),DATE(RIGHT(Q283,4),MID(Q283,4,2),LEFT(Q283,2)),ISNUMBER(SEARCH("/",Q283)),DATE(RIGHT(Q283,4),MID(Q283,4,2),LEFT(Q283,2)),TRUE,"Check Manually")</f>
        <v>Still Employed</v>
      </c>
      <c r="S283" s="31" t="str">
        <f t="shared" ca="1" si="56"/>
        <v>6 Years, 7 Months, 25 Days</v>
      </c>
      <c r="T283" s="31">
        <f t="shared" ca="1" si="57"/>
        <v>2429.58</v>
      </c>
      <c r="U283" s="31" t="str" cm="1">
        <f t="array" ref="U283">_xlfn.IFS(OR(R283="Missing",R283="N/A",R283="Still Employed"),"Unknown",ISNUMBER(R283),"Exited",TRUE,"Unknown")</f>
        <v>Unknown</v>
      </c>
      <c r="V283" s="31" t="str">
        <f t="shared" si="58"/>
        <v/>
      </c>
      <c r="W283" s="14" t="str">
        <f t="shared" si="59"/>
        <v>Active</v>
      </c>
      <c r="X283" s="19">
        <v>102426</v>
      </c>
      <c r="Y283" s="18" t="str">
        <f t="shared" si="52"/>
        <v>102426</v>
      </c>
      <c r="Z283" s="22" t="str" cm="1">
        <f t="array" ref="Z283">_xlfn.IFS(Y283="","0",LEFT(Y283,5)="",Y283,LEFT(Y283,1)="₹",REPLACE(Y283,1,1,""),LEFT(Y283,4)="Rs. ",REPLACE(Y283,1,4,""),TRUE,Y283)</f>
        <v>102426</v>
      </c>
      <c r="AA283" s="22" t="str">
        <f t="shared" si="53"/>
        <v>102426</v>
      </c>
      <c r="AB283" s="7" t="s">
        <v>127</v>
      </c>
      <c r="AC283" s="7" t="str">
        <f t="shared" si="54"/>
        <v>Good</v>
      </c>
      <c r="AD283" s="7">
        <v>3</v>
      </c>
      <c r="AE283" cm="1">
        <f t="array" ref="AE283">_xlfn.IFS(AD283="",0,AD283&lt;0,"Negate Leave",AD283&gt;=0,AD283)</f>
        <v>3</v>
      </c>
    </row>
    <row r="284" spans="1:31" x14ac:dyDescent="0.3">
      <c r="A284" s="7">
        <v>5127</v>
      </c>
      <c r="B284" s="7" t="s">
        <v>1212</v>
      </c>
      <c r="C284" s="7" t="str">
        <f t="shared" si="49"/>
        <v>Rajesh Mehta</v>
      </c>
      <c r="D284" s="7" t="str">
        <f t="shared" si="50"/>
        <v>Rajesh Mehta</v>
      </c>
      <c r="E284" s="7" t="s">
        <v>68</v>
      </c>
      <c r="F284" s="7" t="s">
        <v>122</v>
      </c>
      <c r="G284" s="7" t="s">
        <v>91</v>
      </c>
      <c r="H284" s="7" t="str">
        <f>_xlfn.XLOOKUP(G284,Lookup_Tables!$A$4:$A$9,Lookup_Tables!$C$4:$C$9,"Not Found",0)</f>
        <v>Rajiv Kapoor</v>
      </c>
      <c r="I284" s="7" t="s">
        <v>55</v>
      </c>
      <c r="J284" s="7" t="s">
        <v>401</v>
      </c>
      <c r="K284" s="7" t="str">
        <f t="shared" si="51"/>
        <v>pooja.shah@company.com</v>
      </c>
      <c r="L284" s="7" t="s">
        <v>1225</v>
      </c>
      <c r="M284" s="7" t="str">
        <f t="shared" si="48"/>
        <v>2438146228</v>
      </c>
      <c r="N284" s="7" t="str" cm="1">
        <f t="array" ref="N284">_xlfn.IFS(M284="","Incomplete",LEN(M284)&lt;10,"Invalid",AND(LEN(M284) =10,LEFT(M284,4) &lt;&gt;"+91-"),"+91-"&amp;M284,TRUE,M284)</f>
        <v>+91-2438146228</v>
      </c>
      <c r="O284" s="8" t="s">
        <v>856</v>
      </c>
      <c r="P284" s="14" t="s">
        <v>126</v>
      </c>
      <c r="Q284" s="14" t="str">
        <f t="shared" si="55"/>
        <v>N/A</v>
      </c>
      <c r="R284" s="14" t="str" cm="1">
        <f t="array" ref="R284">_xlfn.IFS(OR(Q284="Missing",Q284="N/A",Q284="Still Employed"),Q284,ISNUMBER(SEARCH(",",Q284)),DATEVALUE(Q284),AND(ISNUMBER(SEARCH("-",Q284)),ISNUMBER(VALUE(LEFT(Q284,4)))),DATE(LEFT(Q284,4),MID(Q284,6,2),RIGHT(Q284,2)),ISNUMBER(SEARCH("-",Q284)),DATE(RIGHT(Q284,4),MID(Q284,4,2),LEFT(Q284,2)),ISNUMBER(SEARCH("/",Q284)),DATE(RIGHT(Q284,4),MID(Q284,4,2),LEFT(Q284,2)),TRUE,"Check Manually")</f>
        <v>N/A</v>
      </c>
      <c r="S284" s="31" t="str">
        <f t="shared" ca="1" si="56"/>
        <v>8 Years, 6 Months, 20 Days</v>
      </c>
      <c r="T284" s="31">
        <f t="shared" ca="1" si="57"/>
        <v>3124.64</v>
      </c>
      <c r="U284" s="31" t="str" cm="1">
        <f t="array" ref="U284">_xlfn.IFS(OR(R284="Missing",R284="N/A",R284="Still Employed"),"Unknown",ISNUMBER(R284),"Exited",TRUE,"Unknown")</f>
        <v>Unknown</v>
      </c>
      <c r="V284" s="31" t="str">
        <f t="shared" si="58"/>
        <v/>
      </c>
      <c r="W284" s="14" t="str">
        <f t="shared" si="59"/>
        <v>Active</v>
      </c>
      <c r="X284" s="19"/>
      <c r="Y284" s="18" t="str">
        <f t="shared" si="52"/>
        <v/>
      </c>
      <c r="Z284" s="22" t="str" cm="1">
        <f t="array" ref="Z284">_xlfn.IFS(Y284="","0",LEFT(Y284,5)="",Y284,LEFT(Y284,1)="₹",REPLACE(Y284,1,1,""),LEFT(Y284,4)="Rs. ",REPLACE(Y284,1,4,""),TRUE,Y284)</f>
        <v>0</v>
      </c>
      <c r="AA284" s="22" t="str">
        <f t="shared" si="53"/>
        <v>0</v>
      </c>
      <c r="AB284" s="7" t="s">
        <v>51</v>
      </c>
      <c r="AC284" s="7" t="str">
        <f t="shared" si="54"/>
        <v>Excellent</v>
      </c>
      <c r="AD284" s="7">
        <v>10</v>
      </c>
      <c r="AE284" cm="1">
        <f t="array" ref="AE284">_xlfn.IFS(AD284="",0,AD284&lt;0,"Negate Leave",AD284&gt;=0,AD284)</f>
        <v>10</v>
      </c>
    </row>
    <row r="285" spans="1:31" x14ac:dyDescent="0.3">
      <c r="A285" s="7">
        <v>5101</v>
      </c>
      <c r="B285" s="7" t="s">
        <v>138</v>
      </c>
      <c r="C285" s="7" t="str">
        <f t="shared" si="49"/>
        <v>isha rao</v>
      </c>
      <c r="D285" s="7" t="str">
        <f t="shared" si="50"/>
        <v>Isha Rao</v>
      </c>
      <c r="E285" s="7" t="s">
        <v>68</v>
      </c>
      <c r="F285" s="7" t="s">
        <v>151</v>
      </c>
      <c r="G285" s="7" t="s">
        <v>76</v>
      </c>
      <c r="H285" s="7" t="str">
        <f>_xlfn.XLOOKUP(G285,Lookup_Tables!$A$4:$A$9,Lookup_Tables!$C$4:$C$9,"Not Found",0)</f>
        <v>Ananya Sen</v>
      </c>
      <c r="I285" s="7" t="s">
        <v>85</v>
      </c>
      <c r="J285" s="7"/>
      <c r="K285" s="7" t="str">
        <f t="shared" si="51"/>
        <v>No Email ID</v>
      </c>
      <c r="L285" s="7" t="s">
        <v>1227</v>
      </c>
      <c r="M285" s="7" t="str">
        <f t="shared" si="48"/>
        <v>+91-7238083681</v>
      </c>
      <c r="N285" s="7" t="str" cm="1">
        <f t="array" ref="N285">_xlfn.IFS(M285="","Incomplete",LEN(M285)&lt;10,"Invalid",AND(LEN(M285) =10,LEFT(M285,4) &lt;&gt;"+91-"),"+91-"&amp;M285,TRUE,M285)</f>
        <v>+91-7238083681</v>
      </c>
      <c r="O285" s="8" t="s">
        <v>1228</v>
      </c>
      <c r="P285" s="14" t="s">
        <v>1229</v>
      </c>
      <c r="Q285" s="14" t="str">
        <f t="shared" si="55"/>
        <v>24/08/2020</v>
      </c>
      <c r="R285" s="14" cm="1">
        <f t="array" ref="R285">_xlfn.IFS(OR(Q285="Missing",Q285="N/A",Q285="Still Employed"),Q285,ISNUMBER(SEARCH(",",Q285)),DATEVALUE(Q285),AND(ISNUMBER(SEARCH("-",Q285)),ISNUMBER(VALUE(LEFT(Q285,4)))),DATE(LEFT(Q285,4),MID(Q285,6,2),RIGHT(Q285,2)),ISNUMBER(SEARCH("-",Q285)),DATE(RIGHT(Q285,4),MID(Q285,4,2),LEFT(Q285,2)),ISNUMBER(SEARCH("/",Q285)),DATE(RIGHT(Q285,4),MID(Q285,4,2),LEFT(Q285,2)),TRUE,"Check Manually")</f>
        <v>44067</v>
      </c>
      <c r="S285" s="31" t="str">
        <f t="shared" ca="1" si="56"/>
        <v>2 Years, 2 Months, 30 Days</v>
      </c>
      <c r="T285" s="31">
        <f t="shared" ca="1" si="57"/>
        <v>821.38</v>
      </c>
      <c r="U285" s="31" t="str" cm="1">
        <f t="array" ref="U285">_xlfn.IFS(OR(R285="Missing",R285="N/A",R285="Still Employed"),"Unknown",ISNUMBER(R285),"Exited",TRUE,"Unknown")</f>
        <v>Exited</v>
      </c>
      <c r="V285" s="31">
        <f t="shared" si="58"/>
        <v>2020</v>
      </c>
      <c r="W285" s="14" t="str">
        <f t="shared" si="59"/>
        <v>Exited</v>
      </c>
      <c r="X285" s="19">
        <v>123330</v>
      </c>
      <c r="Y285" s="18" t="str">
        <f t="shared" si="52"/>
        <v>123330</v>
      </c>
      <c r="Z285" s="22" t="str" cm="1">
        <f t="array" ref="Z285">_xlfn.IFS(Y285="","0",LEFT(Y285,5)="",Y285,LEFT(Y285,1)="₹",REPLACE(Y285,1,1,""),LEFT(Y285,4)="Rs. ",REPLACE(Y285,1,4,""),TRUE,Y285)</f>
        <v>123330</v>
      </c>
      <c r="AA285" s="22" t="str">
        <f t="shared" si="53"/>
        <v>123330</v>
      </c>
      <c r="AB285" s="7" t="s">
        <v>51</v>
      </c>
      <c r="AC285" s="7" t="str">
        <f t="shared" si="54"/>
        <v>Excellent</v>
      </c>
      <c r="AD285" s="7">
        <v>10</v>
      </c>
      <c r="AE285" cm="1">
        <f t="array" ref="AE285">_xlfn.IFS(AD285="",0,AD285&lt;0,"Negate Leave",AD285&gt;=0,AD285)</f>
        <v>10</v>
      </c>
    </row>
    <row r="286" spans="1:31" x14ac:dyDescent="0.3">
      <c r="A286" s="7">
        <v>5053</v>
      </c>
      <c r="B286" s="7" t="s">
        <v>1220</v>
      </c>
      <c r="C286" s="7" t="str">
        <f t="shared" si="49"/>
        <v>Amit Verma</v>
      </c>
      <c r="D286" s="7" t="str">
        <f t="shared" si="50"/>
        <v>Amit Verma</v>
      </c>
      <c r="E286" s="7" t="s">
        <v>68</v>
      </c>
      <c r="F286" s="7" t="s">
        <v>133</v>
      </c>
      <c r="G286" s="7" t="s">
        <v>69</v>
      </c>
      <c r="H286" s="7" t="str">
        <f>_xlfn.XLOOKUP(G286,Lookup_Tables!$A$4:$A$9,Lookup_Tables!$C$4:$C$9,"Not Found",0)</f>
        <v>Vivek Malhotra</v>
      </c>
      <c r="I286" s="7" t="s">
        <v>110</v>
      </c>
      <c r="J286" s="7" t="s">
        <v>1231</v>
      </c>
      <c r="K286" s="7" t="str">
        <f t="shared" si="51"/>
        <v>simran.kulkarni@company.com</v>
      </c>
      <c r="L286" s="7"/>
      <c r="M286" s="7" t="str">
        <f t="shared" si="48"/>
        <v/>
      </c>
      <c r="N286" s="7" t="str" cm="1">
        <f t="array" ref="N286">_xlfn.IFS(M286="","Incomplete",LEN(M286)&lt;10,"Invalid",AND(LEN(M286) =10,LEFT(M286,4) &lt;&gt;"+91-"),"+91-"&amp;M286,TRUE,M286)</f>
        <v>Incomplete</v>
      </c>
      <c r="O286" s="8" t="s">
        <v>1232</v>
      </c>
      <c r="P286" s="14" t="s">
        <v>114</v>
      </c>
      <c r="Q286" s="14" t="str">
        <f t="shared" si="55"/>
        <v>Still Employed</v>
      </c>
      <c r="R286" s="14" t="str" cm="1">
        <f t="array" ref="R286">_xlfn.IFS(OR(Q286="Missing",Q286="N/A",Q286="Still Employed"),Q286,ISNUMBER(SEARCH(",",Q286)),DATEVALUE(Q286),AND(ISNUMBER(SEARCH("-",Q286)),ISNUMBER(VALUE(LEFT(Q286,4)))),DATE(LEFT(Q286,4),MID(Q286,6,2),RIGHT(Q286,2)),ISNUMBER(SEARCH("-",Q286)),DATE(RIGHT(Q286,4),MID(Q286,4,2),LEFT(Q286,2)),ISNUMBER(SEARCH("/",Q286)),DATE(RIGHT(Q286,4),MID(Q286,4,2),LEFT(Q286,2)),TRUE,"Check Manually")</f>
        <v>Still Employed</v>
      </c>
      <c r="S286" s="31" t="str">
        <f t="shared" ca="1" si="56"/>
        <v>8 Years, 6 Months, 19 Days</v>
      </c>
      <c r="T286" s="31">
        <f t="shared" ca="1" si="57"/>
        <v>3123.64</v>
      </c>
      <c r="U286" s="31" t="str" cm="1">
        <f t="array" ref="U286">_xlfn.IFS(OR(R286="Missing",R286="N/A",R286="Still Employed"),"Unknown",ISNUMBER(R286),"Exited",TRUE,"Unknown")</f>
        <v>Unknown</v>
      </c>
      <c r="V286" s="31" t="str">
        <f t="shared" si="58"/>
        <v/>
      </c>
      <c r="W286" s="14" t="str">
        <f t="shared" si="59"/>
        <v>Active</v>
      </c>
      <c r="X286" s="19">
        <v>141427</v>
      </c>
      <c r="Y286" s="18" t="str">
        <f t="shared" si="52"/>
        <v>141427</v>
      </c>
      <c r="Z286" s="22" t="str" cm="1">
        <f t="array" ref="Z286">_xlfn.IFS(Y286="","0",LEFT(Y286,5)="",Y286,LEFT(Y286,1)="₹",REPLACE(Y286,1,1,""),LEFT(Y286,4)="Rs. ",REPLACE(Y286,1,4,""),TRUE,Y286)</f>
        <v>141427</v>
      </c>
      <c r="AA286" s="22" t="str">
        <f t="shared" si="53"/>
        <v>141427</v>
      </c>
      <c r="AB286" s="7" t="s">
        <v>127</v>
      </c>
      <c r="AC286" s="7" t="str">
        <f t="shared" si="54"/>
        <v>Good</v>
      </c>
      <c r="AD286" s="7">
        <v>2</v>
      </c>
      <c r="AE286" cm="1">
        <f t="array" ref="AE286">_xlfn.IFS(AD286="",0,AD286&lt;0,"Negate Leave",AD286&gt;=0,AD286)</f>
        <v>2</v>
      </c>
    </row>
    <row r="287" spans="1:31" x14ac:dyDescent="0.3">
      <c r="A287" s="7">
        <v>5168</v>
      </c>
      <c r="B287" s="7" t="s">
        <v>1224</v>
      </c>
      <c r="C287" s="7" t="str">
        <f t="shared" si="49"/>
        <v>pooja shah</v>
      </c>
      <c r="D287" s="7" t="str">
        <f t="shared" si="50"/>
        <v>Pooja Shah</v>
      </c>
      <c r="E287" s="7" t="s">
        <v>84</v>
      </c>
      <c r="F287" s="7" t="s">
        <v>219</v>
      </c>
      <c r="G287" s="7" t="s">
        <v>46</v>
      </c>
      <c r="H287" s="7" t="str">
        <f>_xlfn.XLOOKUP(G287,Lookup_Tables!$A$4:$A$9,Lookup_Tables!$C$4:$C$9,"Not Found",0)</f>
        <v>Faisal Ahmed</v>
      </c>
      <c r="I287" s="7" t="s">
        <v>77</v>
      </c>
      <c r="J287" s="7" t="s">
        <v>1234</v>
      </c>
      <c r="K287" s="7" t="str">
        <f t="shared" si="51"/>
        <v>rohan.saxena@company.com</v>
      </c>
      <c r="L287" s="7"/>
      <c r="M287" s="7" t="str">
        <f t="shared" si="48"/>
        <v/>
      </c>
      <c r="N287" s="7" t="str" cm="1">
        <f t="array" ref="N287">_xlfn.IFS(M287="","Incomplete",LEN(M287)&lt;10,"Invalid",AND(LEN(M287) =10,LEFT(M287,4) &lt;&gt;"+91-"),"+91-"&amp;M287,TRUE,M287)</f>
        <v>Incomplete</v>
      </c>
      <c r="O287" s="8" t="s">
        <v>531</v>
      </c>
      <c r="P287" s="14" t="s">
        <v>74</v>
      </c>
      <c r="Q287" s="14" t="str">
        <f t="shared" si="55"/>
        <v>Jun 30, 2025</v>
      </c>
      <c r="R287" s="14" cm="1">
        <f t="array" ref="R287">_xlfn.IFS(OR(Q287="Missing",Q287="N/A",Q287="Still Employed"),Q287,ISNUMBER(SEARCH(",",Q287)),DATEVALUE(Q287),AND(ISNUMBER(SEARCH("-",Q287)),ISNUMBER(VALUE(LEFT(Q287,4)))),DATE(LEFT(Q287,4),MID(Q287,6,2),RIGHT(Q287,2)),ISNUMBER(SEARCH("-",Q287)),DATE(RIGHT(Q287,4),MID(Q287,4,2),LEFT(Q287,2)),ISNUMBER(SEARCH("/",Q287)),DATE(RIGHT(Q287,4),MID(Q287,4,2),LEFT(Q287,2)),TRUE,"Check Manually")</f>
        <v>45838</v>
      </c>
      <c r="S287" s="31" t="str">
        <f t="shared" ca="1" si="56"/>
        <v>2 Years, 2 Months, 7 Days</v>
      </c>
      <c r="T287" s="31">
        <f t="shared" ca="1" si="57"/>
        <v>798.38</v>
      </c>
      <c r="U287" s="31" t="str" cm="1">
        <f t="array" ref="U287">_xlfn.IFS(OR(R287="Missing",R287="N/A",R287="Still Employed"),"Unknown",ISNUMBER(R287),"Exited",TRUE,"Unknown")</f>
        <v>Exited</v>
      </c>
      <c r="V287" s="31">
        <f t="shared" si="58"/>
        <v>2025</v>
      </c>
      <c r="W287" s="14" t="str">
        <f t="shared" si="59"/>
        <v>Exited</v>
      </c>
      <c r="X287" s="19">
        <v>159942</v>
      </c>
      <c r="Y287" s="18" t="str">
        <f t="shared" si="52"/>
        <v>159942</v>
      </c>
      <c r="Z287" s="22" t="str" cm="1">
        <f t="array" ref="Z287">_xlfn.IFS(Y287="","0",LEFT(Y287,5)="",Y287,LEFT(Y287,1)="₹",REPLACE(Y287,1,1,""),LEFT(Y287,4)="Rs. ",REPLACE(Y287,1,4,""),TRUE,Y287)</f>
        <v>159942</v>
      </c>
      <c r="AA287" s="22" t="str">
        <f t="shared" si="53"/>
        <v>159942</v>
      </c>
      <c r="AB287" s="7" t="s">
        <v>51</v>
      </c>
      <c r="AC287" s="7" t="str">
        <f t="shared" si="54"/>
        <v>Excellent</v>
      </c>
      <c r="AD287" s="7">
        <v>8</v>
      </c>
      <c r="AE287" cm="1">
        <f t="array" ref="AE287">_xlfn.IFS(AD287="",0,AD287&lt;0,"Negate Leave",AD287&gt;=0,AD287)</f>
        <v>8</v>
      </c>
    </row>
    <row r="288" spans="1:31" x14ac:dyDescent="0.3">
      <c r="A288" s="7">
        <v>5159</v>
      </c>
      <c r="B288" s="7" t="s">
        <v>1226</v>
      </c>
      <c r="C288" s="7" t="str">
        <f t="shared" si="49"/>
        <v>Varun Desai</v>
      </c>
      <c r="D288" s="7" t="str">
        <f t="shared" si="50"/>
        <v>Varun Desai</v>
      </c>
      <c r="E288" s="7" t="s">
        <v>68</v>
      </c>
      <c r="F288" s="7" t="s">
        <v>122</v>
      </c>
      <c r="G288" s="7" t="s">
        <v>91</v>
      </c>
      <c r="H288" s="7" t="str">
        <f>_xlfn.XLOOKUP(G288,Lookup_Tables!$A$4:$A$9,Lookup_Tables!$C$4:$C$9,"Not Found",0)</f>
        <v>Rajiv Kapoor</v>
      </c>
      <c r="I288" s="7" t="s">
        <v>47</v>
      </c>
      <c r="J288" s="7" t="s">
        <v>1236</v>
      </c>
      <c r="K288" s="7" t="str">
        <f t="shared" si="51"/>
        <v>vikram.trivedi@company.com</v>
      </c>
      <c r="L288" s="7" t="s">
        <v>1237</v>
      </c>
      <c r="M288" s="7" t="str">
        <f t="shared" si="48"/>
        <v>1826330434</v>
      </c>
      <c r="N288" s="7" t="str" cm="1">
        <f t="array" ref="N288">_xlfn.IFS(M288="","Incomplete",LEN(M288)&lt;10,"Invalid",AND(LEN(M288) =10,LEFT(M288,4) &lt;&gt;"+91-"),"+91-"&amp;M288,TRUE,M288)</f>
        <v>+91-1826330434</v>
      </c>
      <c r="O288" s="8" t="s">
        <v>1238</v>
      </c>
      <c r="P288" s="14" t="s">
        <v>114</v>
      </c>
      <c r="Q288" s="14" t="str">
        <f t="shared" si="55"/>
        <v>Still Employed</v>
      </c>
      <c r="R288" s="14" t="str" cm="1">
        <f t="array" ref="R288">_xlfn.IFS(OR(Q288="Missing",Q288="N/A",Q288="Still Employed"),Q288,ISNUMBER(SEARCH(",",Q288)),DATEVALUE(Q288),AND(ISNUMBER(SEARCH("-",Q288)),ISNUMBER(VALUE(LEFT(Q288,4)))),DATE(LEFT(Q288,4),MID(Q288,6,2),RIGHT(Q288,2)),ISNUMBER(SEARCH("-",Q288)),DATE(RIGHT(Q288,4),MID(Q288,4,2),LEFT(Q288,2)),ISNUMBER(SEARCH("/",Q288)),DATE(RIGHT(Q288,4),MID(Q288,4,2),LEFT(Q288,2)),TRUE,"Check Manually")</f>
        <v>Still Employed</v>
      </c>
      <c r="S288" s="31" t="str">
        <f t="shared" ca="1" si="56"/>
        <v>4 Years, 7 Months, 15 Days</v>
      </c>
      <c r="T288" s="31">
        <f t="shared" ca="1" si="57"/>
        <v>1689.08</v>
      </c>
      <c r="U288" s="31" t="str" cm="1">
        <f t="array" ref="U288">_xlfn.IFS(OR(R288="Missing",R288="N/A",R288="Still Employed"),"Unknown",ISNUMBER(R288),"Exited",TRUE,"Unknown")</f>
        <v>Unknown</v>
      </c>
      <c r="V288" s="31" t="str">
        <f t="shared" si="58"/>
        <v/>
      </c>
      <c r="W288" s="14" t="str">
        <f t="shared" si="59"/>
        <v>Active</v>
      </c>
      <c r="X288" s="19" t="s">
        <v>1239</v>
      </c>
      <c r="Y288" s="18" t="str">
        <f t="shared" si="52"/>
        <v>40,609</v>
      </c>
      <c r="Z288" s="22" t="str" cm="1">
        <f t="array" ref="Z288">_xlfn.IFS(Y288="","0",LEFT(Y288,5)="",Y288,LEFT(Y288,1)="₹",REPLACE(Y288,1,1,""),LEFT(Y288,4)="Rs. ",REPLACE(Y288,1,4,""),TRUE,Y288)</f>
        <v>40,609</v>
      </c>
      <c r="AA288" s="22" t="str">
        <f t="shared" si="53"/>
        <v>40609</v>
      </c>
      <c r="AB288" s="7" t="s">
        <v>95</v>
      </c>
      <c r="AC288" s="7" t="str">
        <f t="shared" si="54"/>
        <v>Average</v>
      </c>
      <c r="AD288" s="7">
        <v>10</v>
      </c>
      <c r="AE288" cm="1">
        <f t="array" ref="AE288">_xlfn.IFS(AD288="",0,AD288&lt;0,"Negate Leave",AD288&gt;=0,AD288)</f>
        <v>10</v>
      </c>
    </row>
    <row r="289" spans="1:31" x14ac:dyDescent="0.3">
      <c r="A289" s="7">
        <v>5046</v>
      </c>
      <c r="B289" s="7" t="s">
        <v>1230</v>
      </c>
      <c r="C289" s="7" t="str">
        <f t="shared" si="49"/>
        <v>Simran Kulkarni</v>
      </c>
      <c r="D289" s="7" t="str">
        <f t="shared" si="50"/>
        <v>Simran Kulkarni</v>
      </c>
      <c r="E289" s="7" t="s">
        <v>61</v>
      </c>
      <c r="F289" s="7" t="s">
        <v>122</v>
      </c>
      <c r="G289" s="7" t="s">
        <v>91</v>
      </c>
      <c r="H289" s="7" t="str">
        <f>_xlfn.XLOOKUP(G289,Lookup_Tables!$A$4:$A$9,Lookup_Tables!$C$4:$C$9,"Not Found",0)</f>
        <v>Rajiv Kapoor</v>
      </c>
      <c r="I289" s="7" t="s">
        <v>62</v>
      </c>
      <c r="J289" s="7"/>
      <c r="K289" s="7" t="str">
        <f t="shared" si="51"/>
        <v>No Email ID</v>
      </c>
      <c r="L289" s="7" t="s">
        <v>1241</v>
      </c>
      <c r="M289" s="7" t="str">
        <f t="shared" si="48"/>
        <v>1041422618</v>
      </c>
      <c r="N289" s="7" t="str" cm="1">
        <f t="array" ref="N289">_xlfn.IFS(M289="","Incomplete",LEN(M289)&lt;10,"Invalid",AND(LEN(M289) =10,LEFT(M289,4) &lt;&gt;"+91-"),"+91-"&amp;M289,TRUE,M289)</f>
        <v>+91-1041422618</v>
      </c>
      <c r="O289" s="8" t="s">
        <v>1242</v>
      </c>
      <c r="P289" s="14" t="s">
        <v>1243</v>
      </c>
      <c r="Q289" s="14" t="str">
        <f t="shared" si="55"/>
        <v>Sep 09, 2021</v>
      </c>
      <c r="R289" s="14" cm="1">
        <f t="array" ref="R289">_xlfn.IFS(OR(Q289="Missing",Q289="N/A",Q289="Still Employed"),Q289,ISNUMBER(SEARCH(",",Q289)),DATEVALUE(Q289),AND(ISNUMBER(SEARCH("-",Q289)),ISNUMBER(VALUE(LEFT(Q289,4)))),DATE(LEFT(Q289,4),MID(Q289,6,2),RIGHT(Q289,2)),ISNUMBER(SEARCH("-",Q289)),DATE(RIGHT(Q289,4),MID(Q289,4,2),LEFT(Q289,2)),ISNUMBER(SEARCH("/",Q289)),DATE(RIGHT(Q289,4),MID(Q289,4,2),LEFT(Q289,2)),TRUE,"Check Manually")</f>
        <v>44448</v>
      </c>
      <c r="S289" s="31" t="str">
        <f t="shared" ca="1" si="56"/>
        <v>1 Years, 11 Months, 30 Days</v>
      </c>
      <c r="T289" s="31">
        <f t="shared" ca="1" si="57"/>
        <v>730.09</v>
      </c>
      <c r="U289" s="31" t="str" cm="1">
        <f t="array" ref="U289">_xlfn.IFS(OR(R289="Missing",R289="N/A",R289="Still Employed"),"Unknown",ISNUMBER(R289),"Exited",TRUE,"Unknown")</f>
        <v>Exited</v>
      </c>
      <c r="V289" s="31">
        <f t="shared" si="58"/>
        <v>2021</v>
      </c>
      <c r="W289" s="14" t="str">
        <f t="shared" si="59"/>
        <v>Exited</v>
      </c>
      <c r="X289" s="19" t="s">
        <v>1244</v>
      </c>
      <c r="Y289" s="18" t="str">
        <f t="shared" si="52"/>
        <v>Rs. 141,889</v>
      </c>
      <c r="Z289" s="22" t="str" cm="1">
        <f t="array" ref="Z289">_xlfn.IFS(Y289="","0",LEFT(Y289,5)="",Y289,LEFT(Y289,1)="₹",REPLACE(Y289,1,1,""),LEFT(Y289,4)="Rs. ",REPLACE(Y289,1,4,""),TRUE,Y289)</f>
        <v>141,889</v>
      </c>
      <c r="AA289" s="22" t="str">
        <f t="shared" si="53"/>
        <v>141889</v>
      </c>
      <c r="AB289" s="7" t="s">
        <v>144</v>
      </c>
      <c r="AC289" s="7" t="str">
        <f t="shared" si="54"/>
        <v>Poor</v>
      </c>
      <c r="AD289" s="7">
        <v>11</v>
      </c>
      <c r="AE289" cm="1">
        <f t="array" ref="AE289">_xlfn.IFS(AD289="",0,AD289&lt;0,"Negate Leave",AD289&gt;=0,AD289)</f>
        <v>11</v>
      </c>
    </row>
    <row r="290" spans="1:31" x14ac:dyDescent="0.3">
      <c r="A290" s="7">
        <v>5122</v>
      </c>
      <c r="B290" s="7" t="s">
        <v>1233</v>
      </c>
      <c r="C290" s="7" t="str">
        <f t="shared" si="49"/>
        <v>Rohan Saxena</v>
      </c>
      <c r="D290" s="7" t="str">
        <f t="shared" si="50"/>
        <v>Rohan Saxena</v>
      </c>
      <c r="E290" s="7" t="s">
        <v>68</v>
      </c>
      <c r="F290" s="7" t="s">
        <v>151</v>
      </c>
      <c r="G290" s="7" t="s">
        <v>76</v>
      </c>
      <c r="H290" s="7" t="str">
        <f>_xlfn.XLOOKUP(G290,Lookup_Tables!$A$4:$A$9,Lookup_Tables!$C$4:$C$9,"Not Found",0)</f>
        <v>Ananya Sen</v>
      </c>
      <c r="I290" s="7" t="s">
        <v>77</v>
      </c>
      <c r="J290" s="7" t="s">
        <v>1246</v>
      </c>
      <c r="K290" s="7" t="str">
        <f t="shared" si="51"/>
        <v>ritusaxena@company.com</v>
      </c>
      <c r="L290" s="7" t="s">
        <v>1247</v>
      </c>
      <c r="M290" s="7" t="str">
        <f t="shared" si="48"/>
        <v>3001113275</v>
      </c>
      <c r="N290" s="7" t="str" cm="1">
        <f t="array" ref="N290">_xlfn.IFS(M290="","Incomplete",LEN(M290)&lt;10,"Invalid",AND(LEN(M290) =10,LEFT(M290,4) &lt;&gt;"+91-"),"+91-"&amp;M290,TRUE,M290)</f>
        <v>+91-3001113275</v>
      </c>
      <c r="O290" s="8" t="s">
        <v>1248</v>
      </c>
      <c r="P290" s="14"/>
      <c r="Q290" s="14" t="str">
        <f t="shared" si="55"/>
        <v>Missing</v>
      </c>
      <c r="R290" s="14" t="str" cm="1">
        <f t="array" ref="R290">_xlfn.IFS(OR(Q290="Missing",Q290="N/A",Q290="Still Employed"),Q290,ISNUMBER(SEARCH(",",Q290)),DATEVALUE(Q290),AND(ISNUMBER(SEARCH("-",Q290)),ISNUMBER(VALUE(LEFT(Q290,4)))),DATE(LEFT(Q290,4),MID(Q290,6,2),RIGHT(Q290,2)),ISNUMBER(SEARCH("-",Q290)),DATE(RIGHT(Q290,4),MID(Q290,4,2),LEFT(Q290,2)),ISNUMBER(SEARCH("/",Q290)),DATE(RIGHT(Q290,4),MID(Q290,4,2),LEFT(Q290,2)),TRUE,"Check Manually")</f>
        <v>Missing</v>
      </c>
      <c r="S290" s="31" t="str">
        <f t="shared" ca="1" si="56"/>
        <v>6 Years, 7 Months, 10 Days</v>
      </c>
      <c r="T290" s="31">
        <f t="shared" ca="1" si="57"/>
        <v>2414.58</v>
      </c>
      <c r="U290" s="31" t="str" cm="1">
        <f t="array" ref="U290">_xlfn.IFS(OR(R290="Missing",R290="N/A",R290="Still Employed"),"Unknown",ISNUMBER(R290),"Exited",TRUE,"Unknown")</f>
        <v>Unknown</v>
      </c>
      <c r="V290" s="31" t="str">
        <f t="shared" si="58"/>
        <v/>
      </c>
      <c r="W290" s="14" t="str">
        <f t="shared" si="59"/>
        <v>Active</v>
      </c>
      <c r="X290" s="19"/>
      <c r="Y290" s="18" t="str">
        <f t="shared" si="52"/>
        <v/>
      </c>
      <c r="Z290" s="22" t="str" cm="1">
        <f t="array" ref="Z290">_xlfn.IFS(Y290="","0",LEFT(Y290,5)="",Y290,LEFT(Y290,1)="₹",REPLACE(Y290,1,1,""),LEFT(Y290,4)="Rs. ",REPLACE(Y290,1,4,""),TRUE,Y290)</f>
        <v>0</v>
      </c>
      <c r="AA290" s="22" t="str">
        <f t="shared" si="53"/>
        <v>0</v>
      </c>
      <c r="AB290" s="7" t="s">
        <v>95</v>
      </c>
      <c r="AC290" s="7" t="str">
        <f t="shared" si="54"/>
        <v>Average</v>
      </c>
      <c r="AD290" s="7">
        <v>12</v>
      </c>
      <c r="AE290" cm="1">
        <f t="array" ref="AE290">_xlfn.IFS(AD290="",0,AD290&lt;0,"Negate Leave",AD290&gt;=0,AD290)</f>
        <v>12</v>
      </c>
    </row>
    <row r="291" spans="1:31" x14ac:dyDescent="0.3">
      <c r="A291" s="7">
        <v>5010</v>
      </c>
      <c r="B291" s="7" t="s">
        <v>1235</v>
      </c>
      <c r="C291" s="7" t="str">
        <f t="shared" si="49"/>
        <v>Vikram Trivedi</v>
      </c>
      <c r="D291" s="7" t="str">
        <f t="shared" si="50"/>
        <v>Vikram Trivedi</v>
      </c>
      <c r="E291" s="7" t="s">
        <v>84</v>
      </c>
      <c r="F291" s="7" t="s">
        <v>122</v>
      </c>
      <c r="G291" s="7" t="s">
        <v>91</v>
      </c>
      <c r="H291" s="7" t="str">
        <f>_xlfn.XLOOKUP(G291,Lookup_Tables!$A$4:$A$9,Lookup_Tables!$C$4:$C$9,"Not Found",0)</f>
        <v>Rajiv Kapoor</v>
      </c>
      <c r="I291" s="7" t="s">
        <v>70</v>
      </c>
      <c r="J291" s="7" t="s">
        <v>251</v>
      </c>
      <c r="K291" s="7" t="str">
        <f t="shared" si="51"/>
        <v>varun.iyer@company.com</v>
      </c>
      <c r="L291" s="7"/>
      <c r="M291" s="7" t="str">
        <f t="shared" si="48"/>
        <v/>
      </c>
      <c r="N291" s="7" t="str" cm="1">
        <f t="array" ref="N291">_xlfn.IFS(M291="","Incomplete",LEN(M291)&lt;10,"Invalid",AND(LEN(M291) =10,LEFT(M291,4) &lt;&gt;"+91-"),"+91-"&amp;M291,TRUE,M291)</f>
        <v>Incomplete</v>
      </c>
      <c r="O291" s="8" t="s">
        <v>1249</v>
      </c>
      <c r="P291" s="14"/>
      <c r="Q291" s="14" t="str">
        <f t="shared" si="55"/>
        <v>Missing</v>
      </c>
      <c r="R291" s="14" t="str" cm="1">
        <f t="array" ref="R291">_xlfn.IFS(OR(Q291="Missing",Q291="N/A",Q291="Still Employed"),Q291,ISNUMBER(SEARCH(",",Q291)),DATEVALUE(Q291),AND(ISNUMBER(SEARCH("-",Q291)),ISNUMBER(VALUE(LEFT(Q291,4)))),DATE(LEFT(Q291,4),MID(Q291,6,2),RIGHT(Q291,2)),ISNUMBER(SEARCH("-",Q291)),DATE(RIGHT(Q291,4),MID(Q291,4,2),LEFT(Q291,2)),ISNUMBER(SEARCH("/",Q291)),DATE(RIGHT(Q291,4),MID(Q291,4,2),LEFT(Q291,2)),TRUE,"Check Manually")</f>
        <v>Missing</v>
      </c>
      <c r="S291" s="31" t="str">
        <f t="shared" ca="1" si="56"/>
        <v>6 Years, 6 Months, 11 Days</v>
      </c>
      <c r="T291" s="31">
        <f t="shared" ca="1" si="57"/>
        <v>2385.14</v>
      </c>
      <c r="U291" s="31" t="str" cm="1">
        <f t="array" ref="U291">_xlfn.IFS(OR(R291="Missing",R291="N/A",R291="Still Employed"),"Unknown",ISNUMBER(R291),"Exited",TRUE,"Unknown")</f>
        <v>Unknown</v>
      </c>
      <c r="V291" s="31" t="str">
        <f t="shared" si="58"/>
        <v/>
      </c>
      <c r="W291" s="14" t="str">
        <f t="shared" si="59"/>
        <v>Active</v>
      </c>
      <c r="X291" s="19" t="s">
        <v>1250</v>
      </c>
      <c r="Y291" s="18" t="str">
        <f t="shared" si="52"/>
        <v>50,004</v>
      </c>
      <c r="Z291" s="22" t="str" cm="1">
        <f t="array" ref="Z291">_xlfn.IFS(Y291="","0",LEFT(Y291,5)="",Y291,LEFT(Y291,1)="₹",REPLACE(Y291,1,1,""),LEFT(Y291,4)="Rs. ",REPLACE(Y291,1,4,""),TRUE,Y291)</f>
        <v>50,004</v>
      </c>
      <c r="AA291" s="22" t="str">
        <f t="shared" si="53"/>
        <v>50004</v>
      </c>
      <c r="AB291" s="7" t="s">
        <v>95</v>
      </c>
      <c r="AC291" s="7" t="str">
        <f t="shared" si="54"/>
        <v>Average</v>
      </c>
      <c r="AD291" s="7">
        <v>5</v>
      </c>
      <c r="AE291" cm="1">
        <f t="array" ref="AE291">_xlfn.IFS(AD291="",0,AD291&lt;0,"Negate Leave",AD291&gt;=0,AD291)</f>
        <v>5</v>
      </c>
    </row>
    <row r="292" spans="1:31" x14ac:dyDescent="0.3">
      <c r="A292" s="7">
        <v>5169</v>
      </c>
      <c r="B292" s="7" t="s">
        <v>1240</v>
      </c>
      <c r="C292" s="7" t="str">
        <f t="shared" si="49"/>
        <v>Nikhil Bhatt</v>
      </c>
      <c r="D292" s="7" t="str">
        <f t="shared" si="50"/>
        <v>Nikhil Bhatt</v>
      </c>
      <c r="E292" s="7" t="s">
        <v>68</v>
      </c>
      <c r="F292" s="7" t="s">
        <v>122</v>
      </c>
      <c r="G292" s="7" t="s">
        <v>91</v>
      </c>
      <c r="H292" s="7" t="str">
        <f>_xlfn.XLOOKUP(G292,Lookup_Tables!$A$4:$A$9,Lookup_Tables!$C$4:$C$9,"Not Found",0)</f>
        <v>Rajiv Kapoor</v>
      </c>
      <c r="I292" s="7" t="s">
        <v>47</v>
      </c>
      <c r="J292" s="7" t="s">
        <v>1252</v>
      </c>
      <c r="K292" s="7" t="str">
        <f t="shared" si="51"/>
        <v>anjali.pillai@company.com</v>
      </c>
      <c r="L292" s="7" t="s">
        <v>1253</v>
      </c>
      <c r="M292" s="7" t="str">
        <f t="shared" si="48"/>
        <v>78519130</v>
      </c>
      <c r="N292" s="7" t="str" cm="1">
        <f t="array" ref="N292">_xlfn.IFS(M292="","Incomplete",LEN(M292)&lt;10,"Invalid",AND(LEN(M292) =10,LEFT(M292,4) &lt;&gt;"+91-"),"+91-"&amp;M292,TRUE,M292)</f>
        <v>Invalid</v>
      </c>
      <c r="O292" s="8" t="s">
        <v>58</v>
      </c>
      <c r="P292" s="14" t="s">
        <v>114</v>
      </c>
      <c r="Q292" s="14" t="str">
        <f t="shared" si="55"/>
        <v>Still Employed</v>
      </c>
      <c r="R292" s="14" t="str" cm="1">
        <f t="array" ref="R292">_xlfn.IFS(OR(Q292="Missing",Q292="N/A",Q292="Still Employed"),Q292,ISNUMBER(SEARCH(",",Q292)),DATEVALUE(Q292),AND(ISNUMBER(SEARCH("-",Q292)),ISNUMBER(VALUE(LEFT(Q292,4)))),DATE(LEFT(Q292,4),MID(Q292,6,2),RIGHT(Q292,2)),ISNUMBER(SEARCH("-",Q292)),DATE(RIGHT(Q292,4),MID(Q292,4,2),LEFT(Q292,2)),ISNUMBER(SEARCH("/",Q292)),DATE(RIGHT(Q292,4),MID(Q292,4,2),LEFT(Q292,2)),TRUE,"Check Manually")</f>
        <v>Still Employed</v>
      </c>
      <c r="S292" s="31" t="str">
        <f t="shared" ca="1" si="56"/>
        <v>6 Years, 1 Months, 3 Days</v>
      </c>
      <c r="T292" s="31">
        <f t="shared" ca="1" si="57"/>
        <v>2224.94</v>
      </c>
      <c r="U292" s="31" t="str" cm="1">
        <f t="array" ref="U292">_xlfn.IFS(OR(R292="Missing",R292="N/A",R292="Still Employed"),"Unknown",ISNUMBER(R292),"Exited",TRUE,"Unknown")</f>
        <v>Unknown</v>
      </c>
      <c r="V292" s="31" t="str">
        <f t="shared" si="58"/>
        <v/>
      </c>
      <c r="W292" s="14" t="str">
        <f t="shared" si="59"/>
        <v>Active</v>
      </c>
      <c r="X292" s="19"/>
      <c r="Y292" s="18" t="str">
        <f t="shared" si="52"/>
        <v/>
      </c>
      <c r="Z292" s="22" t="str" cm="1">
        <f t="array" ref="Z292">_xlfn.IFS(Y292="","0",LEFT(Y292,5)="",Y292,LEFT(Y292,1)="₹",REPLACE(Y292,1,1,""),LEFT(Y292,4)="Rs. ",REPLACE(Y292,1,4,""),TRUE,Y292)</f>
        <v>0</v>
      </c>
      <c r="AA292" s="22" t="str">
        <f t="shared" si="53"/>
        <v>0</v>
      </c>
      <c r="AB292" s="7" t="s">
        <v>95</v>
      </c>
      <c r="AC292" s="7" t="str">
        <f t="shared" si="54"/>
        <v>Average</v>
      </c>
      <c r="AD292" s="7">
        <v>22</v>
      </c>
      <c r="AE292" cm="1">
        <f t="array" ref="AE292">_xlfn.IFS(AD292="",0,AD292&lt;0,"Negate Leave",AD292&gt;=0,AD292)</f>
        <v>22</v>
      </c>
    </row>
    <row r="293" spans="1:31" x14ac:dyDescent="0.3">
      <c r="A293" s="7">
        <v>5173</v>
      </c>
      <c r="B293" s="7" t="s">
        <v>1245</v>
      </c>
      <c r="C293" s="7" t="str">
        <f t="shared" si="49"/>
        <v>Ritu Saxena</v>
      </c>
      <c r="D293" s="7" t="str">
        <f t="shared" si="50"/>
        <v>Ritu Saxena</v>
      </c>
      <c r="E293" s="7" t="s">
        <v>68</v>
      </c>
      <c r="F293" s="7" t="s">
        <v>389</v>
      </c>
      <c r="G293" s="7" t="s">
        <v>140</v>
      </c>
      <c r="H293" s="7" t="str">
        <f>_xlfn.XLOOKUP(G293,Lookup_Tables!$A$4:$A$9,Lookup_Tables!$C$4:$C$9,"Not Found",0)</f>
        <v>Sunita Rao</v>
      </c>
      <c r="I293" s="7" t="s">
        <v>62</v>
      </c>
      <c r="J293" s="7" t="s">
        <v>303</v>
      </c>
      <c r="K293" s="7" t="str">
        <f t="shared" si="51"/>
        <v>sneha.menon@company.com</v>
      </c>
      <c r="L293" s="7" t="s">
        <v>1254</v>
      </c>
      <c r="M293" s="7" t="str">
        <f t="shared" si="48"/>
        <v>1145931862</v>
      </c>
      <c r="N293" s="7" t="str" cm="1">
        <f t="array" ref="N293">_xlfn.IFS(M293="","Incomplete",LEN(M293)&lt;10,"Invalid",AND(LEN(M293) =10,LEFT(M293,4) &lt;&gt;"+91-"),"+91-"&amp;M293,TRUE,M293)</f>
        <v>+91-1145931862</v>
      </c>
      <c r="O293" s="8" t="s">
        <v>1255</v>
      </c>
      <c r="P293" s="14" t="s">
        <v>114</v>
      </c>
      <c r="Q293" s="14" t="str">
        <f t="shared" si="55"/>
        <v>Still Employed</v>
      </c>
      <c r="R293" s="14" t="str" cm="1">
        <f t="array" ref="R293">_xlfn.IFS(OR(Q293="Missing",Q293="N/A",Q293="Still Employed"),Q293,ISNUMBER(SEARCH(",",Q293)),DATEVALUE(Q293),AND(ISNUMBER(SEARCH("-",Q293)),ISNUMBER(VALUE(LEFT(Q293,4)))),DATE(LEFT(Q293,4),MID(Q293,6,2),RIGHT(Q293,2)),ISNUMBER(SEARCH("-",Q293)),DATE(RIGHT(Q293,4),MID(Q293,4,2),LEFT(Q293,2)),ISNUMBER(SEARCH("/",Q293)),DATE(RIGHT(Q293,4),MID(Q293,4,2),LEFT(Q293,2)),TRUE,"Check Manually")</f>
        <v>Still Employed</v>
      </c>
      <c r="S293" s="31" t="str">
        <f t="shared" ca="1" si="56"/>
        <v>2 Years, 3 Months, 19 Days</v>
      </c>
      <c r="T293" s="31">
        <f t="shared" ca="1" si="57"/>
        <v>840.82</v>
      </c>
      <c r="U293" s="31" t="str" cm="1">
        <f t="array" ref="U293">_xlfn.IFS(OR(R293="Missing",R293="N/A",R293="Still Employed"),"Unknown",ISNUMBER(R293),"Exited",TRUE,"Unknown")</f>
        <v>Unknown</v>
      </c>
      <c r="V293" s="31" t="str">
        <f t="shared" si="58"/>
        <v/>
      </c>
      <c r="W293" s="14" t="str">
        <f t="shared" si="59"/>
        <v>Active</v>
      </c>
      <c r="X293" s="19" t="s">
        <v>1256</v>
      </c>
      <c r="Y293" s="18" t="str">
        <f t="shared" si="52"/>
        <v>Rs. 162,620</v>
      </c>
      <c r="Z293" s="22" t="str" cm="1">
        <f t="array" ref="Z293">_xlfn.IFS(Y293="","0",LEFT(Y293,5)="",Y293,LEFT(Y293,1)="₹",REPLACE(Y293,1,1,""),LEFT(Y293,4)="Rs. ",REPLACE(Y293,1,4,""),TRUE,Y293)</f>
        <v>162,620</v>
      </c>
      <c r="AA293" s="22" t="str">
        <f t="shared" si="53"/>
        <v>162620</v>
      </c>
      <c r="AB293" s="7" t="s">
        <v>127</v>
      </c>
      <c r="AC293" s="7" t="str">
        <f t="shared" si="54"/>
        <v>Good</v>
      </c>
      <c r="AD293" s="7">
        <v>4</v>
      </c>
      <c r="AE293" cm="1">
        <f t="array" ref="AE293">_xlfn.IFS(AD293="",0,AD293&lt;0,"Negate Leave",AD293&gt;=0,AD293)</f>
        <v>4</v>
      </c>
    </row>
    <row r="294" spans="1:31" x14ac:dyDescent="0.3">
      <c r="A294" s="7">
        <v>5162</v>
      </c>
      <c r="B294" s="7" t="s">
        <v>250</v>
      </c>
      <c r="C294" s="7" t="str">
        <f t="shared" si="49"/>
        <v>Varun Iyer</v>
      </c>
      <c r="D294" s="7" t="str">
        <f t="shared" si="50"/>
        <v>Varun Iyer</v>
      </c>
      <c r="E294" s="7" t="s">
        <v>68</v>
      </c>
      <c r="F294" s="7" t="s">
        <v>133</v>
      </c>
      <c r="G294" s="7" t="s">
        <v>69</v>
      </c>
      <c r="H294" s="7" t="str">
        <f>_xlfn.XLOOKUP(G294,Lookup_Tables!$A$4:$A$9,Lookup_Tables!$C$4:$C$9,"Not Found",0)</f>
        <v>Vivek Malhotra</v>
      </c>
      <c r="I294" s="7" t="s">
        <v>175</v>
      </c>
      <c r="J294" s="7" t="s">
        <v>312</v>
      </c>
      <c r="K294" s="7" t="str">
        <f t="shared" si="51"/>
        <v>divya.shah@company.com</v>
      </c>
      <c r="L294" s="7" t="s">
        <v>1257</v>
      </c>
      <c r="M294" s="7" t="str">
        <f t="shared" si="48"/>
        <v>5865611658</v>
      </c>
      <c r="N294" s="7" t="str" cm="1">
        <f t="array" ref="N294">_xlfn.IFS(M294="","Incomplete",LEN(M294)&lt;10,"Invalid",AND(LEN(M294) =10,LEFT(M294,4) &lt;&gt;"+91-"),"+91-"&amp;M294,TRUE,M294)</f>
        <v>+91-5865611658</v>
      </c>
      <c r="O294" s="8" t="s">
        <v>1258</v>
      </c>
      <c r="P294" s="14"/>
      <c r="Q294" s="14" t="str">
        <f t="shared" si="55"/>
        <v>Missing</v>
      </c>
      <c r="R294" s="14" t="str" cm="1">
        <f t="array" ref="R294">_xlfn.IFS(OR(Q294="Missing",Q294="N/A",Q294="Still Employed"),Q294,ISNUMBER(SEARCH(",",Q294)),DATEVALUE(Q294),AND(ISNUMBER(SEARCH("-",Q294)),ISNUMBER(VALUE(LEFT(Q294,4)))),DATE(LEFT(Q294,4),MID(Q294,6,2),RIGHT(Q294,2)),ISNUMBER(SEARCH("-",Q294)),DATE(RIGHT(Q294,4),MID(Q294,4,2),LEFT(Q294,2)),ISNUMBER(SEARCH("/",Q294)),DATE(RIGHT(Q294,4),MID(Q294,4,2),LEFT(Q294,2)),TRUE,"Check Manually")</f>
        <v>Missing</v>
      </c>
      <c r="S294" s="31" t="str">
        <f t="shared" ca="1" si="56"/>
        <v>6 Years, 7 Months, 9 Days</v>
      </c>
      <c r="T294" s="31">
        <f t="shared" ca="1" si="57"/>
        <v>2413.58</v>
      </c>
      <c r="U294" s="31" t="str" cm="1">
        <f t="array" ref="U294">_xlfn.IFS(OR(R294="Missing",R294="N/A",R294="Still Employed"),"Unknown",ISNUMBER(R294),"Exited",TRUE,"Unknown")</f>
        <v>Unknown</v>
      </c>
      <c r="V294" s="31" t="str">
        <f t="shared" si="58"/>
        <v/>
      </c>
      <c r="W294" s="14" t="str">
        <f t="shared" si="59"/>
        <v>Active</v>
      </c>
      <c r="X294" s="19" t="s">
        <v>1259</v>
      </c>
      <c r="Y294" s="18" t="str">
        <f t="shared" si="52"/>
        <v>₹37,000</v>
      </c>
      <c r="Z294" s="22" t="str" cm="1">
        <f t="array" ref="Z294">_xlfn.IFS(Y294="","0",LEFT(Y294,5)="",Y294,LEFT(Y294,1)="₹",REPLACE(Y294,1,1,""),LEFT(Y294,4)="Rs. ",REPLACE(Y294,1,4,""),TRUE,Y294)</f>
        <v>37,000</v>
      </c>
      <c r="AA294" s="22" t="str">
        <f t="shared" si="53"/>
        <v>37000</v>
      </c>
      <c r="AB294" s="7" t="s">
        <v>95</v>
      </c>
      <c r="AC294" s="7" t="str">
        <f t="shared" si="54"/>
        <v>Average</v>
      </c>
      <c r="AD294" s="7">
        <v>10</v>
      </c>
      <c r="AE294" cm="1">
        <f t="array" ref="AE294">_xlfn.IFS(AD294="",0,AD294&lt;0,"Negate Leave",AD294&gt;=0,AD294)</f>
        <v>10</v>
      </c>
    </row>
    <row r="295" spans="1:31" x14ac:dyDescent="0.3">
      <c r="A295" s="7">
        <v>5137</v>
      </c>
      <c r="B295" s="7" t="s">
        <v>1251</v>
      </c>
      <c r="C295" s="7" t="str">
        <f t="shared" si="49"/>
        <v>Anjali Pillai</v>
      </c>
      <c r="D295" s="7" t="str">
        <f t="shared" si="50"/>
        <v>Anjali Pillai</v>
      </c>
      <c r="E295" s="7" t="s">
        <v>61</v>
      </c>
      <c r="F295" s="7" t="s">
        <v>151</v>
      </c>
      <c r="G295" s="7" t="s">
        <v>76</v>
      </c>
      <c r="H295" s="7" t="str">
        <f>_xlfn.XLOOKUP(G295,Lookup_Tables!$A$4:$A$9,Lookup_Tables!$C$4:$C$9,"Not Found",0)</f>
        <v>Ananya Sen</v>
      </c>
      <c r="I295" s="7" t="s">
        <v>55</v>
      </c>
      <c r="J295" s="7" t="s">
        <v>1261</v>
      </c>
      <c r="K295" s="7" t="str">
        <f t="shared" si="51"/>
        <v>sneha.agarwal@company.com</v>
      </c>
      <c r="L295" s="7" t="s">
        <v>1262</v>
      </c>
      <c r="M295" s="7" t="str">
        <f t="shared" si="48"/>
        <v>+91-2315616156</v>
      </c>
      <c r="N295" s="7" t="str" cm="1">
        <f t="array" ref="N295">_xlfn.IFS(M295="","Incomplete",LEN(M295)&lt;10,"Invalid",AND(LEN(M295) =10,LEFT(M295,4) &lt;&gt;"+91-"),"+91-"&amp;M295,TRUE,M295)</f>
        <v>+91-2315616156</v>
      </c>
      <c r="O295" s="8" t="s">
        <v>1263</v>
      </c>
      <c r="P295" s="14" t="s">
        <v>74</v>
      </c>
      <c r="Q295" s="14" t="str">
        <f t="shared" si="55"/>
        <v>Jun 30, 2025</v>
      </c>
      <c r="R295" s="14" cm="1">
        <f t="array" ref="R295">_xlfn.IFS(OR(Q295="Missing",Q295="N/A",Q295="Still Employed"),Q295,ISNUMBER(SEARCH(",",Q295)),DATEVALUE(Q295),AND(ISNUMBER(SEARCH("-",Q295)),ISNUMBER(VALUE(LEFT(Q295,4)))),DATE(LEFT(Q295,4),MID(Q295,6,2),RIGHT(Q295,2)),ISNUMBER(SEARCH("-",Q295)),DATE(RIGHT(Q295,4),MID(Q295,4,2),LEFT(Q295,2)),ISNUMBER(SEARCH("/",Q295)),DATE(RIGHT(Q295,4),MID(Q295,4,2),LEFT(Q295,2)),TRUE,"Check Manually")</f>
        <v>45838</v>
      </c>
      <c r="S295" s="31" t="str">
        <f t="shared" ca="1" si="56"/>
        <v>2 Years, 2 Months, 8 Days</v>
      </c>
      <c r="T295" s="31">
        <f t="shared" ca="1" si="57"/>
        <v>799.38</v>
      </c>
      <c r="U295" s="31" t="str" cm="1">
        <f t="array" ref="U295">_xlfn.IFS(OR(R295="Missing",R295="N/A",R295="Still Employed"),"Unknown",ISNUMBER(R295),"Exited",TRUE,"Unknown")</f>
        <v>Exited</v>
      </c>
      <c r="V295" s="31">
        <f t="shared" si="58"/>
        <v>2025</v>
      </c>
      <c r="W295" s="14" t="str">
        <f t="shared" si="59"/>
        <v>Exited</v>
      </c>
      <c r="X295" s="19" t="s">
        <v>1264</v>
      </c>
      <c r="Y295" s="18" t="str">
        <f t="shared" si="52"/>
        <v>₹86,892</v>
      </c>
      <c r="Z295" s="22" t="str" cm="1">
        <f t="array" ref="Z295">_xlfn.IFS(Y295="","0",LEFT(Y295,5)="",Y295,LEFT(Y295,1)="₹",REPLACE(Y295,1,1,""),LEFT(Y295,4)="Rs. ",REPLACE(Y295,1,4,""),TRUE,Y295)</f>
        <v>86,892</v>
      </c>
      <c r="AA295" s="22" t="str">
        <f t="shared" si="53"/>
        <v>86892</v>
      </c>
      <c r="AB295" s="7" t="s">
        <v>127</v>
      </c>
      <c r="AC295" s="7" t="str">
        <f t="shared" si="54"/>
        <v>Good</v>
      </c>
      <c r="AD295" s="7">
        <v>11</v>
      </c>
      <c r="AE295" cm="1">
        <f t="array" ref="AE295">_xlfn.IFS(AD295="",0,AD295&lt;0,"Negate Leave",AD295&gt;=0,AD295)</f>
        <v>11</v>
      </c>
    </row>
    <row r="296" spans="1:31" x14ac:dyDescent="0.3">
      <c r="A296" s="7">
        <v>5071</v>
      </c>
      <c r="B296" s="7" t="s">
        <v>302</v>
      </c>
      <c r="C296" s="7" t="str">
        <f t="shared" si="49"/>
        <v>Sneha Menon</v>
      </c>
      <c r="D296" s="7" t="str">
        <f t="shared" si="50"/>
        <v>Sneha Menon</v>
      </c>
      <c r="E296" s="7" t="s">
        <v>68</v>
      </c>
      <c r="F296" s="7" t="s">
        <v>389</v>
      </c>
      <c r="G296" s="7" t="s">
        <v>140</v>
      </c>
      <c r="H296" s="7" t="str">
        <f>_xlfn.XLOOKUP(G296,Lookup_Tables!$A$4:$A$9,Lookup_Tables!$C$4:$C$9,"Not Found",0)</f>
        <v>Sunita Rao</v>
      </c>
      <c r="I296" s="7" t="s">
        <v>62</v>
      </c>
      <c r="J296" s="7" t="s">
        <v>197</v>
      </c>
      <c r="K296" s="7" t="str">
        <f t="shared" si="51"/>
        <v>anjali.saxena@company.com</v>
      </c>
      <c r="L296" s="7"/>
      <c r="M296" s="7" t="str">
        <f t="shared" si="48"/>
        <v/>
      </c>
      <c r="N296" s="7" t="str" cm="1">
        <f t="array" ref="N296">_xlfn.IFS(M296="","Incomplete",LEN(M296)&lt;10,"Invalid",AND(LEN(M296) =10,LEFT(M296,4) &lt;&gt;"+91-"),"+91-"&amp;M296,TRUE,M296)</f>
        <v>Incomplete</v>
      </c>
      <c r="O296" s="8" t="s">
        <v>1265</v>
      </c>
      <c r="P296" s="14"/>
      <c r="Q296" s="14" t="str">
        <f t="shared" si="55"/>
        <v>Missing</v>
      </c>
      <c r="R296" s="14" t="str" cm="1">
        <f t="array" ref="R296">_xlfn.IFS(OR(Q296="Missing",Q296="N/A",Q296="Still Employed"),Q296,ISNUMBER(SEARCH(",",Q296)),DATEVALUE(Q296),AND(ISNUMBER(SEARCH("-",Q296)),ISNUMBER(VALUE(LEFT(Q296,4)))),DATE(LEFT(Q296,4),MID(Q296,6,2),RIGHT(Q296,2)),ISNUMBER(SEARCH("-",Q296)),DATE(RIGHT(Q296,4),MID(Q296,4,2),LEFT(Q296,2)),ISNUMBER(SEARCH("/",Q296)),DATE(RIGHT(Q296,4),MID(Q296,4,2),LEFT(Q296,2)),TRUE,"Check Manually")</f>
        <v>Missing</v>
      </c>
      <c r="S296" s="31" t="str">
        <f t="shared" ca="1" si="56"/>
        <v>4 Years, 7 Months, 21 Days</v>
      </c>
      <c r="T296" s="31">
        <f t="shared" ca="1" si="57"/>
        <v>1695.08</v>
      </c>
      <c r="U296" s="31" t="str" cm="1">
        <f t="array" ref="U296">_xlfn.IFS(OR(R296="Missing",R296="N/A",R296="Still Employed"),"Unknown",ISNUMBER(R296),"Exited",TRUE,"Unknown")</f>
        <v>Unknown</v>
      </c>
      <c r="V296" s="31" t="str">
        <f t="shared" si="58"/>
        <v/>
      </c>
      <c r="W296" s="14" t="str">
        <f t="shared" si="59"/>
        <v>Active</v>
      </c>
      <c r="X296" s="19" t="s">
        <v>1266</v>
      </c>
      <c r="Y296" s="18" t="str">
        <f t="shared" si="52"/>
        <v>Rs. 89,361</v>
      </c>
      <c r="Z296" s="22" t="str" cm="1">
        <f t="array" ref="Z296">_xlfn.IFS(Y296="","0",LEFT(Y296,5)="",Y296,LEFT(Y296,1)="₹",REPLACE(Y296,1,1,""),LEFT(Y296,4)="Rs. ",REPLACE(Y296,1,4,""),TRUE,Y296)</f>
        <v>89,361</v>
      </c>
      <c r="AA296" s="22" t="str">
        <f t="shared" si="53"/>
        <v>89361</v>
      </c>
      <c r="AB296" s="7" t="s">
        <v>144</v>
      </c>
      <c r="AC296" s="7" t="str">
        <f t="shared" si="54"/>
        <v>Poor</v>
      </c>
      <c r="AD296" s="7">
        <v>19</v>
      </c>
      <c r="AE296" cm="1">
        <f t="array" ref="AE296">_xlfn.IFS(AD296="",0,AD296&lt;0,"Negate Leave",AD296&gt;=0,AD296)</f>
        <v>19</v>
      </c>
    </row>
    <row r="297" spans="1:31" x14ac:dyDescent="0.3">
      <c r="A297" s="7">
        <v>5091</v>
      </c>
      <c r="B297" s="7" t="s">
        <v>311</v>
      </c>
      <c r="C297" s="7" t="str">
        <f t="shared" si="49"/>
        <v>Divya Shah</v>
      </c>
      <c r="D297" s="7" t="str">
        <f t="shared" si="50"/>
        <v>Divya Shah</v>
      </c>
      <c r="E297" s="7" t="s">
        <v>61</v>
      </c>
      <c r="F297" s="7" t="s">
        <v>133</v>
      </c>
      <c r="G297" s="7" t="s">
        <v>69</v>
      </c>
      <c r="H297" s="7" t="str">
        <f>_xlfn.XLOOKUP(G297,Lookup_Tables!$A$4:$A$9,Lookup_Tables!$C$4:$C$9,"Not Found",0)</f>
        <v>Vivek Malhotra</v>
      </c>
      <c r="I297" s="7" t="s">
        <v>62</v>
      </c>
      <c r="J297" s="7" t="s">
        <v>1268</v>
      </c>
      <c r="K297" s="7" t="str">
        <f t="shared" si="51"/>
        <v>isha.kapoor@company.com</v>
      </c>
      <c r="L297" s="7" t="s">
        <v>1269</v>
      </c>
      <c r="M297" s="7" t="str">
        <f t="shared" si="48"/>
        <v>6264525235</v>
      </c>
      <c r="N297" s="7" t="str" cm="1">
        <f t="array" ref="N297">_xlfn.IFS(M297="","Incomplete",LEN(M297)&lt;10,"Invalid",AND(LEN(M297) =10,LEFT(M297,4) &lt;&gt;"+91-"),"+91-"&amp;M297,TRUE,M297)</f>
        <v>+91-6264525235</v>
      </c>
      <c r="O297" s="8" t="s">
        <v>1270</v>
      </c>
      <c r="P297" s="14" t="s">
        <v>114</v>
      </c>
      <c r="Q297" s="14" t="str">
        <f t="shared" si="55"/>
        <v>Still Employed</v>
      </c>
      <c r="R297" s="14" t="str" cm="1">
        <f t="array" ref="R297">_xlfn.IFS(OR(Q297="Missing",Q297="N/A",Q297="Still Employed"),Q297,ISNUMBER(SEARCH(",",Q297)),DATEVALUE(Q297),AND(ISNUMBER(SEARCH("-",Q297)),ISNUMBER(VALUE(LEFT(Q297,4)))),DATE(LEFT(Q297,4),MID(Q297,6,2),RIGHT(Q297,2)),ISNUMBER(SEARCH("-",Q297)),DATE(RIGHT(Q297,4),MID(Q297,4,2),LEFT(Q297,2)),ISNUMBER(SEARCH("/",Q297)),DATE(RIGHT(Q297,4),MID(Q297,4,2),LEFT(Q297,2)),TRUE,"Check Manually")</f>
        <v>Still Employed</v>
      </c>
      <c r="S297" s="31" t="str">
        <f t="shared" ca="1" si="56"/>
        <v>3 Years, 7 Months, 5 Days</v>
      </c>
      <c r="T297" s="31">
        <f t="shared" ca="1" si="57"/>
        <v>1313.83</v>
      </c>
      <c r="U297" s="31" t="str" cm="1">
        <f t="array" ref="U297">_xlfn.IFS(OR(R297="Missing",R297="N/A",R297="Still Employed"),"Unknown",ISNUMBER(R297),"Exited",TRUE,"Unknown")</f>
        <v>Unknown</v>
      </c>
      <c r="V297" s="31" t="str">
        <f t="shared" si="58"/>
        <v/>
      </c>
      <c r="W297" s="14" t="str">
        <f t="shared" si="59"/>
        <v>Active</v>
      </c>
      <c r="X297" s="19">
        <v>98368</v>
      </c>
      <c r="Y297" s="18" t="str">
        <f t="shared" si="52"/>
        <v>98368</v>
      </c>
      <c r="Z297" s="22" t="str" cm="1">
        <f t="array" ref="Z297">_xlfn.IFS(Y297="","0",LEFT(Y297,5)="",Y297,LEFT(Y297,1)="₹",REPLACE(Y297,1,1,""),LEFT(Y297,4)="Rs. ",REPLACE(Y297,1,4,""),TRUE,Y297)</f>
        <v>98368</v>
      </c>
      <c r="AA297" s="22" t="str">
        <f t="shared" si="53"/>
        <v>98368</v>
      </c>
      <c r="AB297" s="7" t="s">
        <v>127</v>
      </c>
      <c r="AC297" s="7" t="str">
        <f t="shared" si="54"/>
        <v>Good</v>
      </c>
      <c r="AD297" s="7">
        <v>7</v>
      </c>
      <c r="AE297" cm="1">
        <f t="array" ref="AE297">_xlfn.IFS(AD297="",0,AD297&lt;0,"Negate Leave",AD297&gt;=0,AD297)</f>
        <v>7</v>
      </c>
    </row>
    <row r="298" spans="1:31" x14ac:dyDescent="0.3">
      <c r="A298" s="7">
        <v>5188</v>
      </c>
      <c r="B298" s="7" t="s">
        <v>1260</v>
      </c>
      <c r="C298" s="7" t="str">
        <f t="shared" si="49"/>
        <v>SNEHA AGARWAL</v>
      </c>
      <c r="D298" s="7" t="str">
        <f t="shared" si="50"/>
        <v>Sneha Agarwal</v>
      </c>
      <c r="E298" s="7" t="s">
        <v>84</v>
      </c>
      <c r="F298" s="7" t="s">
        <v>133</v>
      </c>
      <c r="G298" s="7" t="s">
        <v>69</v>
      </c>
      <c r="H298" s="7" t="str">
        <f>_xlfn.XLOOKUP(G298,Lookup_Tables!$A$4:$A$9,Lookup_Tables!$C$4:$C$9,"Not Found",0)</f>
        <v>Vivek Malhotra</v>
      </c>
      <c r="I298" s="7" t="s">
        <v>175</v>
      </c>
      <c r="J298" s="7" t="s">
        <v>1272</v>
      </c>
      <c r="K298" s="7" t="str">
        <f t="shared" si="51"/>
        <v>sneha.naidu@company.com</v>
      </c>
      <c r="L298" s="7" t="s">
        <v>1273</v>
      </c>
      <c r="M298" s="7" t="str">
        <f t="shared" si="48"/>
        <v>3765928697</v>
      </c>
      <c r="N298" s="7" t="str" cm="1">
        <f t="array" ref="N298">_xlfn.IFS(M298="","Incomplete",LEN(M298)&lt;10,"Invalid",AND(LEN(M298) =10,LEFT(M298,4) &lt;&gt;"+91-"),"+91-"&amp;M298,TRUE,M298)</f>
        <v>+91-3765928697</v>
      </c>
      <c r="O298" s="8" t="s">
        <v>348</v>
      </c>
      <c r="P298" s="14" t="s">
        <v>1274</v>
      </c>
      <c r="Q298" s="14" t="str">
        <f t="shared" si="55"/>
        <v>2024-09-07</v>
      </c>
      <c r="R298" s="14" cm="1">
        <f t="array" ref="R298">_xlfn.IFS(OR(Q298="Missing",Q298="N/A",Q298="Still Employed"),Q298,ISNUMBER(SEARCH(",",Q298)),DATEVALUE(Q298),AND(ISNUMBER(SEARCH("-",Q298)),ISNUMBER(VALUE(LEFT(Q298,4)))),DATE(LEFT(Q298,4),MID(Q298,6,2),RIGHT(Q298,2)),ISNUMBER(SEARCH("-",Q298)),DATE(RIGHT(Q298,4),MID(Q298,4,2),LEFT(Q298,2)),ISNUMBER(SEARCH("/",Q298)),DATE(RIGHT(Q298,4),MID(Q298,4,2),LEFT(Q298,2)),TRUE,"Check Manually")</f>
        <v>45542</v>
      </c>
      <c r="S298" s="31" t="str">
        <f t="shared" ca="1" si="56"/>
        <v>5 Years, 5 Months, 6 Days</v>
      </c>
      <c r="T298" s="31">
        <f t="shared" ca="1" si="57"/>
        <v>1984.45</v>
      </c>
      <c r="U298" s="31" t="str" cm="1">
        <f t="array" ref="U298">_xlfn.IFS(OR(R298="Missing",R298="N/A",R298="Still Employed"),"Unknown",ISNUMBER(R298),"Exited",TRUE,"Unknown")</f>
        <v>Exited</v>
      </c>
      <c r="V298" s="31">
        <f t="shared" si="58"/>
        <v>2024</v>
      </c>
      <c r="W298" s="14" t="str">
        <f t="shared" si="59"/>
        <v>Exited</v>
      </c>
      <c r="X298" s="19" t="s">
        <v>1275</v>
      </c>
      <c r="Y298" s="18" t="str">
        <f t="shared" si="52"/>
        <v>53,442</v>
      </c>
      <c r="Z298" s="22" t="str" cm="1">
        <f t="array" ref="Z298">_xlfn.IFS(Y298="","0",LEFT(Y298,5)="",Y298,LEFT(Y298,1)="₹",REPLACE(Y298,1,1,""),LEFT(Y298,4)="Rs. ",REPLACE(Y298,1,4,""),TRUE,Y298)</f>
        <v>53,442</v>
      </c>
      <c r="AA298" s="22" t="str">
        <f t="shared" si="53"/>
        <v>53442</v>
      </c>
      <c r="AB298" s="7" t="s">
        <v>95</v>
      </c>
      <c r="AC298" s="7" t="str">
        <f t="shared" si="54"/>
        <v>Average</v>
      </c>
      <c r="AD298" s="7">
        <v>2</v>
      </c>
      <c r="AE298" cm="1">
        <f t="array" ref="AE298">_xlfn.IFS(AD298="",0,AD298&lt;0,"Negate Leave",AD298&gt;=0,AD298)</f>
        <v>2</v>
      </c>
    </row>
    <row r="299" spans="1:31" x14ac:dyDescent="0.3">
      <c r="A299" s="7">
        <v>5245</v>
      </c>
      <c r="B299" s="7" t="s">
        <v>918</v>
      </c>
      <c r="C299" s="7" t="str">
        <f t="shared" si="49"/>
        <v>Anjali Saxena</v>
      </c>
      <c r="D299" s="7" t="str">
        <f t="shared" si="50"/>
        <v>Anjali Saxena</v>
      </c>
      <c r="E299" s="7" t="s">
        <v>68</v>
      </c>
      <c r="F299" s="7" t="s">
        <v>151</v>
      </c>
      <c r="G299" s="7" t="s">
        <v>76</v>
      </c>
      <c r="H299" s="7" t="str">
        <f>_xlfn.XLOOKUP(G299,Lookup_Tables!$A$4:$A$9,Lookup_Tables!$C$4:$C$9,"Not Found",0)</f>
        <v>Ananya Sen</v>
      </c>
      <c r="I299" s="7" t="s">
        <v>110</v>
      </c>
      <c r="J299" s="7" t="s">
        <v>1213</v>
      </c>
      <c r="K299" s="7" t="str">
        <f t="shared" si="51"/>
        <v>rajesh.mehta@company.com</v>
      </c>
      <c r="L299" s="7" t="s">
        <v>1276</v>
      </c>
      <c r="M299" s="7" t="str">
        <f t="shared" si="48"/>
        <v>7124248109</v>
      </c>
      <c r="N299" s="7" t="str" cm="1">
        <f t="array" ref="N299">_xlfn.IFS(M299="","Incomplete",LEN(M299)&lt;10,"Invalid",AND(LEN(M299) =10,LEFT(M299,4) &lt;&gt;"+91-"),"+91-"&amp;M299,TRUE,M299)</f>
        <v>+91-7124248109</v>
      </c>
      <c r="O299" s="8" t="s">
        <v>1277</v>
      </c>
      <c r="P299" s="14" t="s">
        <v>1278</v>
      </c>
      <c r="Q299" s="14" t="str">
        <f t="shared" si="55"/>
        <v>Aug 26, 2022</v>
      </c>
      <c r="R299" s="14" cm="1">
        <f t="array" ref="R299">_xlfn.IFS(OR(Q299="Missing",Q299="N/A",Q299="Still Employed"),Q299,ISNUMBER(SEARCH(",",Q299)),DATEVALUE(Q299),AND(ISNUMBER(SEARCH("-",Q299)),ISNUMBER(VALUE(LEFT(Q299,4)))),DATE(LEFT(Q299,4),MID(Q299,6,2),RIGHT(Q299,2)),ISNUMBER(SEARCH("-",Q299)),DATE(RIGHT(Q299,4),MID(Q299,4,2),LEFT(Q299,2)),ISNUMBER(SEARCH("/",Q299)),DATE(RIGHT(Q299,4),MID(Q299,4,2),LEFT(Q299,2)),TRUE,"Check Manually")</f>
        <v>44799</v>
      </c>
      <c r="S299" s="31" t="str">
        <f t="shared" ca="1" si="56"/>
        <v>2 Years, 2 Months, 16 Days</v>
      </c>
      <c r="T299" s="31">
        <f t="shared" ca="1" si="57"/>
        <v>807.38</v>
      </c>
      <c r="U299" s="31" t="str" cm="1">
        <f t="array" ref="U299">_xlfn.IFS(OR(R299="Missing",R299="N/A",R299="Still Employed"),"Unknown",ISNUMBER(R299),"Exited",TRUE,"Unknown")</f>
        <v>Exited</v>
      </c>
      <c r="V299" s="31">
        <f t="shared" si="58"/>
        <v>2022</v>
      </c>
      <c r="W299" s="14" t="str">
        <f t="shared" si="59"/>
        <v>Exited</v>
      </c>
      <c r="X299" s="19">
        <v>94837</v>
      </c>
      <c r="Y299" s="18" t="str">
        <f t="shared" si="52"/>
        <v>94837</v>
      </c>
      <c r="Z299" s="22" t="str" cm="1">
        <f t="array" ref="Z299">_xlfn.IFS(Y299="","0",LEFT(Y299,5)="",Y299,LEFT(Y299,1)="₹",REPLACE(Y299,1,1,""),LEFT(Y299,4)="Rs. ",REPLACE(Y299,1,4,""),TRUE,Y299)</f>
        <v>94837</v>
      </c>
      <c r="AA299" s="22" t="str">
        <f t="shared" si="53"/>
        <v>94837</v>
      </c>
      <c r="AB299" s="7"/>
      <c r="AC299" s="7" t="str">
        <f t="shared" si="54"/>
        <v>Not Rated</v>
      </c>
      <c r="AD299" s="7">
        <v>-1</v>
      </c>
      <c r="AE299" t="str" cm="1">
        <f t="array" ref="AE299">_xlfn.IFS(AD299="",0,AD299&lt;0,"Negate Leave",AD299&gt;=0,AD299)</f>
        <v>Negate Leave</v>
      </c>
    </row>
    <row r="300" spans="1:31" x14ac:dyDescent="0.3">
      <c r="A300" s="7">
        <v>5140</v>
      </c>
      <c r="B300" s="7" t="s">
        <v>1267</v>
      </c>
      <c r="C300" s="7" t="str">
        <f t="shared" si="49"/>
        <v>Isha Kapoor</v>
      </c>
      <c r="D300" s="7" t="str">
        <f t="shared" si="50"/>
        <v>Isha Kapoor</v>
      </c>
      <c r="E300" s="7" t="s">
        <v>84</v>
      </c>
      <c r="F300" s="7" t="s">
        <v>133</v>
      </c>
      <c r="G300" s="7" t="s">
        <v>69</v>
      </c>
      <c r="H300" s="7" t="str">
        <f>_xlfn.XLOOKUP(G300,Lookup_Tables!$A$4:$A$9,Lookup_Tables!$C$4:$C$9,"Not Found",0)</f>
        <v>Vivek Malhotra</v>
      </c>
      <c r="I300" s="7" t="s">
        <v>62</v>
      </c>
      <c r="J300" s="7" t="s">
        <v>1280</v>
      </c>
      <c r="K300" s="7" t="str">
        <f t="shared" si="51"/>
        <v>deepak.kulkarni@company.com</v>
      </c>
      <c r="L300" s="7" t="s">
        <v>1281</v>
      </c>
      <c r="M300" s="7" t="str">
        <f t="shared" si="48"/>
        <v>+91-8452984153</v>
      </c>
      <c r="N300" s="7" t="str" cm="1">
        <f t="array" ref="N300">_xlfn.IFS(M300="","Incomplete",LEN(M300)&lt;10,"Invalid",AND(LEN(M300) =10,LEFT(M300,4) &lt;&gt;"+91-"),"+91-"&amp;M300,TRUE,M300)</f>
        <v>+91-8452984153</v>
      </c>
      <c r="O300" s="8" t="s">
        <v>1282</v>
      </c>
      <c r="P300" s="14" t="s">
        <v>126</v>
      </c>
      <c r="Q300" s="14" t="str">
        <f t="shared" si="55"/>
        <v>N/A</v>
      </c>
      <c r="R300" s="14" t="str" cm="1">
        <f t="array" ref="R300">_xlfn.IFS(OR(Q300="Missing",Q300="N/A",Q300="Still Employed"),Q300,ISNUMBER(SEARCH(",",Q300)),DATEVALUE(Q300),AND(ISNUMBER(SEARCH("-",Q300)),ISNUMBER(VALUE(LEFT(Q300,4)))),DATE(LEFT(Q300,4),MID(Q300,6,2),RIGHT(Q300,2)),ISNUMBER(SEARCH("-",Q300)),DATE(RIGHT(Q300,4),MID(Q300,4,2),LEFT(Q300,2)),ISNUMBER(SEARCH("/",Q300)),DATE(RIGHT(Q300,4),MID(Q300,4,2),LEFT(Q300,2)),TRUE,"Check Manually")</f>
        <v>N/A</v>
      </c>
      <c r="S300" s="31" t="str">
        <f t="shared" ca="1" si="56"/>
        <v>4 Years, 2 Months, 17 Days</v>
      </c>
      <c r="T300" s="31">
        <f t="shared" ca="1" si="57"/>
        <v>1538.88</v>
      </c>
      <c r="U300" s="31" t="str" cm="1">
        <f t="array" ref="U300">_xlfn.IFS(OR(R300="Missing",R300="N/A",R300="Still Employed"),"Unknown",ISNUMBER(R300),"Exited",TRUE,"Unknown")</f>
        <v>Unknown</v>
      </c>
      <c r="V300" s="31" t="str">
        <f t="shared" si="58"/>
        <v/>
      </c>
      <c r="W300" s="14" t="str">
        <f t="shared" si="59"/>
        <v>Active</v>
      </c>
      <c r="X300" s="19" t="s">
        <v>1283</v>
      </c>
      <c r="Y300" s="18" t="str">
        <f t="shared" si="52"/>
        <v>Rs. 90,236</v>
      </c>
      <c r="Z300" s="22" t="str" cm="1">
        <f t="array" ref="Z300">_xlfn.IFS(Y300="","0",LEFT(Y300,5)="",Y300,LEFT(Y300,1)="₹",REPLACE(Y300,1,1,""),LEFT(Y300,4)="Rs. ",REPLACE(Y300,1,4,""),TRUE,Y300)</f>
        <v>90,236</v>
      </c>
      <c r="AA300" s="22" t="str">
        <f t="shared" si="53"/>
        <v>90236</v>
      </c>
      <c r="AB300" s="7" t="s">
        <v>127</v>
      </c>
      <c r="AC300" s="7" t="str">
        <f t="shared" si="54"/>
        <v>Good</v>
      </c>
      <c r="AD300" s="7"/>
      <c r="AE300" cm="1">
        <f t="array" ref="AE300">_xlfn.IFS(AD300="",0,AD300&lt;0,"Negate Leave",AD300&gt;=0,AD300)</f>
        <v>0</v>
      </c>
    </row>
    <row r="301" spans="1:31" x14ac:dyDescent="0.3">
      <c r="A301" s="7">
        <v>5331</v>
      </c>
      <c r="B301" s="7" t="s">
        <v>1271</v>
      </c>
      <c r="C301" s="7" t="str">
        <f t="shared" si="49"/>
        <v>Sneha Naidu</v>
      </c>
      <c r="D301" s="7" t="str">
        <f t="shared" si="50"/>
        <v>Sneha Naidu</v>
      </c>
      <c r="E301" s="7" t="s">
        <v>68</v>
      </c>
      <c r="F301" s="7" t="s">
        <v>53</v>
      </c>
      <c r="G301" s="7" t="s">
        <v>54</v>
      </c>
      <c r="H301" s="7" t="str">
        <f>_xlfn.XLOOKUP(G301,Lookup_Tables!$A$4:$A$9,Lookup_Tables!$C$4:$C$9,"Not Found",0)</f>
        <v>Leela Iyer</v>
      </c>
      <c r="I301" s="7" t="s">
        <v>175</v>
      </c>
      <c r="J301" s="7" t="s">
        <v>1285</v>
      </c>
      <c r="K301" s="7" t="str">
        <f t="shared" si="51"/>
        <v>sanjay.chopra@company.com</v>
      </c>
      <c r="L301" s="7" t="s">
        <v>1286</v>
      </c>
      <c r="M301" s="7" t="str">
        <f t="shared" si="48"/>
        <v>8866750957</v>
      </c>
      <c r="N301" s="7" t="str" cm="1">
        <f t="array" ref="N301">_xlfn.IFS(M301="","Incomplete",LEN(M301)&lt;10,"Invalid",AND(LEN(M301) =10,LEFT(M301,4) &lt;&gt;"+91-"),"+91-"&amp;M301,TRUE,M301)</f>
        <v>+91-8866750957</v>
      </c>
      <c r="O301" s="8" t="s">
        <v>1287</v>
      </c>
      <c r="P301" s="14" t="s">
        <v>126</v>
      </c>
      <c r="Q301" s="14" t="str">
        <f t="shared" si="55"/>
        <v>N/A</v>
      </c>
      <c r="R301" s="14" t="str" cm="1">
        <f t="array" ref="R301">_xlfn.IFS(OR(Q301="Missing",Q301="N/A",Q301="Still Employed"),Q301,ISNUMBER(SEARCH(",",Q301)),DATEVALUE(Q301),AND(ISNUMBER(SEARCH("-",Q301)),ISNUMBER(VALUE(LEFT(Q301,4)))),DATE(LEFT(Q301,4),MID(Q301,6,2),RIGHT(Q301,2)),ISNUMBER(SEARCH("-",Q301)),DATE(RIGHT(Q301,4),MID(Q301,4,2),LEFT(Q301,2)),ISNUMBER(SEARCH("/",Q301)),DATE(RIGHT(Q301,4),MID(Q301,4,2),LEFT(Q301,2)),TRUE,"Check Manually")</f>
        <v>N/A</v>
      </c>
      <c r="S301" s="31" t="str">
        <f t="shared" ca="1" si="56"/>
        <v>8 Years, 0 Months, 7 Days</v>
      </c>
      <c r="T301" s="31">
        <f t="shared" ca="1" si="57"/>
        <v>2929</v>
      </c>
      <c r="U301" s="31" t="str" cm="1">
        <f t="array" ref="U301">_xlfn.IFS(OR(R301="Missing",R301="N/A",R301="Still Employed"),"Unknown",ISNUMBER(R301),"Exited",TRUE,"Unknown")</f>
        <v>Unknown</v>
      </c>
      <c r="V301" s="31" t="str">
        <f t="shared" si="58"/>
        <v/>
      </c>
      <c r="W301" s="14" t="str">
        <f t="shared" si="59"/>
        <v>Active</v>
      </c>
      <c r="X301" s="19">
        <v>113595</v>
      </c>
      <c r="Y301" s="18" t="str">
        <f t="shared" si="52"/>
        <v>113595</v>
      </c>
      <c r="Z301" s="22" t="str" cm="1">
        <f t="array" ref="Z301">_xlfn.IFS(Y301="","0",LEFT(Y301,5)="",Y301,LEFT(Y301,1)="₹",REPLACE(Y301,1,1,""),LEFT(Y301,4)="Rs. ",REPLACE(Y301,1,4,""),TRUE,Y301)</f>
        <v>113595</v>
      </c>
      <c r="AA301" s="22" t="str">
        <f t="shared" si="53"/>
        <v>113595</v>
      </c>
      <c r="AB301" s="7" t="s">
        <v>51</v>
      </c>
      <c r="AC301" s="7" t="str">
        <f t="shared" si="54"/>
        <v>Excellent</v>
      </c>
      <c r="AD301" s="7">
        <v>10</v>
      </c>
      <c r="AE301" cm="1">
        <f t="array" ref="AE301">_xlfn.IFS(AD301="",0,AD301&lt;0,"Negate Leave",AD301&gt;=0,AD301)</f>
        <v>10</v>
      </c>
    </row>
    <row r="302" spans="1:31" x14ac:dyDescent="0.3">
      <c r="A302" s="7">
        <v>5022</v>
      </c>
      <c r="B302" s="7" t="s">
        <v>1279</v>
      </c>
      <c r="C302" s="7" t="str">
        <f t="shared" si="49"/>
        <v>Deepak Kulkarni</v>
      </c>
      <c r="D302" s="7" t="str">
        <f t="shared" si="50"/>
        <v>Deepak Kulkarni</v>
      </c>
      <c r="E302" s="7" t="s">
        <v>84</v>
      </c>
      <c r="F302" s="7" t="s">
        <v>53</v>
      </c>
      <c r="G302" s="7" t="s">
        <v>54</v>
      </c>
      <c r="H302" s="7" t="str">
        <f>_xlfn.XLOOKUP(G302,Lookup_Tables!$A$4:$A$9,Lookup_Tables!$C$4:$C$9,"Not Found",0)</f>
        <v>Leela Iyer</v>
      </c>
      <c r="I302" s="7" t="s">
        <v>62</v>
      </c>
      <c r="J302" s="7" t="s">
        <v>1291</v>
      </c>
      <c r="K302" s="7" t="str">
        <f t="shared" si="51"/>
        <v>sanjay.pillai@company.com</v>
      </c>
      <c r="L302" s="7" t="s">
        <v>1292</v>
      </c>
      <c r="M302" s="7" t="str">
        <f t="shared" si="48"/>
        <v>3335851907</v>
      </c>
      <c r="N302" s="7" t="str" cm="1">
        <f t="array" ref="N302">_xlfn.IFS(M302="","Incomplete",LEN(M302)&lt;10,"Invalid",AND(LEN(M302) =10,LEFT(M302,4) &lt;&gt;"+91-"),"+91-"&amp;M302,TRUE,M302)</f>
        <v>+91-3335851907</v>
      </c>
      <c r="O302" s="8" t="s">
        <v>1293</v>
      </c>
      <c r="P302" s="14" t="s">
        <v>74</v>
      </c>
      <c r="Q302" s="14" t="str">
        <f t="shared" si="55"/>
        <v>Jun 30, 2025</v>
      </c>
      <c r="R302" s="14" cm="1">
        <f t="array" ref="R302">_xlfn.IFS(OR(Q302="Missing",Q302="N/A",Q302="Still Employed"),Q302,ISNUMBER(SEARCH(",",Q302)),DATEVALUE(Q302),AND(ISNUMBER(SEARCH("-",Q302)),ISNUMBER(VALUE(LEFT(Q302,4)))),DATE(LEFT(Q302,4),MID(Q302,6,2),RIGHT(Q302,2)),ISNUMBER(SEARCH("-",Q302)),DATE(RIGHT(Q302,4),MID(Q302,4,2),LEFT(Q302,2)),ISNUMBER(SEARCH("/",Q302)),DATE(RIGHT(Q302,4),MID(Q302,4,2),LEFT(Q302,2)),TRUE,"Check Manually")</f>
        <v>45838</v>
      </c>
      <c r="S302" s="31" t="str">
        <f t="shared" ca="1" si="56"/>
        <v>1 Years, 0 Months, 24 Days</v>
      </c>
      <c r="T302" s="31">
        <f t="shared" ca="1" si="57"/>
        <v>389.25</v>
      </c>
      <c r="U302" s="31" t="str" cm="1">
        <f t="array" ref="U302">_xlfn.IFS(OR(R302="Missing",R302="N/A",R302="Still Employed"),"Unknown",ISNUMBER(R302),"Exited",TRUE,"Unknown")</f>
        <v>Exited</v>
      </c>
      <c r="V302" s="31">
        <f t="shared" si="58"/>
        <v>2025</v>
      </c>
      <c r="W302" s="14" t="str">
        <f t="shared" si="59"/>
        <v>Exited</v>
      </c>
      <c r="X302" s="19" t="s">
        <v>1294</v>
      </c>
      <c r="Y302" s="18" t="str">
        <f t="shared" si="52"/>
        <v>170,930</v>
      </c>
      <c r="Z302" s="22" t="str" cm="1">
        <f t="array" ref="Z302">_xlfn.IFS(Y302="","0",LEFT(Y302,5)="",Y302,LEFT(Y302,1)="₹",REPLACE(Y302,1,1,""),LEFT(Y302,4)="Rs. ",REPLACE(Y302,1,4,""),TRUE,Y302)</f>
        <v>170,930</v>
      </c>
      <c r="AA302" s="22" t="str">
        <f t="shared" si="53"/>
        <v>170930</v>
      </c>
      <c r="AB302" s="7" t="s">
        <v>127</v>
      </c>
      <c r="AC302" s="7" t="str">
        <f t="shared" si="54"/>
        <v>Good</v>
      </c>
      <c r="AD302" s="7">
        <v>-1</v>
      </c>
      <c r="AE302" t="str" cm="1">
        <f t="array" ref="AE302">_xlfn.IFS(AD302="",0,AD302&lt;0,"Negate Leave",AD302&gt;=0,AD302)</f>
        <v>Negate Leave</v>
      </c>
    </row>
    <row r="303" spans="1:31" x14ac:dyDescent="0.3">
      <c r="A303" s="7">
        <v>5086</v>
      </c>
      <c r="B303" s="7" t="s">
        <v>1284</v>
      </c>
      <c r="C303" s="7" t="str">
        <f t="shared" si="49"/>
        <v>Sanjay Chopra</v>
      </c>
      <c r="D303" s="7" t="str">
        <f t="shared" si="50"/>
        <v>Sanjay Chopra</v>
      </c>
      <c r="E303" s="7" t="s">
        <v>68</v>
      </c>
      <c r="F303" s="7" t="s">
        <v>151</v>
      </c>
      <c r="G303" s="7" t="s">
        <v>76</v>
      </c>
      <c r="H303" s="7" t="str">
        <f>_xlfn.XLOOKUP(G303,Lookup_Tables!$A$4:$A$9,Lookup_Tables!$C$4:$C$9,"Not Found",0)</f>
        <v>Ananya Sen</v>
      </c>
      <c r="I303" s="7" t="s">
        <v>77</v>
      </c>
      <c r="J303" s="7" t="s">
        <v>749</v>
      </c>
      <c r="K303" s="7" t="str">
        <f t="shared" si="51"/>
        <v>ritu.gupta@company.com</v>
      </c>
      <c r="L303" s="7"/>
      <c r="M303" s="7" t="str">
        <f t="shared" si="48"/>
        <v/>
      </c>
      <c r="N303" s="7" t="str" cm="1">
        <f t="array" ref="N303">_xlfn.IFS(M303="","Incomplete",LEN(M303)&lt;10,"Invalid",AND(LEN(M303) =10,LEFT(M303,4) &lt;&gt;"+91-"),"+91-"&amp;M303,TRUE,M303)</f>
        <v>Incomplete</v>
      </c>
      <c r="O303" s="8" t="s">
        <v>1296</v>
      </c>
      <c r="P303" s="14" t="s">
        <v>1297</v>
      </c>
      <c r="Q303" s="14" t="str">
        <f t="shared" si="55"/>
        <v>2022-12-28</v>
      </c>
      <c r="R303" s="14" cm="1">
        <f t="array" ref="R303">_xlfn.IFS(OR(Q303="Missing",Q303="N/A",Q303="Still Employed"),Q303,ISNUMBER(SEARCH(",",Q303)),DATEVALUE(Q303),AND(ISNUMBER(SEARCH("-",Q303)),ISNUMBER(VALUE(LEFT(Q303,4)))),DATE(LEFT(Q303,4),MID(Q303,6,2),RIGHT(Q303,2)),ISNUMBER(SEARCH("-",Q303)),DATE(RIGHT(Q303,4),MID(Q303,4,2),LEFT(Q303,2)),ISNUMBER(SEARCH("/",Q303)),DATE(RIGHT(Q303,4),MID(Q303,4,2),LEFT(Q303,2)),TRUE,"Check Manually")</f>
        <v>44923</v>
      </c>
      <c r="S303" s="31" t="str">
        <f t="shared" ca="1" si="56"/>
        <v>4 Years, 6 Months, 18 Days</v>
      </c>
      <c r="T303" s="31">
        <f t="shared" ca="1" si="57"/>
        <v>1661.64</v>
      </c>
      <c r="U303" s="31" t="str" cm="1">
        <f t="array" ref="U303">_xlfn.IFS(OR(R303="Missing",R303="N/A",R303="Still Employed"),"Unknown",ISNUMBER(R303),"Exited",TRUE,"Unknown")</f>
        <v>Exited</v>
      </c>
      <c r="V303" s="31">
        <f t="shared" si="58"/>
        <v>2022</v>
      </c>
      <c r="W303" s="14" t="str">
        <f t="shared" si="59"/>
        <v>Exited</v>
      </c>
      <c r="X303" s="19"/>
      <c r="Y303" s="18" t="str">
        <f t="shared" si="52"/>
        <v/>
      </c>
      <c r="Z303" s="22" t="str" cm="1">
        <f t="array" ref="Z303">_xlfn.IFS(Y303="","0",LEFT(Y303,5)="",Y303,LEFT(Y303,1)="₹",REPLACE(Y303,1,1,""),LEFT(Y303,4)="Rs. ",REPLACE(Y303,1,4,""),TRUE,Y303)</f>
        <v>0</v>
      </c>
      <c r="AA303" s="22" t="str">
        <f t="shared" si="53"/>
        <v>0</v>
      </c>
      <c r="AB303" s="7" t="s">
        <v>51</v>
      </c>
      <c r="AC303" s="7" t="str">
        <f t="shared" si="54"/>
        <v>Excellent</v>
      </c>
      <c r="AD303" s="7">
        <v>25</v>
      </c>
      <c r="AE303" cm="1">
        <f t="array" ref="AE303">_xlfn.IFS(AD303="",0,AD303&lt;0,"Negate Leave",AD303&gt;=0,AD303)</f>
        <v>25</v>
      </c>
    </row>
    <row r="304" spans="1:31" x14ac:dyDescent="0.3">
      <c r="A304" s="7">
        <v>5266</v>
      </c>
      <c r="B304" s="7" t="s">
        <v>1288</v>
      </c>
      <c r="C304" s="7" t="str">
        <f t="shared" si="49"/>
        <v>KIRTI KAPOOR</v>
      </c>
      <c r="D304" s="7" t="str">
        <f t="shared" si="50"/>
        <v>Kirti Kapoor</v>
      </c>
      <c r="E304" s="7" t="s">
        <v>61</v>
      </c>
      <c r="F304" s="7" t="s">
        <v>389</v>
      </c>
      <c r="G304" s="7" t="s">
        <v>140</v>
      </c>
      <c r="H304" s="7" t="str">
        <f>_xlfn.XLOOKUP(G304,Lookup_Tables!$A$4:$A$9,Lookup_Tables!$C$4:$C$9,"Not Found",0)</f>
        <v>Sunita Rao</v>
      </c>
      <c r="I304" s="7" t="s">
        <v>62</v>
      </c>
      <c r="J304" s="7" t="s">
        <v>97</v>
      </c>
      <c r="K304" s="7" t="str">
        <f t="shared" si="51"/>
        <v>meenal.pillai@company.com</v>
      </c>
      <c r="L304" s="7" t="s">
        <v>1299</v>
      </c>
      <c r="M304" s="7" t="str">
        <f t="shared" si="48"/>
        <v>8281264644</v>
      </c>
      <c r="N304" s="7" t="str" cm="1">
        <f t="array" ref="N304">_xlfn.IFS(M304="","Incomplete",LEN(M304)&lt;10,"Invalid",AND(LEN(M304) =10,LEFT(M304,4) &lt;&gt;"+91-"),"+91-"&amp;M304,TRUE,M304)</f>
        <v>+91-8281264644</v>
      </c>
      <c r="O304" s="8" t="s">
        <v>1300</v>
      </c>
      <c r="P304" s="14"/>
      <c r="Q304" s="14" t="str">
        <f t="shared" si="55"/>
        <v>Missing</v>
      </c>
      <c r="R304" s="14" t="str" cm="1">
        <f t="array" ref="R304">_xlfn.IFS(OR(Q304="Missing",Q304="N/A",Q304="Still Employed"),Q304,ISNUMBER(SEARCH(",",Q304)),DATEVALUE(Q304),AND(ISNUMBER(SEARCH("-",Q304)),ISNUMBER(VALUE(LEFT(Q304,4)))),DATE(LEFT(Q304,4),MID(Q304,6,2),RIGHT(Q304,2)),ISNUMBER(SEARCH("-",Q304)),DATE(RIGHT(Q304,4),MID(Q304,4,2),LEFT(Q304,2)),ISNUMBER(SEARCH("/",Q304)),DATE(RIGHT(Q304,4),MID(Q304,4,2),LEFT(Q304,2)),TRUE,"Check Manually")</f>
        <v>Missing</v>
      </c>
      <c r="S304" s="31" t="str">
        <f t="shared" ca="1" si="56"/>
        <v>6 Years, 3 Months, 8 Days</v>
      </c>
      <c r="T304" s="31">
        <f t="shared" ca="1" si="57"/>
        <v>2290.8200000000002</v>
      </c>
      <c r="U304" s="31" t="str" cm="1">
        <f t="array" ref="U304">_xlfn.IFS(OR(R304="Missing",R304="N/A",R304="Still Employed"),"Unknown",ISNUMBER(R304),"Exited",TRUE,"Unknown")</f>
        <v>Unknown</v>
      </c>
      <c r="V304" s="31" t="str">
        <f t="shared" si="58"/>
        <v/>
      </c>
      <c r="W304" s="14" t="str">
        <f t="shared" si="59"/>
        <v>Active</v>
      </c>
      <c r="X304" s="19" t="s">
        <v>1301</v>
      </c>
      <c r="Y304" s="18" t="str">
        <f t="shared" si="52"/>
        <v>Rs. 161,748</v>
      </c>
      <c r="Z304" s="22" t="str" cm="1">
        <f t="array" ref="Z304">_xlfn.IFS(Y304="","0",LEFT(Y304,5)="",Y304,LEFT(Y304,1)="₹",REPLACE(Y304,1,1,""),LEFT(Y304,4)="Rs. ",REPLACE(Y304,1,4,""),TRUE,Y304)</f>
        <v>161,748</v>
      </c>
      <c r="AA304" s="22" t="str">
        <f t="shared" si="53"/>
        <v>161748</v>
      </c>
      <c r="AB304" s="7"/>
      <c r="AC304" s="7" t="str">
        <f t="shared" si="54"/>
        <v>Not Rated</v>
      </c>
      <c r="AD304" s="7">
        <v>25</v>
      </c>
      <c r="AE304" cm="1">
        <f t="array" ref="AE304">_xlfn.IFS(AD304="",0,AD304&lt;0,"Negate Leave",AD304&gt;=0,AD304)</f>
        <v>25</v>
      </c>
    </row>
    <row r="305" spans="1:31" x14ac:dyDescent="0.3">
      <c r="A305" s="7">
        <v>5341</v>
      </c>
      <c r="B305" s="7" t="s">
        <v>1295</v>
      </c>
      <c r="C305" s="7" t="str">
        <f t="shared" si="49"/>
        <v>Ritu Gupta</v>
      </c>
      <c r="D305" s="7" t="str">
        <f t="shared" si="50"/>
        <v>Ritu Gupta</v>
      </c>
      <c r="E305" s="7" t="s">
        <v>68</v>
      </c>
      <c r="F305" s="7" t="s">
        <v>389</v>
      </c>
      <c r="G305" s="7" t="s">
        <v>140</v>
      </c>
      <c r="H305" s="7" t="str">
        <f>_xlfn.XLOOKUP(G305,Lookup_Tables!$A$4:$A$9,Lookup_Tables!$C$4:$C$9,"Not Found",0)</f>
        <v>Sunita Rao</v>
      </c>
      <c r="I305" s="7" t="s">
        <v>85</v>
      </c>
      <c r="J305" s="7" t="s">
        <v>1285</v>
      </c>
      <c r="K305" s="7" t="str">
        <f t="shared" si="51"/>
        <v>sanjay.chopra@company.com</v>
      </c>
      <c r="L305" s="7" t="s">
        <v>1304</v>
      </c>
      <c r="M305" s="7" t="str">
        <f t="shared" si="48"/>
        <v>0040910686</v>
      </c>
      <c r="N305" s="7" t="str" cm="1">
        <f t="array" ref="N305">_xlfn.IFS(M305="","Incomplete",LEN(M305)&lt;10,"Invalid",AND(LEN(M305) =10,LEFT(M305,4) &lt;&gt;"+91-"),"+91-"&amp;M305,TRUE,M305)</f>
        <v>+91-0040910686</v>
      </c>
      <c r="O305" s="8" t="s">
        <v>1305</v>
      </c>
      <c r="P305" s="14"/>
      <c r="Q305" s="14" t="str">
        <f t="shared" si="55"/>
        <v>Missing</v>
      </c>
      <c r="R305" s="14" t="str" cm="1">
        <f t="array" ref="R305">_xlfn.IFS(OR(Q305="Missing",Q305="N/A",Q305="Still Employed"),Q305,ISNUMBER(SEARCH(",",Q305)),DATEVALUE(Q305),AND(ISNUMBER(SEARCH("-",Q305)),ISNUMBER(VALUE(LEFT(Q305,4)))),DATE(LEFT(Q305,4),MID(Q305,6,2),RIGHT(Q305,2)),ISNUMBER(SEARCH("-",Q305)),DATE(RIGHT(Q305,4),MID(Q305,4,2),LEFT(Q305,2)),ISNUMBER(SEARCH("/",Q305)),DATE(RIGHT(Q305,4),MID(Q305,4,2),LEFT(Q305,2)),TRUE,"Check Manually")</f>
        <v>Missing</v>
      </c>
      <c r="S305" s="31" t="str">
        <f t="shared" ca="1" si="56"/>
        <v>6 Years, 3 Months, 15 Days</v>
      </c>
      <c r="T305" s="31">
        <f t="shared" ca="1" si="57"/>
        <v>2297.8200000000002</v>
      </c>
      <c r="U305" s="31" t="str" cm="1">
        <f t="array" ref="U305">_xlfn.IFS(OR(R305="Missing",R305="N/A",R305="Still Employed"),"Unknown",ISNUMBER(R305),"Exited",TRUE,"Unknown")</f>
        <v>Unknown</v>
      </c>
      <c r="V305" s="31" t="str">
        <f t="shared" si="58"/>
        <v/>
      </c>
      <c r="W305" s="14" t="str">
        <f t="shared" si="59"/>
        <v>Active</v>
      </c>
      <c r="X305" s="19">
        <v>100424</v>
      </c>
      <c r="Y305" s="18" t="str">
        <f t="shared" si="52"/>
        <v>100424</v>
      </c>
      <c r="Z305" s="22" t="str" cm="1">
        <f t="array" ref="Z305">_xlfn.IFS(Y305="","0",LEFT(Y305,5)="",Y305,LEFT(Y305,1)="₹",REPLACE(Y305,1,1,""),LEFT(Y305,4)="Rs. ",REPLACE(Y305,1,4,""),TRUE,Y305)</f>
        <v>100424</v>
      </c>
      <c r="AA305" s="22" t="str">
        <f t="shared" si="53"/>
        <v>100424</v>
      </c>
      <c r="AB305" s="7" t="s">
        <v>51</v>
      </c>
      <c r="AC305" s="7" t="str">
        <f t="shared" si="54"/>
        <v>Excellent</v>
      </c>
      <c r="AD305" s="7">
        <v>20</v>
      </c>
      <c r="AE305" cm="1">
        <f t="array" ref="AE305">_xlfn.IFS(AD305="",0,AD305&lt;0,"Negate Leave",AD305&gt;=0,AD305)</f>
        <v>20</v>
      </c>
    </row>
    <row r="306" spans="1:31" x14ac:dyDescent="0.3">
      <c r="A306" s="7">
        <v>5037</v>
      </c>
      <c r="B306" s="7" t="s">
        <v>1298</v>
      </c>
      <c r="C306" s="7" t="str">
        <f t="shared" si="49"/>
        <v>Meenal Pillai</v>
      </c>
      <c r="D306" s="7" t="str">
        <f t="shared" si="50"/>
        <v>Meenal Pillai</v>
      </c>
      <c r="E306" s="7" t="s">
        <v>61</v>
      </c>
      <c r="F306" s="7" t="s">
        <v>389</v>
      </c>
      <c r="G306" s="7" t="s">
        <v>140</v>
      </c>
      <c r="H306" s="7" t="str">
        <f>_xlfn.XLOOKUP(G306,Lookup_Tables!$A$4:$A$9,Lookup_Tables!$C$4:$C$9,"Not Found",0)</f>
        <v>Sunita Rao</v>
      </c>
      <c r="I306" s="7" t="s">
        <v>77</v>
      </c>
      <c r="J306" s="7" t="s">
        <v>598</v>
      </c>
      <c r="K306" s="7" t="str">
        <f t="shared" si="51"/>
        <v>yash.joshi@company.com</v>
      </c>
      <c r="L306" s="7" t="s">
        <v>1307</v>
      </c>
      <c r="M306" s="7" t="str">
        <f t="shared" si="48"/>
        <v>+91-4116130205</v>
      </c>
      <c r="N306" s="7" t="str" cm="1">
        <f t="array" ref="N306">_xlfn.IFS(M306="","Incomplete",LEN(M306)&lt;10,"Invalid",AND(LEN(M306) =10,LEFT(M306,4) &lt;&gt;"+91-"),"+91-"&amp;M306,TRUE,M306)</f>
        <v>+91-4116130205</v>
      </c>
      <c r="O306" s="8" t="s">
        <v>1308</v>
      </c>
      <c r="P306" s="14"/>
      <c r="Q306" s="14" t="str">
        <f t="shared" si="55"/>
        <v>Missing</v>
      </c>
      <c r="R306" s="14" t="str" cm="1">
        <f t="array" ref="R306">_xlfn.IFS(OR(Q306="Missing",Q306="N/A",Q306="Still Employed"),Q306,ISNUMBER(SEARCH(",",Q306)),DATEVALUE(Q306),AND(ISNUMBER(SEARCH("-",Q306)),ISNUMBER(VALUE(LEFT(Q306,4)))),DATE(LEFT(Q306,4),MID(Q306,6,2),RIGHT(Q306,2)),ISNUMBER(SEARCH("-",Q306)),DATE(RIGHT(Q306,4),MID(Q306,4,2),LEFT(Q306,2)),ISNUMBER(SEARCH("/",Q306)),DATE(RIGHT(Q306,4),MID(Q306,4,2),LEFT(Q306,2)),TRUE,"Check Manually")</f>
        <v>Missing</v>
      </c>
      <c r="S306" s="31" t="str">
        <f t="shared" ca="1" si="56"/>
        <v>6 Years, 6 Months, 15 Days</v>
      </c>
      <c r="T306" s="31">
        <f t="shared" ca="1" si="57"/>
        <v>2389.14</v>
      </c>
      <c r="U306" s="31" t="str" cm="1">
        <f t="array" ref="U306">_xlfn.IFS(OR(R306="Missing",R306="N/A",R306="Still Employed"),"Unknown",ISNUMBER(R306),"Exited",TRUE,"Unknown")</f>
        <v>Unknown</v>
      </c>
      <c r="V306" s="31" t="str">
        <f t="shared" si="58"/>
        <v/>
      </c>
      <c r="W306" s="14" t="str">
        <f t="shared" si="59"/>
        <v>Active</v>
      </c>
      <c r="X306" s="19"/>
      <c r="Y306" s="18" t="str">
        <f t="shared" si="52"/>
        <v/>
      </c>
      <c r="Z306" s="22" t="str" cm="1">
        <f t="array" ref="Z306">_xlfn.IFS(Y306="","0",LEFT(Y306,5)="",Y306,LEFT(Y306,1)="₹",REPLACE(Y306,1,1,""),LEFT(Y306,4)="Rs. ",REPLACE(Y306,1,4,""),TRUE,Y306)</f>
        <v>0</v>
      </c>
      <c r="AA306" s="22" t="str">
        <f t="shared" si="53"/>
        <v>0</v>
      </c>
      <c r="AB306" s="7" t="s">
        <v>144</v>
      </c>
      <c r="AC306" s="7" t="str">
        <f t="shared" si="54"/>
        <v>Poor</v>
      </c>
      <c r="AD306" s="7">
        <v>20</v>
      </c>
      <c r="AE306" cm="1">
        <f t="array" ref="AE306">_xlfn.IFS(AD306="",0,AD306&lt;0,"Negate Leave",AD306&gt;=0,AD306)</f>
        <v>20</v>
      </c>
    </row>
    <row r="307" spans="1:31" x14ac:dyDescent="0.3">
      <c r="A307" s="7">
        <v>5254</v>
      </c>
      <c r="B307" s="7" t="s">
        <v>1302</v>
      </c>
      <c r="C307" s="7" t="str">
        <f t="shared" si="49"/>
        <v>Sneha Agarwal</v>
      </c>
      <c r="D307" s="7" t="str">
        <f t="shared" si="50"/>
        <v>Sneha Agarwal</v>
      </c>
      <c r="E307" s="7" t="s">
        <v>68</v>
      </c>
      <c r="F307" s="7" t="s">
        <v>389</v>
      </c>
      <c r="G307" s="7" t="s">
        <v>140</v>
      </c>
      <c r="H307" s="7" t="str">
        <f>_xlfn.XLOOKUP(G307,Lookup_Tables!$A$4:$A$9,Lookup_Tables!$C$4:$C$9,"Not Found",0)</f>
        <v>Sunita Rao</v>
      </c>
      <c r="I307" s="7" t="s">
        <v>47</v>
      </c>
      <c r="J307" s="7" t="s">
        <v>129</v>
      </c>
      <c r="K307" s="7" t="str">
        <f t="shared" si="51"/>
        <v>tanvi.rao@company.com</v>
      </c>
      <c r="L307" s="7" t="s">
        <v>1310</v>
      </c>
      <c r="M307" s="7" t="str">
        <f t="shared" si="48"/>
        <v>1823147652</v>
      </c>
      <c r="N307" s="7" t="str" cm="1">
        <f t="array" ref="N307">_xlfn.IFS(M307="","Incomplete",LEN(M307)&lt;10,"Invalid",AND(LEN(M307) =10,LEFT(M307,4) &lt;&gt;"+91-"),"+91-"&amp;M307,TRUE,M307)</f>
        <v>+91-1823147652</v>
      </c>
      <c r="O307" s="8" t="s">
        <v>1311</v>
      </c>
      <c r="P307" s="14" t="s">
        <v>126</v>
      </c>
      <c r="Q307" s="14" t="str">
        <f t="shared" si="55"/>
        <v>N/A</v>
      </c>
      <c r="R307" s="14" t="str" cm="1">
        <f t="array" ref="R307">_xlfn.IFS(OR(Q307="Missing",Q307="N/A",Q307="Still Employed"),Q307,ISNUMBER(SEARCH(",",Q307)),DATEVALUE(Q307),AND(ISNUMBER(SEARCH("-",Q307)),ISNUMBER(VALUE(LEFT(Q307,4)))),DATE(LEFT(Q307,4),MID(Q307,6,2),RIGHT(Q307,2)),ISNUMBER(SEARCH("-",Q307)),DATE(RIGHT(Q307,4),MID(Q307,4,2),LEFT(Q307,2)),ISNUMBER(SEARCH("/",Q307)),DATE(RIGHT(Q307,4),MID(Q307,4,2),LEFT(Q307,2)),TRUE,"Check Manually")</f>
        <v>N/A</v>
      </c>
      <c r="S307" s="31" t="str">
        <f t="shared" ca="1" si="56"/>
        <v>4 Years, 3 Months, 3 Days</v>
      </c>
      <c r="T307" s="31">
        <f t="shared" ca="1" si="57"/>
        <v>1555.32</v>
      </c>
      <c r="U307" s="31" t="str" cm="1">
        <f t="array" ref="U307">_xlfn.IFS(OR(R307="Missing",R307="N/A",R307="Still Employed"),"Unknown",ISNUMBER(R307),"Exited",TRUE,"Unknown")</f>
        <v>Unknown</v>
      </c>
      <c r="V307" s="31" t="str">
        <f t="shared" si="58"/>
        <v/>
      </c>
      <c r="W307" s="14" t="str">
        <f t="shared" si="59"/>
        <v>Active</v>
      </c>
      <c r="X307" s="19" t="s">
        <v>1312</v>
      </c>
      <c r="Y307" s="18" t="str">
        <f t="shared" si="52"/>
        <v>₹73,471</v>
      </c>
      <c r="Z307" s="22" t="str" cm="1">
        <f t="array" ref="Z307">_xlfn.IFS(Y307="","0",LEFT(Y307,5)="",Y307,LEFT(Y307,1)="₹",REPLACE(Y307,1,1,""),LEFT(Y307,4)="Rs. ",REPLACE(Y307,1,4,""),TRUE,Y307)</f>
        <v>73,471</v>
      </c>
      <c r="AA307" s="22" t="str">
        <f t="shared" si="53"/>
        <v>73471</v>
      </c>
      <c r="AB307" s="7" t="s">
        <v>95</v>
      </c>
      <c r="AC307" s="7" t="str">
        <f t="shared" si="54"/>
        <v>Average</v>
      </c>
      <c r="AD307" s="7"/>
      <c r="AE307" cm="1">
        <f t="array" ref="AE307">_xlfn.IFS(AD307="",0,AD307&lt;0,"Negate Leave",AD307&gt;=0,AD307)</f>
        <v>0</v>
      </c>
    </row>
    <row r="308" spans="1:31" x14ac:dyDescent="0.3">
      <c r="A308" s="7">
        <v>5285</v>
      </c>
      <c r="B308" s="7" t="s">
        <v>1303</v>
      </c>
      <c r="C308" s="7" t="str">
        <f t="shared" si="49"/>
        <v>Sanjay  Chopra</v>
      </c>
      <c r="D308" s="7" t="str">
        <f t="shared" si="50"/>
        <v>Sanjay Chopra</v>
      </c>
      <c r="E308" s="7" t="s">
        <v>68</v>
      </c>
      <c r="F308" s="7" t="s">
        <v>53</v>
      </c>
      <c r="G308" s="7" t="s">
        <v>54</v>
      </c>
      <c r="H308" s="7" t="str">
        <f>_xlfn.XLOOKUP(G308,Lookup_Tables!$A$4:$A$9,Lookup_Tables!$C$4:$C$9,"Not Found",0)</f>
        <v>Leela Iyer</v>
      </c>
      <c r="I308" s="7" t="s">
        <v>77</v>
      </c>
      <c r="J308" s="7" t="s">
        <v>509</v>
      </c>
      <c r="K308" s="7" t="str">
        <f t="shared" si="51"/>
        <v>vikram.saxena@company.com</v>
      </c>
      <c r="L308" s="7" t="s">
        <v>1314</v>
      </c>
      <c r="M308" s="7" t="str">
        <f t="shared" si="48"/>
        <v>+91-1412786036</v>
      </c>
      <c r="N308" s="7" t="str" cm="1">
        <f t="array" ref="N308">_xlfn.IFS(M308="","Incomplete",LEN(M308)&lt;10,"Invalid",AND(LEN(M308) =10,LEFT(M308,4) &lt;&gt;"+91-"),"+91-"&amp;M308,TRUE,M308)</f>
        <v>+91-1412786036</v>
      </c>
      <c r="O308" s="8" t="s">
        <v>1315</v>
      </c>
      <c r="P308" s="14" t="s">
        <v>1316</v>
      </c>
      <c r="Q308" s="14" t="str">
        <f t="shared" si="55"/>
        <v>13/05/2022</v>
      </c>
      <c r="R308" s="14" cm="1">
        <f t="array" ref="R308">_xlfn.IFS(OR(Q308="Missing",Q308="N/A",Q308="Still Employed"),Q308,ISNUMBER(SEARCH(",",Q308)),DATEVALUE(Q308),AND(ISNUMBER(SEARCH("-",Q308)),ISNUMBER(VALUE(LEFT(Q308,4)))),DATE(LEFT(Q308,4),MID(Q308,6,2),RIGHT(Q308,2)),ISNUMBER(SEARCH("-",Q308)),DATE(RIGHT(Q308,4),MID(Q308,4,2),LEFT(Q308,2)),ISNUMBER(SEARCH("/",Q308)),DATE(RIGHT(Q308,4),MID(Q308,4,2),LEFT(Q308,2)),TRUE,"Check Manually")</f>
        <v>44694</v>
      </c>
      <c r="S308" s="31" t="str">
        <f t="shared" ca="1" si="56"/>
        <v>1 Years, 5 Months, 23 Days</v>
      </c>
      <c r="T308" s="31">
        <f t="shared" ca="1" si="57"/>
        <v>540.45000000000005</v>
      </c>
      <c r="U308" s="31" t="str" cm="1">
        <f t="array" ref="U308">_xlfn.IFS(OR(R308="Missing",R308="N/A",R308="Still Employed"),"Unknown",ISNUMBER(R308),"Exited",TRUE,"Unknown")</f>
        <v>Exited</v>
      </c>
      <c r="V308" s="31">
        <f t="shared" si="58"/>
        <v>2022</v>
      </c>
      <c r="W308" s="14" t="str">
        <f t="shared" si="59"/>
        <v>Exited</v>
      </c>
      <c r="X308" s="19" t="s">
        <v>1317</v>
      </c>
      <c r="Y308" s="18" t="str">
        <f t="shared" si="52"/>
        <v>Rs. 102,924</v>
      </c>
      <c r="Z308" s="22" t="str" cm="1">
        <f t="array" ref="Z308">_xlfn.IFS(Y308="","0",LEFT(Y308,5)="",Y308,LEFT(Y308,1)="₹",REPLACE(Y308,1,1,""),LEFT(Y308,4)="Rs. ",REPLACE(Y308,1,4,""),TRUE,Y308)</f>
        <v>102,924</v>
      </c>
      <c r="AA308" s="22" t="str">
        <f t="shared" si="53"/>
        <v>102924</v>
      </c>
      <c r="AB308" s="7" t="s">
        <v>95</v>
      </c>
      <c r="AC308" s="7" t="str">
        <f t="shared" si="54"/>
        <v>Average</v>
      </c>
      <c r="AD308" s="7">
        <v>14</v>
      </c>
      <c r="AE308" cm="1">
        <f t="array" ref="AE308">_xlfn.IFS(AD308="",0,AD308&lt;0,"Negate Leave",AD308&gt;=0,AD308)</f>
        <v>14</v>
      </c>
    </row>
    <row r="309" spans="1:31" x14ac:dyDescent="0.3">
      <c r="A309" s="7">
        <v>5208</v>
      </c>
      <c r="B309" s="7" t="s">
        <v>1306</v>
      </c>
      <c r="C309" s="7" t="str">
        <f t="shared" si="49"/>
        <v>Yash Joshi</v>
      </c>
      <c r="D309" s="7" t="str">
        <f t="shared" si="50"/>
        <v>Yash Joshi</v>
      </c>
      <c r="E309" s="7" t="s">
        <v>68</v>
      </c>
      <c r="F309" s="7" t="s">
        <v>53</v>
      </c>
      <c r="G309" s="7" t="s">
        <v>54</v>
      </c>
      <c r="H309" s="7" t="str">
        <f>_xlfn.XLOOKUP(G309,Lookup_Tables!$A$4:$A$9,Lookup_Tables!$C$4:$C$9,"Not Found",0)</f>
        <v>Leela Iyer</v>
      </c>
      <c r="I309" s="7" t="s">
        <v>175</v>
      </c>
      <c r="J309" s="7" t="s">
        <v>1053</v>
      </c>
      <c r="K309" s="7" t="str">
        <f t="shared" si="51"/>
        <v>deepak.kapoor@company.com</v>
      </c>
      <c r="L309" s="7" t="s">
        <v>1319</v>
      </c>
      <c r="M309" s="7" t="str">
        <f t="shared" si="48"/>
        <v>7780772737</v>
      </c>
      <c r="N309" s="7" t="str" cm="1">
        <f t="array" ref="N309">_xlfn.IFS(M309="","Incomplete",LEN(M309)&lt;10,"Invalid",AND(LEN(M309) =10,LEFT(M309,4) &lt;&gt;"+91-"),"+91-"&amp;M309,TRUE,M309)</f>
        <v>+91-7780772737</v>
      </c>
      <c r="O309" s="8" t="s">
        <v>1320</v>
      </c>
      <c r="P309" s="14"/>
      <c r="Q309" s="14" t="str">
        <f t="shared" si="55"/>
        <v>Missing</v>
      </c>
      <c r="R309" s="14" t="str" cm="1">
        <f t="array" ref="R309">_xlfn.IFS(OR(Q309="Missing",Q309="N/A",Q309="Still Employed"),Q309,ISNUMBER(SEARCH(",",Q309)),DATEVALUE(Q309),AND(ISNUMBER(SEARCH("-",Q309)),ISNUMBER(VALUE(LEFT(Q309,4)))),DATE(LEFT(Q309,4),MID(Q309,6,2),RIGHT(Q309,2)),ISNUMBER(SEARCH("-",Q309)),DATE(RIGHT(Q309,4),MID(Q309,4,2),LEFT(Q309,2)),ISNUMBER(SEARCH("/",Q309)),DATE(RIGHT(Q309,4),MID(Q309,4,2),LEFT(Q309,2)),TRUE,"Check Manually")</f>
        <v>Missing</v>
      </c>
      <c r="S309" s="31" t="str">
        <f t="shared" ca="1" si="56"/>
        <v>3 Years, 7 Months, 19 Days</v>
      </c>
      <c r="T309" s="31">
        <f t="shared" ca="1" si="57"/>
        <v>1327.83</v>
      </c>
      <c r="U309" s="31" t="str" cm="1">
        <f t="array" ref="U309">_xlfn.IFS(OR(R309="Missing",R309="N/A",R309="Still Employed"),"Unknown",ISNUMBER(R309),"Exited",TRUE,"Unknown")</f>
        <v>Unknown</v>
      </c>
      <c r="V309" s="31" t="str">
        <f t="shared" si="58"/>
        <v/>
      </c>
      <c r="W309" s="14" t="str">
        <f t="shared" si="59"/>
        <v>Active</v>
      </c>
      <c r="X309" s="19" t="s">
        <v>1321</v>
      </c>
      <c r="Y309" s="18" t="str">
        <f t="shared" si="52"/>
        <v>₹66,043</v>
      </c>
      <c r="Z309" s="22" t="str" cm="1">
        <f t="array" ref="Z309">_xlfn.IFS(Y309="","0",LEFT(Y309,5)="",Y309,LEFT(Y309,1)="₹",REPLACE(Y309,1,1,""),LEFT(Y309,4)="Rs. ",REPLACE(Y309,1,4,""),TRUE,Y309)</f>
        <v>66,043</v>
      </c>
      <c r="AA309" s="22" t="str">
        <f t="shared" si="53"/>
        <v>66043</v>
      </c>
      <c r="AB309" s="7" t="s">
        <v>144</v>
      </c>
      <c r="AC309" s="7" t="str">
        <f t="shared" si="54"/>
        <v>Poor</v>
      </c>
      <c r="AD309" s="7">
        <v>7</v>
      </c>
      <c r="AE309" cm="1">
        <f t="array" ref="AE309">_xlfn.IFS(AD309="",0,AD309&lt;0,"Negate Leave",AD309&gt;=0,AD309)</f>
        <v>7</v>
      </c>
    </row>
    <row r="310" spans="1:31" x14ac:dyDescent="0.3">
      <c r="A310" s="7">
        <v>5307</v>
      </c>
      <c r="B310" s="7" t="s">
        <v>1309</v>
      </c>
      <c r="C310" s="7" t="str">
        <f t="shared" si="49"/>
        <v>Tanvi Rao</v>
      </c>
      <c r="D310" s="7" t="str">
        <f t="shared" si="50"/>
        <v>Tanvi Rao</v>
      </c>
      <c r="E310" s="7" t="s">
        <v>84</v>
      </c>
      <c r="F310" s="7" t="s">
        <v>122</v>
      </c>
      <c r="G310" s="7" t="s">
        <v>91</v>
      </c>
      <c r="H310" s="7" t="str">
        <f>_xlfn.XLOOKUP(G310,Lookup_Tables!$A$4:$A$9,Lookup_Tables!$C$4:$C$9,"Not Found",0)</f>
        <v>Rajiv Kapoor</v>
      </c>
      <c r="I310" s="7" t="s">
        <v>77</v>
      </c>
      <c r="J310" s="7" t="s">
        <v>1323</v>
      </c>
      <c r="K310" s="7" t="str">
        <f t="shared" si="51"/>
        <v>amit.verma@company.com</v>
      </c>
      <c r="L310" s="7" t="s">
        <v>1324</v>
      </c>
      <c r="M310" s="7" t="str">
        <f t="shared" si="48"/>
        <v>+91-8091874892</v>
      </c>
      <c r="N310" s="7" t="str" cm="1">
        <f t="array" ref="N310">_xlfn.IFS(M310="","Incomplete",LEN(M310)&lt;10,"Invalid",AND(LEN(M310) =10,LEFT(M310,4) &lt;&gt;"+91-"),"+91-"&amp;M310,TRUE,M310)</f>
        <v>+91-8091874892</v>
      </c>
      <c r="O310" s="8" t="s">
        <v>412</v>
      </c>
      <c r="P310" s="14"/>
      <c r="Q310" s="14" t="str">
        <f t="shared" si="55"/>
        <v>Missing</v>
      </c>
      <c r="R310" s="14" t="str" cm="1">
        <f t="array" ref="R310">_xlfn.IFS(OR(Q310="Missing",Q310="N/A",Q310="Still Employed"),Q310,ISNUMBER(SEARCH(",",Q310)),DATEVALUE(Q310),AND(ISNUMBER(SEARCH("-",Q310)),ISNUMBER(VALUE(LEFT(Q310,4)))),DATE(LEFT(Q310,4),MID(Q310,6,2),RIGHT(Q310,2)),ISNUMBER(SEARCH("-",Q310)),DATE(RIGHT(Q310,4),MID(Q310,4,2),LEFT(Q310,2)),ISNUMBER(SEARCH("/",Q310)),DATE(RIGHT(Q310,4),MID(Q310,4,2),LEFT(Q310,2)),TRUE,"Check Manually")</f>
        <v>Missing</v>
      </c>
      <c r="S310" s="31" t="str">
        <f t="shared" ca="1" si="56"/>
        <v>6 Years, 7 Months, 5 Days</v>
      </c>
      <c r="T310" s="31">
        <f t="shared" ca="1" si="57"/>
        <v>2409.58</v>
      </c>
      <c r="U310" s="31" t="str" cm="1">
        <f t="array" ref="U310">_xlfn.IFS(OR(R310="Missing",R310="N/A",R310="Still Employed"),"Unknown",ISNUMBER(R310),"Exited",TRUE,"Unknown")</f>
        <v>Unknown</v>
      </c>
      <c r="V310" s="31" t="str">
        <f t="shared" si="58"/>
        <v/>
      </c>
      <c r="W310" s="14" t="str">
        <f t="shared" si="59"/>
        <v>Active</v>
      </c>
      <c r="X310" s="19">
        <v>151539</v>
      </c>
      <c r="Y310" s="18" t="str">
        <f t="shared" si="52"/>
        <v>151539</v>
      </c>
      <c r="Z310" s="22" t="str" cm="1">
        <f t="array" ref="Z310">_xlfn.IFS(Y310="","0",LEFT(Y310,5)="",Y310,LEFT(Y310,1)="₹",REPLACE(Y310,1,1,""),LEFT(Y310,4)="Rs. ",REPLACE(Y310,1,4,""),TRUE,Y310)</f>
        <v>151539</v>
      </c>
      <c r="AA310" s="22" t="str">
        <f t="shared" si="53"/>
        <v>151539</v>
      </c>
      <c r="AB310" s="7" t="s">
        <v>89</v>
      </c>
      <c r="AC310" s="7" t="str">
        <f t="shared" si="54"/>
        <v>Below Average</v>
      </c>
      <c r="AD310" s="7">
        <v>-1</v>
      </c>
      <c r="AE310" t="str" cm="1">
        <f t="array" ref="AE310">_xlfn.IFS(AD310="",0,AD310&lt;0,"Negate Leave",AD310&gt;=0,AD310)</f>
        <v>Negate Leave</v>
      </c>
    </row>
    <row r="311" spans="1:31" x14ac:dyDescent="0.3">
      <c r="A311" s="7">
        <v>5233</v>
      </c>
      <c r="B311" s="7" t="s">
        <v>1313</v>
      </c>
      <c r="C311" s="7" t="str">
        <f t="shared" si="49"/>
        <v>Vikram Saxena</v>
      </c>
      <c r="D311" s="7" t="str">
        <f t="shared" si="50"/>
        <v>Vikram Saxena</v>
      </c>
      <c r="E311" s="7" t="s">
        <v>68</v>
      </c>
      <c r="F311" s="7" t="s">
        <v>53</v>
      </c>
      <c r="G311" s="7" t="s">
        <v>54</v>
      </c>
      <c r="H311" s="7" t="str">
        <f>_xlfn.XLOOKUP(G311,Lookup_Tables!$A$4:$A$9,Lookup_Tables!$C$4:$C$9,"Not Found",0)</f>
        <v>Leela Iyer</v>
      </c>
      <c r="I311" s="7" t="s">
        <v>110</v>
      </c>
      <c r="J311" s="7" t="s">
        <v>1326</v>
      </c>
      <c r="K311" s="7" t="str">
        <f t="shared" si="51"/>
        <v>karthik.iyer@company.com</v>
      </c>
      <c r="L311" s="7" t="s">
        <v>1327</v>
      </c>
      <c r="M311" s="7" t="str">
        <f t="shared" si="48"/>
        <v>9229992314</v>
      </c>
      <c r="N311" s="7" t="str" cm="1">
        <f t="array" ref="N311">_xlfn.IFS(M311="","Incomplete",LEN(M311)&lt;10,"Invalid",AND(LEN(M311) =10,LEFT(M311,4) &lt;&gt;"+91-"),"+91-"&amp;M311,TRUE,M311)</f>
        <v>+91-9229992314</v>
      </c>
      <c r="O311" s="8" t="s">
        <v>268</v>
      </c>
      <c r="P311" s="14" t="s">
        <v>126</v>
      </c>
      <c r="Q311" s="14" t="str">
        <f t="shared" si="55"/>
        <v>N/A</v>
      </c>
      <c r="R311" s="14" t="str" cm="1">
        <f t="array" ref="R311">_xlfn.IFS(OR(Q311="Missing",Q311="N/A",Q311="Still Employed"),Q311,ISNUMBER(SEARCH(",",Q311)),DATEVALUE(Q311),AND(ISNUMBER(SEARCH("-",Q311)),ISNUMBER(VALUE(LEFT(Q311,4)))),DATE(LEFT(Q311,4),MID(Q311,6,2),RIGHT(Q311,2)),ISNUMBER(SEARCH("-",Q311)),DATE(RIGHT(Q311,4),MID(Q311,4,2),LEFT(Q311,2)),ISNUMBER(SEARCH("/",Q311)),DATE(RIGHT(Q311,4),MID(Q311,4,2),LEFT(Q311,2)),TRUE,"Check Manually")</f>
        <v>N/A</v>
      </c>
      <c r="S311" s="31" t="str">
        <f t="shared" ca="1" si="56"/>
        <v>2 Years, 1 Months, 26 Days</v>
      </c>
      <c r="T311" s="31">
        <f t="shared" ca="1" si="57"/>
        <v>786.94</v>
      </c>
      <c r="U311" s="31" t="str" cm="1">
        <f t="array" ref="U311">_xlfn.IFS(OR(R311="Missing",R311="N/A",R311="Still Employed"),"Unknown",ISNUMBER(R311),"Exited",TRUE,"Unknown")</f>
        <v>Unknown</v>
      </c>
      <c r="V311" s="31" t="str">
        <f t="shared" si="58"/>
        <v/>
      </c>
      <c r="W311" s="14" t="str">
        <f t="shared" si="59"/>
        <v>Active</v>
      </c>
      <c r="X311" s="19">
        <v>114726</v>
      </c>
      <c r="Y311" s="18" t="str">
        <f t="shared" si="52"/>
        <v>114726</v>
      </c>
      <c r="Z311" s="22" t="str" cm="1">
        <f t="array" ref="Z311">_xlfn.IFS(Y311="","0",LEFT(Y311,5)="",Y311,LEFT(Y311,1)="₹",REPLACE(Y311,1,1,""),LEFT(Y311,4)="Rs. ",REPLACE(Y311,1,4,""),TRUE,Y311)</f>
        <v>114726</v>
      </c>
      <c r="AA311" s="22" t="str">
        <f t="shared" si="53"/>
        <v>114726</v>
      </c>
      <c r="AB311" s="7" t="s">
        <v>51</v>
      </c>
      <c r="AC311" s="7" t="str">
        <f t="shared" si="54"/>
        <v>Excellent</v>
      </c>
      <c r="AD311" s="7">
        <v>12</v>
      </c>
      <c r="AE311" cm="1">
        <f t="array" ref="AE311">_xlfn.IFS(AD311="",0,AD311&lt;0,"Negate Leave",AD311&gt;=0,AD311)</f>
        <v>12</v>
      </c>
    </row>
    <row r="312" spans="1:31" x14ac:dyDescent="0.3">
      <c r="A312" s="7">
        <v>5060</v>
      </c>
      <c r="B312" s="7" t="s">
        <v>1318</v>
      </c>
      <c r="C312" s="7" t="str">
        <f t="shared" si="49"/>
        <v>Deepak Kapoor</v>
      </c>
      <c r="D312" s="7" t="str">
        <f t="shared" si="50"/>
        <v>Deepak Kapoor</v>
      </c>
      <c r="E312" s="7" t="s">
        <v>84</v>
      </c>
      <c r="F312" s="7" t="s">
        <v>151</v>
      </c>
      <c r="G312" s="7" t="s">
        <v>76</v>
      </c>
      <c r="H312" s="7" t="str">
        <f>_xlfn.XLOOKUP(G312,Lookup_Tables!$A$4:$A$9,Lookup_Tables!$C$4:$C$9,"Not Found",0)</f>
        <v>Ananya Sen</v>
      </c>
      <c r="I312" s="7" t="s">
        <v>77</v>
      </c>
      <c r="J312" s="7"/>
      <c r="K312" s="7" t="str">
        <f t="shared" si="51"/>
        <v>No Email ID</v>
      </c>
      <c r="L312" s="7"/>
      <c r="M312" s="7" t="str">
        <f t="shared" si="48"/>
        <v/>
      </c>
      <c r="N312" s="7" t="str" cm="1">
        <f t="array" ref="N312">_xlfn.IFS(M312="","Incomplete",LEN(M312)&lt;10,"Invalid",AND(LEN(M312) =10,LEFT(M312,4) &lt;&gt;"+91-"),"+91-"&amp;M312,TRUE,M312)</f>
        <v>Incomplete</v>
      </c>
      <c r="O312" s="8" t="s">
        <v>1328</v>
      </c>
      <c r="P312" s="14"/>
      <c r="Q312" s="14" t="str">
        <f t="shared" si="55"/>
        <v>Missing</v>
      </c>
      <c r="R312" s="14" t="str" cm="1">
        <f t="array" ref="R312">_xlfn.IFS(OR(Q312="Missing",Q312="N/A",Q312="Still Employed"),Q312,ISNUMBER(SEARCH(",",Q312)),DATEVALUE(Q312),AND(ISNUMBER(SEARCH("-",Q312)),ISNUMBER(VALUE(LEFT(Q312,4)))),DATE(LEFT(Q312,4),MID(Q312,6,2),RIGHT(Q312,2)),ISNUMBER(SEARCH("-",Q312)),DATE(RIGHT(Q312,4),MID(Q312,4,2),LEFT(Q312,2)),ISNUMBER(SEARCH("/",Q312)),DATE(RIGHT(Q312,4),MID(Q312,4,2),LEFT(Q312,2)),TRUE,"Check Manually")</f>
        <v>Missing</v>
      </c>
      <c r="S312" s="31" t="str">
        <f t="shared" ca="1" si="56"/>
        <v>7 Years, 10 Months, 18 Days</v>
      </c>
      <c r="T312" s="31">
        <f t="shared" ca="1" si="57"/>
        <v>2879.15</v>
      </c>
      <c r="U312" s="31" t="str" cm="1">
        <f t="array" ref="U312">_xlfn.IFS(OR(R312="Missing",R312="N/A",R312="Still Employed"),"Unknown",ISNUMBER(R312),"Exited",TRUE,"Unknown")</f>
        <v>Unknown</v>
      </c>
      <c r="V312" s="31" t="str">
        <f t="shared" si="58"/>
        <v/>
      </c>
      <c r="W312" s="14" t="str">
        <f t="shared" si="59"/>
        <v>Active</v>
      </c>
      <c r="X312" s="19" t="s">
        <v>1329</v>
      </c>
      <c r="Y312" s="18" t="str">
        <f t="shared" si="52"/>
        <v>₹133,452</v>
      </c>
      <c r="Z312" s="22" t="str" cm="1">
        <f t="array" ref="Z312">_xlfn.IFS(Y312="","0",LEFT(Y312,5)="",Y312,LEFT(Y312,1)="₹",REPLACE(Y312,1,1,""),LEFT(Y312,4)="Rs. ",REPLACE(Y312,1,4,""),TRUE,Y312)</f>
        <v>133,452</v>
      </c>
      <c r="AA312" s="22" t="str">
        <f t="shared" si="53"/>
        <v>133452</v>
      </c>
      <c r="AB312" s="7" t="s">
        <v>89</v>
      </c>
      <c r="AC312" s="7" t="str">
        <f t="shared" si="54"/>
        <v>Below Average</v>
      </c>
      <c r="AD312" s="7">
        <v>24</v>
      </c>
      <c r="AE312" cm="1">
        <f t="array" ref="AE312">_xlfn.IFS(AD312="",0,AD312&lt;0,"Negate Leave",AD312&gt;=0,AD312)</f>
        <v>24</v>
      </c>
    </row>
    <row r="313" spans="1:31" x14ac:dyDescent="0.3">
      <c r="A313" s="7">
        <v>5326</v>
      </c>
      <c r="B313" s="7" t="s">
        <v>1322</v>
      </c>
      <c r="C313" s="7" t="str">
        <f t="shared" si="49"/>
        <v>Amit Verma</v>
      </c>
      <c r="D313" s="7" t="str">
        <f t="shared" si="50"/>
        <v>Amit Verma</v>
      </c>
      <c r="E313" s="7" t="s">
        <v>68</v>
      </c>
      <c r="F313" s="7" t="s">
        <v>151</v>
      </c>
      <c r="G313" s="7" t="s">
        <v>76</v>
      </c>
      <c r="H313" s="7" t="str">
        <f>_xlfn.XLOOKUP(G313,Lookup_Tables!$A$4:$A$9,Lookup_Tables!$C$4:$C$9,"Not Found",0)</f>
        <v>Ananya Sen</v>
      </c>
      <c r="I313" s="7" t="s">
        <v>62</v>
      </c>
      <c r="J313" s="7" t="s">
        <v>1331</v>
      </c>
      <c r="K313" s="7" t="str">
        <f t="shared" si="51"/>
        <v>suresh.bhatt@company.com</v>
      </c>
      <c r="L313" s="7" t="s">
        <v>1332</v>
      </c>
      <c r="M313" s="7" t="str">
        <f t="shared" si="48"/>
        <v>+91-0668745852</v>
      </c>
      <c r="N313" s="7" t="str" cm="1">
        <f t="array" ref="N313">_xlfn.IFS(M313="","Incomplete",LEN(M313)&lt;10,"Invalid",AND(LEN(M313) =10,LEFT(M313,4) &lt;&gt;"+91-"),"+91-"&amp;M313,TRUE,M313)</f>
        <v>+91-0668745852</v>
      </c>
      <c r="O313" s="8" t="s">
        <v>1333</v>
      </c>
      <c r="P313" s="14" t="s">
        <v>502</v>
      </c>
      <c r="Q313" s="14" t="str">
        <f t="shared" si="55"/>
        <v>2025-06-30</v>
      </c>
      <c r="R313" s="14" cm="1">
        <f t="array" ref="R313">_xlfn.IFS(OR(Q313="Missing",Q313="N/A",Q313="Still Employed"),Q313,ISNUMBER(SEARCH(",",Q313)),DATEVALUE(Q313),AND(ISNUMBER(SEARCH("-",Q313)),ISNUMBER(VALUE(LEFT(Q313,4)))),DATE(LEFT(Q313,4),MID(Q313,6,2),RIGHT(Q313,2)),ISNUMBER(SEARCH("-",Q313)),DATE(RIGHT(Q313,4),MID(Q313,4,2),LEFT(Q313,2)),ISNUMBER(SEARCH("/",Q313)),DATE(RIGHT(Q313,4),MID(Q313,4,2),LEFT(Q313,2)),TRUE,"Check Manually")</f>
        <v>45838</v>
      </c>
      <c r="S313" s="31" t="str">
        <f t="shared" ca="1" si="56"/>
        <v>2 Years, 3 Months, 23 Days</v>
      </c>
      <c r="T313" s="31">
        <f t="shared" ca="1" si="57"/>
        <v>844.82</v>
      </c>
      <c r="U313" s="31" t="str" cm="1">
        <f t="array" ref="U313">_xlfn.IFS(OR(R313="Missing",R313="N/A",R313="Still Employed"),"Unknown",ISNUMBER(R313),"Exited",TRUE,"Unknown")</f>
        <v>Exited</v>
      </c>
      <c r="V313" s="31">
        <f t="shared" si="58"/>
        <v>2025</v>
      </c>
      <c r="W313" s="14" t="str">
        <f t="shared" si="59"/>
        <v>Exited</v>
      </c>
      <c r="X313" s="19"/>
      <c r="Y313" s="18" t="str">
        <f t="shared" si="52"/>
        <v/>
      </c>
      <c r="Z313" s="22" t="str" cm="1">
        <f t="array" ref="Z313">_xlfn.IFS(Y313="","0",LEFT(Y313,5)="",Y313,LEFT(Y313,1)="₹",REPLACE(Y313,1,1,""),LEFT(Y313,4)="Rs. ",REPLACE(Y313,1,4,""),TRUE,Y313)</f>
        <v>0</v>
      </c>
      <c r="AA313" s="22" t="str">
        <f t="shared" si="53"/>
        <v>0</v>
      </c>
      <c r="AB313" s="7" t="s">
        <v>144</v>
      </c>
      <c r="AC313" s="7" t="str">
        <f t="shared" si="54"/>
        <v>Poor</v>
      </c>
      <c r="AD313" s="7">
        <v>24</v>
      </c>
      <c r="AE313" cm="1">
        <f t="array" ref="AE313">_xlfn.IFS(AD313="",0,AD313&lt;0,"Negate Leave",AD313&gt;=0,AD313)</f>
        <v>24</v>
      </c>
    </row>
    <row r="314" spans="1:31" x14ac:dyDescent="0.3">
      <c r="A314" s="7">
        <v>5344</v>
      </c>
      <c r="B314" s="7" t="s">
        <v>1325</v>
      </c>
      <c r="C314" s="7" t="str">
        <f t="shared" si="49"/>
        <v>Karthik Iyer</v>
      </c>
      <c r="D314" s="7" t="str">
        <f t="shared" si="50"/>
        <v>Karthik Iyer</v>
      </c>
      <c r="E314" s="7" t="s">
        <v>84</v>
      </c>
      <c r="F314" s="7" t="s">
        <v>133</v>
      </c>
      <c r="G314" s="7" t="s">
        <v>69</v>
      </c>
      <c r="H314" s="7" t="str">
        <f>_xlfn.XLOOKUP(G314,Lookup_Tables!$A$4:$A$9,Lookup_Tables!$C$4:$C$9,"Not Found",0)</f>
        <v>Vivek Malhotra</v>
      </c>
      <c r="I314" s="7" t="s">
        <v>110</v>
      </c>
      <c r="J314" s="7" t="s">
        <v>1335</v>
      </c>
      <c r="K314" s="7" t="str">
        <f t="shared" si="51"/>
        <v>nikhil.naidu@company.com</v>
      </c>
      <c r="L314" s="7" t="s">
        <v>1336</v>
      </c>
      <c r="M314" s="7" t="str">
        <f t="shared" si="48"/>
        <v>0090518772</v>
      </c>
      <c r="N314" s="7" t="str" cm="1">
        <f t="array" ref="N314">_xlfn.IFS(M314="","Incomplete",LEN(M314)&lt;10,"Invalid",AND(LEN(M314) =10,LEFT(M314,4) &lt;&gt;"+91-"),"+91-"&amp;M314,TRUE,M314)</f>
        <v>+91-0090518772</v>
      </c>
      <c r="O314" s="8" t="s">
        <v>1337</v>
      </c>
      <c r="P314" s="14" t="s">
        <v>126</v>
      </c>
      <c r="Q314" s="14" t="str">
        <f t="shared" si="55"/>
        <v>N/A</v>
      </c>
      <c r="R314" s="14" t="str" cm="1">
        <f t="array" ref="R314">_xlfn.IFS(OR(Q314="Missing",Q314="N/A",Q314="Still Employed"),Q314,ISNUMBER(SEARCH(",",Q314)),DATEVALUE(Q314),AND(ISNUMBER(SEARCH("-",Q314)),ISNUMBER(VALUE(LEFT(Q314,4)))),DATE(LEFT(Q314,4),MID(Q314,6,2),RIGHT(Q314,2)),ISNUMBER(SEARCH("-",Q314)),DATE(RIGHT(Q314,4),MID(Q314,4,2),LEFT(Q314,2)),ISNUMBER(SEARCH("/",Q314)),DATE(RIGHT(Q314,4),MID(Q314,4,2),LEFT(Q314,2)),TRUE,"Check Manually")</f>
        <v>N/A</v>
      </c>
      <c r="S314" s="31" t="str">
        <f t="shared" ca="1" si="56"/>
        <v>3 Years, 9 Months, 10 Days</v>
      </c>
      <c r="T314" s="31">
        <f t="shared" ca="1" si="57"/>
        <v>1379.71</v>
      </c>
      <c r="U314" s="31" t="str" cm="1">
        <f t="array" ref="U314">_xlfn.IFS(OR(R314="Missing",R314="N/A",R314="Still Employed"),"Unknown",ISNUMBER(R314),"Exited",TRUE,"Unknown")</f>
        <v>Unknown</v>
      </c>
      <c r="V314" s="31" t="str">
        <f t="shared" si="58"/>
        <v/>
      </c>
      <c r="W314" s="14" t="str">
        <f t="shared" si="59"/>
        <v>Active</v>
      </c>
      <c r="X314" s="19"/>
      <c r="Y314" s="18" t="str">
        <f t="shared" si="52"/>
        <v/>
      </c>
      <c r="Z314" s="22" t="str" cm="1">
        <f t="array" ref="Z314">_xlfn.IFS(Y314="","0",LEFT(Y314,5)="",Y314,LEFT(Y314,1)="₹",REPLACE(Y314,1,1,""),LEFT(Y314,4)="Rs. ",REPLACE(Y314,1,4,""),TRUE,Y314)</f>
        <v>0</v>
      </c>
      <c r="AA314" s="22" t="str">
        <f t="shared" si="53"/>
        <v>0</v>
      </c>
      <c r="AB314" s="7" t="s">
        <v>89</v>
      </c>
      <c r="AC314" s="7" t="str">
        <f t="shared" si="54"/>
        <v>Below Average</v>
      </c>
      <c r="AD314" s="7">
        <v>24</v>
      </c>
      <c r="AE314" cm="1">
        <f t="array" ref="AE314">_xlfn.IFS(AD314="",0,AD314&lt;0,"Negate Leave",AD314&gt;=0,AD314)</f>
        <v>24</v>
      </c>
    </row>
    <row r="315" spans="1:31" x14ac:dyDescent="0.3">
      <c r="A315" s="7">
        <v>5116</v>
      </c>
      <c r="B315" s="7" t="s">
        <v>969</v>
      </c>
      <c r="C315" s="7" t="str">
        <f t="shared" si="49"/>
        <v>Meenal Shah</v>
      </c>
      <c r="D315" s="7" t="str">
        <f t="shared" si="50"/>
        <v>Meenal Shah</v>
      </c>
      <c r="E315" s="7" t="s">
        <v>61</v>
      </c>
      <c r="F315" s="7" t="s">
        <v>133</v>
      </c>
      <c r="G315" s="7" t="s">
        <v>69</v>
      </c>
      <c r="H315" s="7" t="str">
        <f>_xlfn.XLOOKUP(G315,Lookup_Tables!$A$4:$A$9,Lookup_Tables!$C$4:$C$9,"Not Found",0)</f>
        <v>Vivek Malhotra</v>
      </c>
      <c r="I315" s="7" t="s">
        <v>77</v>
      </c>
      <c r="J315" s="7" t="s">
        <v>1339</v>
      </c>
      <c r="K315" s="7" t="str">
        <f t="shared" si="51"/>
        <v>simran.verma@company.com</v>
      </c>
      <c r="L315" s="7" t="s">
        <v>1340</v>
      </c>
      <c r="M315" s="7" t="str">
        <f t="shared" ref="M315:M344" si="60">SUBSTITUTE(L315," ","")</f>
        <v>+91-8757503368</v>
      </c>
      <c r="N315" s="7" t="str" cm="1">
        <f t="array" ref="N315">_xlfn.IFS(M315="","Incomplete",LEN(M315)&lt;10,"Invalid",AND(LEN(M315) =10,LEFT(M315,4) &lt;&gt;"+91-"),"+91-"&amp;M315,TRUE,M315)</f>
        <v>+91-8757503368</v>
      </c>
      <c r="O315" s="8" t="s">
        <v>1341</v>
      </c>
      <c r="P315" s="14" t="s">
        <v>502</v>
      </c>
      <c r="Q315" s="14" t="str">
        <f t="shared" si="55"/>
        <v>2025-06-30</v>
      </c>
      <c r="R315" s="14" cm="1">
        <f t="array" ref="R315">_xlfn.IFS(OR(Q315="Missing",Q315="N/A",Q315="Still Employed"),Q315,ISNUMBER(SEARCH(",",Q315)),DATEVALUE(Q315),AND(ISNUMBER(SEARCH("-",Q315)),ISNUMBER(VALUE(LEFT(Q315,4)))),DATE(LEFT(Q315,4),MID(Q315,6,2),RIGHT(Q315,2)),ISNUMBER(SEARCH("-",Q315)),DATE(RIGHT(Q315,4),MID(Q315,4,2),LEFT(Q315,2)),ISNUMBER(SEARCH("/",Q315)),DATE(RIGHT(Q315,4),MID(Q315,4,2),LEFT(Q315,2)),TRUE,"Check Manually")</f>
        <v>45838</v>
      </c>
      <c r="S315" s="31" t="str">
        <f t="shared" ca="1" si="56"/>
        <v>4 Years, 10 Months, 8 Days</v>
      </c>
      <c r="T315" s="31">
        <f t="shared" ca="1" si="57"/>
        <v>1773.4</v>
      </c>
      <c r="U315" s="31" t="str" cm="1">
        <f t="array" ref="U315">_xlfn.IFS(OR(R315="Missing",R315="N/A",R315="Still Employed"),"Unknown",ISNUMBER(R315),"Exited",TRUE,"Unknown")</f>
        <v>Exited</v>
      </c>
      <c r="V315" s="31">
        <f t="shared" si="58"/>
        <v>2025</v>
      </c>
      <c r="W315" s="14" t="str">
        <f t="shared" si="59"/>
        <v>Exited</v>
      </c>
      <c r="X315" s="19">
        <v>43808</v>
      </c>
      <c r="Y315" s="18" t="str">
        <f t="shared" si="52"/>
        <v>43808</v>
      </c>
      <c r="Z315" s="22" t="str" cm="1">
        <f t="array" ref="Z315">_xlfn.IFS(Y315="","0",LEFT(Y315,5)="",Y315,LEFT(Y315,1)="₹",REPLACE(Y315,1,1,""),LEFT(Y315,4)="Rs. ",REPLACE(Y315,1,4,""),TRUE,Y315)</f>
        <v>43808</v>
      </c>
      <c r="AA315" s="22" t="str">
        <f t="shared" si="53"/>
        <v>43808</v>
      </c>
      <c r="AB315" s="7" t="s">
        <v>95</v>
      </c>
      <c r="AC315" s="7" t="str">
        <f t="shared" si="54"/>
        <v>Average</v>
      </c>
      <c r="AD315" s="7"/>
      <c r="AE315" cm="1">
        <f t="array" ref="AE315">_xlfn.IFS(AD315="",0,AD315&lt;0,"Negate Leave",AD315&gt;=0,AD315)</f>
        <v>0</v>
      </c>
    </row>
    <row r="316" spans="1:31" x14ac:dyDescent="0.3">
      <c r="A316" s="7">
        <v>5215</v>
      </c>
      <c r="B316" s="7" t="s">
        <v>1330</v>
      </c>
      <c r="C316" s="7" t="str">
        <f t="shared" ref="C316:C344" si="61">IF(ISNUMBER(SEARCH(",",B316)), TRIM(MID(B316,FIND(",",B316)+1,LEN(B316))&amp;" "&amp;LEFT(B316,FIND(",",B316)-1)), B316)</f>
        <v>Suresh Bhatt</v>
      </c>
      <c r="D316" s="7" t="str">
        <f t="shared" ref="D316:D344" si="62">PROPER(TRIM(C316))</f>
        <v>Suresh Bhatt</v>
      </c>
      <c r="E316" s="7" t="s">
        <v>61</v>
      </c>
      <c r="F316" s="7" t="s">
        <v>122</v>
      </c>
      <c r="G316" s="7" t="s">
        <v>91</v>
      </c>
      <c r="H316" s="7" t="str">
        <f>_xlfn.XLOOKUP(G316,Lookup_Tables!$A$4:$A$9,Lookup_Tables!$C$4:$C$9,"Not Found",0)</f>
        <v>Rajiv Kapoor</v>
      </c>
      <c r="I316" s="7" t="s">
        <v>175</v>
      </c>
      <c r="J316" s="7" t="s">
        <v>205</v>
      </c>
      <c r="K316" s="7" t="str">
        <f t="shared" ref="K316:K344" si="63">IF(J316="","No Email ID",SUBSTITUTE(J316,"companycom","company.com"))</f>
        <v>deepak.desai@company.com</v>
      </c>
      <c r="L316" s="7" t="s">
        <v>1343</v>
      </c>
      <c r="M316" s="7" t="str">
        <f t="shared" si="60"/>
        <v>8795610909</v>
      </c>
      <c r="N316" s="7" t="str" cm="1">
        <f t="array" ref="N316">_xlfn.IFS(M316="","Incomplete",LEN(M316)&lt;10,"Invalid",AND(LEN(M316) =10,LEFT(M316,4) &lt;&gt;"+91-"),"+91-"&amp;M316,TRUE,M316)</f>
        <v>+91-8795610909</v>
      </c>
      <c r="O316" s="8" t="s">
        <v>1344</v>
      </c>
      <c r="P316" s="14"/>
      <c r="Q316" s="14" t="str">
        <f t="shared" si="55"/>
        <v>Missing</v>
      </c>
      <c r="R316" s="14" t="str" cm="1">
        <f t="array" ref="R316">_xlfn.IFS(OR(Q316="Missing",Q316="N/A",Q316="Still Employed"),Q316,ISNUMBER(SEARCH(",",Q316)),DATEVALUE(Q316),AND(ISNUMBER(SEARCH("-",Q316)),ISNUMBER(VALUE(LEFT(Q316,4)))),DATE(LEFT(Q316,4),MID(Q316,6,2),RIGHT(Q316,2)),ISNUMBER(SEARCH("-",Q316)),DATE(RIGHT(Q316,4),MID(Q316,4,2),LEFT(Q316,2)),ISNUMBER(SEARCH("/",Q316)),DATE(RIGHT(Q316,4),MID(Q316,4,2),LEFT(Q316,2)),TRUE,"Check Manually")</f>
        <v>Missing</v>
      </c>
      <c r="S316" s="31" t="str">
        <f t="shared" ca="1" si="56"/>
        <v>4 Years, 4 Months, 18 Days</v>
      </c>
      <c r="T316" s="31">
        <f t="shared" ca="1" si="57"/>
        <v>1600.76</v>
      </c>
      <c r="U316" s="31" t="str" cm="1">
        <f t="array" ref="U316">_xlfn.IFS(OR(R316="Missing",R316="N/A",R316="Still Employed"),"Unknown",ISNUMBER(R316),"Exited",TRUE,"Unknown")</f>
        <v>Unknown</v>
      </c>
      <c r="V316" s="31" t="str">
        <f t="shared" si="58"/>
        <v/>
      </c>
      <c r="W316" s="14" t="str">
        <f t="shared" si="59"/>
        <v>Active</v>
      </c>
      <c r="X316" s="19" t="s">
        <v>1345</v>
      </c>
      <c r="Y316" s="18" t="str">
        <f t="shared" ref="Y316:Y344" si="64">TRIM(X316)</f>
        <v>92,783</v>
      </c>
      <c r="Z316" s="22" t="str" cm="1">
        <f t="array" ref="Z316">_xlfn.IFS(Y316="","0",LEFT(Y316,5)="",Y316,LEFT(Y316,1)="₹",REPLACE(Y316,1,1,""),LEFT(Y316,4)="Rs. ",REPLACE(Y316,1,4,""),TRUE,Y316)</f>
        <v>92,783</v>
      </c>
      <c r="AA316" s="22" t="str">
        <f t="shared" ref="AA316:AA344" si="65">SUBSTITUTE(Z316,",","")</f>
        <v>92783</v>
      </c>
      <c r="AB316" s="7" t="s">
        <v>95</v>
      </c>
      <c r="AC316" s="7" t="str">
        <f t="shared" ref="AC316:AC344" si="66">IF(AB316="","Not Rated",AB316)</f>
        <v>Average</v>
      </c>
      <c r="AD316" s="7">
        <v>10</v>
      </c>
      <c r="AE316" cm="1">
        <f t="array" ref="AE316">_xlfn.IFS(AD316="",0,AD316&lt;0,"Negate Leave",AD316&gt;=0,AD316)</f>
        <v>10</v>
      </c>
    </row>
    <row r="317" spans="1:31" x14ac:dyDescent="0.3">
      <c r="A317" s="7">
        <v>5061</v>
      </c>
      <c r="B317" s="7" t="s">
        <v>1334</v>
      </c>
      <c r="C317" s="7" t="str">
        <f t="shared" si="61"/>
        <v>Nikhil Naidu</v>
      </c>
      <c r="D317" s="7" t="str">
        <f t="shared" si="62"/>
        <v>Nikhil Naidu</v>
      </c>
      <c r="E317" s="7" t="s">
        <v>68</v>
      </c>
      <c r="F317" s="7" t="s">
        <v>133</v>
      </c>
      <c r="G317" s="7" t="s">
        <v>69</v>
      </c>
      <c r="H317" s="7" t="str">
        <f>_xlfn.XLOOKUP(G317,Lookup_Tables!$A$4:$A$9,Lookup_Tables!$C$4:$C$9,"Not Found",0)</f>
        <v>Vivek Malhotra</v>
      </c>
      <c r="I317" s="7" t="s">
        <v>55</v>
      </c>
      <c r="J317" s="7" t="s">
        <v>1021</v>
      </c>
      <c r="K317" s="7" t="str">
        <f t="shared" si="63"/>
        <v>isha.agarwal@company.com</v>
      </c>
      <c r="L317" s="7" t="s">
        <v>1347</v>
      </c>
      <c r="M317" s="7" t="str">
        <f t="shared" si="60"/>
        <v>7217513451</v>
      </c>
      <c r="N317" s="7" t="str" cm="1">
        <f t="array" ref="N317">_xlfn.IFS(M317="","Incomplete",LEN(M317)&lt;10,"Invalid",AND(LEN(M317) =10,LEFT(M317,4) &lt;&gt;"+91-"),"+91-"&amp;M317,TRUE,M317)</f>
        <v>+91-7217513451</v>
      </c>
      <c r="O317" s="8" t="s">
        <v>1348</v>
      </c>
      <c r="P317" s="14" t="s">
        <v>1349</v>
      </c>
      <c r="Q317" s="14" t="str">
        <f t="shared" si="55"/>
        <v>2025-05-28</v>
      </c>
      <c r="R317" s="14" cm="1">
        <f t="array" ref="R317">_xlfn.IFS(OR(Q317="Missing",Q317="N/A",Q317="Still Employed"),Q317,ISNUMBER(SEARCH(",",Q317)),DATEVALUE(Q317),AND(ISNUMBER(SEARCH("-",Q317)),ISNUMBER(VALUE(LEFT(Q317,4)))),DATE(LEFT(Q317,4),MID(Q317,6,2),RIGHT(Q317,2)),ISNUMBER(SEARCH("-",Q317)),DATE(RIGHT(Q317,4),MID(Q317,4,2),LEFT(Q317,2)),ISNUMBER(SEARCH("/",Q317)),DATE(RIGHT(Q317,4),MID(Q317,4,2),LEFT(Q317,2)),TRUE,"Check Manually")</f>
        <v>45805</v>
      </c>
      <c r="S317" s="31" t="str">
        <f t="shared" ca="1" si="56"/>
        <v>1 Years, 8 Months, 6 Days</v>
      </c>
      <c r="T317" s="31">
        <f t="shared" ca="1" si="57"/>
        <v>614.77</v>
      </c>
      <c r="U317" s="31" t="str" cm="1">
        <f t="array" ref="U317">_xlfn.IFS(OR(R317="Missing",R317="N/A",R317="Still Employed"),"Unknown",ISNUMBER(R317),"Exited",TRUE,"Unknown")</f>
        <v>Exited</v>
      </c>
      <c r="V317" s="31">
        <f t="shared" si="58"/>
        <v>2025</v>
      </c>
      <c r="W317" s="14" t="str">
        <f t="shared" si="59"/>
        <v>Exited</v>
      </c>
      <c r="X317" s="19"/>
      <c r="Y317" s="18" t="str">
        <f t="shared" si="64"/>
        <v/>
      </c>
      <c r="Z317" s="22" t="str" cm="1">
        <f t="array" ref="Z317">_xlfn.IFS(Y317="","0",LEFT(Y317,5)="",Y317,LEFT(Y317,1)="₹",REPLACE(Y317,1,1,""),LEFT(Y317,4)="Rs. ",REPLACE(Y317,1,4,""),TRUE,Y317)</f>
        <v>0</v>
      </c>
      <c r="AA317" s="22" t="str">
        <f t="shared" si="65"/>
        <v>0</v>
      </c>
      <c r="AB317" s="7" t="s">
        <v>127</v>
      </c>
      <c r="AC317" s="7" t="str">
        <f t="shared" si="66"/>
        <v>Good</v>
      </c>
      <c r="AD317" s="7">
        <v>13</v>
      </c>
      <c r="AE317" cm="1">
        <f t="array" ref="AE317">_xlfn.IFS(AD317="",0,AD317&lt;0,"Negate Leave",AD317&gt;=0,AD317)</f>
        <v>13</v>
      </c>
    </row>
    <row r="318" spans="1:31" x14ac:dyDescent="0.3">
      <c r="A318" s="7">
        <v>5256</v>
      </c>
      <c r="B318" s="7" t="s">
        <v>1338</v>
      </c>
      <c r="C318" s="7" t="str">
        <f t="shared" si="61"/>
        <v>Simran Verma</v>
      </c>
      <c r="D318" s="7" t="str">
        <f t="shared" si="62"/>
        <v>Simran Verma</v>
      </c>
      <c r="E318" s="7" t="s">
        <v>61</v>
      </c>
      <c r="F318" s="7" t="s">
        <v>53</v>
      </c>
      <c r="G318" s="7" t="s">
        <v>54</v>
      </c>
      <c r="H318" s="7" t="str">
        <f>_xlfn.XLOOKUP(G318,Lookup_Tables!$A$4:$A$9,Lookup_Tables!$C$4:$C$9,"Not Found",0)</f>
        <v>Leela Iyer</v>
      </c>
      <c r="I318" s="7" t="s">
        <v>85</v>
      </c>
      <c r="J318" s="7" t="s">
        <v>1351</v>
      </c>
      <c r="K318" s="7" t="str">
        <f t="shared" si="63"/>
        <v>anita.rao@company.com</v>
      </c>
      <c r="L318" s="7"/>
      <c r="M318" s="7" t="str">
        <f t="shared" si="60"/>
        <v/>
      </c>
      <c r="N318" s="7" t="str" cm="1">
        <f t="array" ref="N318">_xlfn.IFS(M318="","Incomplete",LEN(M318)&lt;10,"Invalid",AND(LEN(M318) =10,LEFT(M318,4) &lt;&gt;"+91-"),"+91-"&amp;M318,TRUE,M318)</f>
        <v>Incomplete</v>
      </c>
      <c r="O318" s="8" t="s">
        <v>1352</v>
      </c>
      <c r="P318" s="14" t="s">
        <v>114</v>
      </c>
      <c r="Q318" s="14" t="str">
        <f t="shared" si="55"/>
        <v>Still Employed</v>
      </c>
      <c r="R318" s="14" t="str" cm="1">
        <f t="array" ref="R318">_xlfn.IFS(OR(Q318="Missing",Q318="N/A",Q318="Still Employed"),Q318,ISNUMBER(SEARCH(",",Q318)),DATEVALUE(Q318),AND(ISNUMBER(SEARCH("-",Q318)),ISNUMBER(VALUE(LEFT(Q318,4)))),DATE(LEFT(Q318,4),MID(Q318,6,2),RIGHT(Q318,2)),ISNUMBER(SEARCH("-",Q318)),DATE(RIGHT(Q318,4),MID(Q318,4,2),LEFT(Q318,2)),ISNUMBER(SEARCH("/",Q318)),DATE(RIGHT(Q318,4),MID(Q318,4,2),LEFT(Q318,2)),TRUE,"Check Manually")</f>
        <v>Still Employed</v>
      </c>
      <c r="S318" s="31" t="str">
        <f t="shared" ca="1" si="56"/>
        <v>7 Years, 6 Months, 16 Days</v>
      </c>
      <c r="T318" s="31">
        <f t="shared" ca="1" si="57"/>
        <v>2755.39</v>
      </c>
      <c r="U318" s="31" t="str" cm="1">
        <f t="array" ref="U318">_xlfn.IFS(OR(R318="Missing",R318="N/A",R318="Still Employed"),"Unknown",ISNUMBER(R318),"Exited",TRUE,"Unknown")</f>
        <v>Unknown</v>
      </c>
      <c r="V318" s="31" t="str">
        <f t="shared" si="58"/>
        <v/>
      </c>
      <c r="W318" s="14" t="str">
        <f t="shared" si="59"/>
        <v>Active</v>
      </c>
      <c r="X318" s="19">
        <v>138986</v>
      </c>
      <c r="Y318" s="18" t="str">
        <f t="shared" si="64"/>
        <v>138986</v>
      </c>
      <c r="Z318" s="22" t="str" cm="1">
        <f t="array" ref="Z318">_xlfn.IFS(Y318="","0",LEFT(Y318,5)="",Y318,LEFT(Y318,1)="₹",REPLACE(Y318,1,1,""),LEFT(Y318,4)="Rs. ",REPLACE(Y318,1,4,""),TRUE,Y318)</f>
        <v>138986</v>
      </c>
      <c r="AA318" s="22" t="str">
        <f t="shared" si="65"/>
        <v>138986</v>
      </c>
      <c r="AB318" s="7" t="s">
        <v>144</v>
      </c>
      <c r="AC318" s="7" t="str">
        <f t="shared" si="66"/>
        <v>Poor</v>
      </c>
      <c r="AD318" s="7">
        <v>7</v>
      </c>
      <c r="AE318" cm="1">
        <f t="array" ref="AE318">_xlfn.IFS(AD318="",0,AD318&lt;0,"Negate Leave",AD318&gt;=0,AD318)</f>
        <v>7</v>
      </c>
    </row>
    <row r="319" spans="1:31" x14ac:dyDescent="0.3">
      <c r="A319" s="7">
        <v>5195</v>
      </c>
      <c r="B319" s="7" t="s">
        <v>683</v>
      </c>
      <c r="C319" s="7" t="str">
        <f t="shared" si="61"/>
        <v>Nikhil Desai</v>
      </c>
      <c r="D319" s="7" t="str">
        <f t="shared" si="62"/>
        <v>Nikhil Desai</v>
      </c>
      <c r="E319" s="7" t="s">
        <v>61</v>
      </c>
      <c r="F319" s="7" t="s">
        <v>133</v>
      </c>
      <c r="G319" s="7" t="s">
        <v>69</v>
      </c>
      <c r="H319" s="7" t="str">
        <f>_xlfn.XLOOKUP(G319,Lookup_Tables!$A$4:$A$9,Lookup_Tables!$C$4:$C$9,"Not Found",0)</f>
        <v>Vivek Malhotra</v>
      </c>
      <c r="I319" s="7" t="s">
        <v>70</v>
      </c>
      <c r="J319" s="7" t="s">
        <v>1354</v>
      </c>
      <c r="K319" s="7" t="str">
        <f t="shared" si="63"/>
        <v xml:space="preserve">rohan.trivedi@company.com </v>
      </c>
      <c r="L319" s="7" t="s">
        <v>1355</v>
      </c>
      <c r="M319" s="7" t="str">
        <f t="shared" si="60"/>
        <v>+91-9317348688</v>
      </c>
      <c r="N319" s="7" t="str" cm="1">
        <f t="array" ref="N319">_xlfn.IFS(M319="","Incomplete",LEN(M319)&lt;10,"Invalid",AND(LEN(M319) =10,LEFT(M319,4) &lt;&gt;"+91-"),"+91-"&amp;M319,TRUE,M319)</f>
        <v>+91-9317348688</v>
      </c>
      <c r="O319" s="8" t="s">
        <v>1356</v>
      </c>
      <c r="P319" s="14" t="s">
        <v>126</v>
      </c>
      <c r="Q319" s="14" t="str">
        <f t="shared" si="55"/>
        <v>N/A</v>
      </c>
      <c r="R319" s="14" t="str" cm="1">
        <f t="array" ref="R319">_xlfn.IFS(OR(Q319="Missing",Q319="N/A",Q319="Still Employed"),Q319,ISNUMBER(SEARCH(",",Q319)),DATEVALUE(Q319),AND(ISNUMBER(SEARCH("-",Q319)),ISNUMBER(VALUE(LEFT(Q319,4)))),DATE(LEFT(Q319,4),MID(Q319,6,2),RIGHT(Q319,2)),ISNUMBER(SEARCH("-",Q319)),DATE(RIGHT(Q319,4),MID(Q319,4,2),LEFT(Q319,2)),ISNUMBER(SEARCH("/",Q319)),DATE(RIGHT(Q319,4),MID(Q319,4,2),LEFT(Q319,2)),TRUE,"Check Manually")</f>
        <v>N/A</v>
      </c>
      <c r="S319" s="31" t="str">
        <f t="shared" ca="1" si="56"/>
        <v>5 Years, 11 Months, 16 Days</v>
      </c>
      <c r="T319" s="31">
        <f t="shared" ca="1" si="57"/>
        <v>2177.09</v>
      </c>
      <c r="U319" s="31" t="str" cm="1">
        <f t="array" ref="U319">_xlfn.IFS(OR(R319="Missing",R319="N/A",R319="Still Employed"),"Unknown",ISNUMBER(R319),"Exited",TRUE,"Unknown")</f>
        <v>Unknown</v>
      </c>
      <c r="V319" s="31" t="str">
        <f t="shared" si="58"/>
        <v/>
      </c>
      <c r="W319" s="14" t="str">
        <f t="shared" si="59"/>
        <v>Active</v>
      </c>
      <c r="X319" s="19" t="s">
        <v>1357</v>
      </c>
      <c r="Y319" s="18" t="str">
        <f t="shared" si="64"/>
        <v>₹158,703</v>
      </c>
      <c r="Z319" s="22" t="str" cm="1">
        <f t="array" ref="Z319">_xlfn.IFS(Y319="","0",LEFT(Y319,5)="",Y319,LEFT(Y319,1)="₹",REPLACE(Y319,1,1,""),LEFT(Y319,4)="Rs. ",REPLACE(Y319,1,4,""),TRUE,Y319)</f>
        <v>158,703</v>
      </c>
      <c r="AA319" s="22" t="str">
        <f t="shared" si="65"/>
        <v>158703</v>
      </c>
      <c r="AB319" s="7"/>
      <c r="AC319" s="7" t="str">
        <f t="shared" si="66"/>
        <v>Not Rated</v>
      </c>
      <c r="AD319" s="7">
        <v>-3</v>
      </c>
      <c r="AE319" t="str" cm="1">
        <f t="array" ref="AE319">_xlfn.IFS(AD319="",0,AD319&lt;0,"Negate Leave",AD319&gt;=0,AD319)</f>
        <v>Negate Leave</v>
      </c>
    </row>
    <row r="320" spans="1:31" x14ac:dyDescent="0.3">
      <c r="A320" s="7">
        <v>5252</v>
      </c>
      <c r="B320" s="7" t="s">
        <v>1342</v>
      </c>
      <c r="C320" s="7" t="str">
        <f t="shared" si="61"/>
        <v>Deepak Desai</v>
      </c>
      <c r="D320" s="7" t="str">
        <f t="shared" si="62"/>
        <v>Deepak Desai</v>
      </c>
      <c r="E320" s="7" t="s">
        <v>68</v>
      </c>
      <c r="F320" s="7" t="s">
        <v>389</v>
      </c>
      <c r="G320" s="7" t="s">
        <v>140</v>
      </c>
      <c r="H320" s="7" t="str">
        <f>_xlfn.XLOOKUP(G320,Lookup_Tables!$A$4:$A$9,Lookup_Tables!$C$4:$C$9,"Not Found",0)</f>
        <v>Sunita Rao</v>
      </c>
      <c r="I320" s="7" t="s">
        <v>110</v>
      </c>
      <c r="J320" s="7" t="s">
        <v>1359</v>
      </c>
      <c r="K320" s="7" t="str">
        <f t="shared" si="63"/>
        <v>kavya.kapoor@company.com</v>
      </c>
      <c r="L320" s="7"/>
      <c r="M320" s="7" t="str">
        <f t="shared" si="60"/>
        <v/>
      </c>
      <c r="N320" s="7" t="str" cm="1">
        <f t="array" ref="N320">_xlfn.IFS(M320="","Incomplete",LEN(M320)&lt;10,"Invalid",AND(LEN(M320) =10,LEFT(M320,4) &lt;&gt;"+91-"),"+91-"&amp;M320,TRUE,M320)</f>
        <v>Incomplete</v>
      </c>
      <c r="O320" s="8" t="s">
        <v>1360</v>
      </c>
      <c r="P320" s="14" t="s">
        <v>114</v>
      </c>
      <c r="Q320" s="14" t="str">
        <f t="shared" si="55"/>
        <v>Still Employed</v>
      </c>
      <c r="R320" s="14" t="str" cm="1">
        <f t="array" ref="R320">_xlfn.IFS(OR(Q320="Missing",Q320="N/A",Q320="Still Employed"),Q320,ISNUMBER(SEARCH(",",Q320)),DATEVALUE(Q320),AND(ISNUMBER(SEARCH("-",Q320)),ISNUMBER(VALUE(LEFT(Q320,4)))),DATE(LEFT(Q320,4),MID(Q320,6,2),RIGHT(Q320,2)),ISNUMBER(SEARCH("-",Q320)),DATE(RIGHT(Q320,4),MID(Q320,4,2),LEFT(Q320,2)),ISNUMBER(SEARCH("/",Q320)),DATE(RIGHT(Q320,4),MID(Q320,4,2),LEFT(Q320,2)),TRUE,"Check Manually")</f>
        <v>Still Employed</v>
      </c>
      <c r="S320" s="31" t="str">
        <f t="shared" ca="1" si="56"/>
        <v>4 Years, 10 Months, 29 Days</v>
      </c>
      <c r="T320" s="31">
        <f t="shared" ca="1" si="57"/>
        <v>1794.4</v>
      </c>
      <c r="U320" s="31" t="str" cm="1">
        <f t="array" ref="U320">_xlfn.IFS(OR(R320="Missing",R320="N/A",R320="Still Employed"),"Unknown",ISNUMBER(R320),"Exited",TRUE,"Unknown")</f>
        <v>Unknown</v>
      </c>
      <c r="V320" s="31" t="str">
        <f t="shared" si="58"/>
        <v/>
      </c>
      <c r="W320" s="14" t="str">
        <f t="shared" si="59"/>
        <v>Active</v>
      </c>
      <c r="X320" s="19" t="s">
        <v>1361</v>
      </c>
      <c r="Y320" s="18" t="str">
        <f t="shared" si="64"/>
        <v>₹110,892</v>
      </c>
      <c r="Z320" s="22" t="str" cm="1">
        <f t="array" ref="Z320">_xlfn.IFS(Y320="","0",LEFT(Y320,5)="",Y320,LEFT(Y320,1)="₹",REPLACE(Y320,1,1,""),LEFT(Y320,4)="Rs. ",REPLACE(Y320,1,4,""),TRUE,Y320)</f>
        <v>110,892</v>
      </c>
      <c r="AA320" s="22" t="str">
        <f t="shared" si="65"/>
        <v>110892</v>
      </c>
      <c r="AB320" s="7" t="s">
        <v>144</v>
      </c>
      <c r="AC320" s="7" t="str">
        <f t="shared" si="66"/>
        <v>Poor</v>
      </c>
      <c r="AD320" s="7">
        <v>-1</v>
      </c>
      <c r="AE320" t="str" cm="1">
        <f t="array" ref="AE320">_xlfn.IFS(AD320="",0,AD320&lt;0,"Negate Leave",AD320&gt;=0,AD320)</f>
        <v>Negate Leave</v>
      </c>
    </row>
    <row r="321" spans="1:31" x14ac:dyDescent="0.3">
      <c r="A321" s="7">
        <v>5165</v>
      </c>
      <c r="B321" s="7" t="s">
        <v>1346</v>
      </c>
      <c r="C321" s="7" t="str">
        <f t="shared" si="61"/>
        <v>ISHA AGARWAL</v>
      </c>
      <c r="D321" s="7" t="str">
        <f t="shared" si="62"/>
        <v>Isha Agarwal</v>
      </c>
      <c r="E321" s="7" t="s">
        <v>84</v>
      </c>
      <c r="F321" s="7" t="s">
        <v>151</v>
      </c>
      <c r="G321" s="7" t="s">
        <v>76</v>
      </c>
      <c r="H321" s="7" t="str">
        <f>_xlfn.XLOOKUP(G321,Lookup_Tables!$A$4:$A$9,Lookup_Tables!$C$4:$C$9,"Not Found",0)</f>
        <v>Ananya Sen</v>
      </c>
      <c r="I321" s="7" t="s">
        <v>110</v>
      </c>
      <c r="J321" s="7" t="s">
        <v>1362</v>
      </c>
      <c r="K321" s="7" t="str">
        <f t="shared" si="63"/>
        <v>nikhil.bhatt@company.com</v>
      </c>
      <c r="L321" s="7" t="s">
        <v>1363</v>
      </c>
      <c r="M321" s="7" t="str">
        <f t="shared" si="60"/>
        <v>+91-4833935442</v>
      </c>
      <c r="N321" s="7" t="str" cm="1">
        <f t="array" ref="N321">_xlfn.IFS(M321="","Incomplete",LEN(M321)&lt;10,"Invalid",AND(LEN(M321) =10,LEFT(M321,4) &lt;&gt;"+91-"),"+91-"&amp;M321,TRUE,M321)</f>
        <v>+91-4833935442</v>
      </c>
      <c r="O321" s="8" t="s">
        <v>1364</v>
      </c>
      <c r="P321" s="14" t="s">
        <v>126</v>
      </c>
      <c r="Q321" s="14" t="str">
        <f t="shared" si="55"/>
        <v>N/A</v>
      </c>
      <c r="R321" s="14" t="str" cm="1">
        <f t="array" ref="R321">_xlfn.IFS(OR(Q321="Missing",Q321="N/A",Q321="Still Employed"),Q321,ISNUMBER(SEARCH(",",Q321)),DATEVALUE(Q321),AND(ISNUMBER(SEARCH("-",Q321)),ISNUMBER(VALUE(LEFT(Q321,4)))),DATE(LEFT(Q321,4),MID(Q321,6,2),RIGHT(Q321,2)),ISNUMBER(SEARCH("-",Q321)),DATE(RIGHT(Q321,4),MID(Q321,4,2),LEFT(Q321,2)),ISNUMBER(SEARCH("/",Q321)),DATE(RIGHT(Q321,4),MID(Q321,4,2),LEFT(Q321,2)),TRUE,"Check Manually")</f>
        <v>N/A</v>
      </c>
      <c r="S321" s="31" t="str">
        <f t="shared" ca="1" si="56"/>
        <v>3 Years, 7 Months, 25 Days</v>
      </c>
      <c r="T321" s="31">
        <f t="shared" ca="1" si="57"/>
        <v>1333.83</v>
      </c>
      <c r="U321" s="31" t="str" cm="1">
        <f t="array" ref="U321">_xlfn.IFS(OR(R321="Missing",R321="N/A",R321="Still Employed"),"Unknown",ISNUMBER(R321),"Exited",TRUE,"Unknown")</f>
        <v>Unknown</v>
      </c>
      <c r="V321" s="31" t="str">
        <f t="shared" si="58"/>
        <v/>
      </c>
      <c r="W321" s="14" t="str">
        <f t="shared" si="59"/>
        <v>Active</v>
      </c>
      <c r="X321" s="19">
        <v>39617</v>
      </c>
      <c r="Y321" s="18" t="str">
        <f t="shared" si="64"/>
        <v>39617</v>
      </c>
      <c r="Z321" s="22" t="str" cm="1">
        <f t="array" ref="Z321">_xlfn.IFS(Y321="","0",LEFT(Y321,5)="",Y321,LEFT(Y321,1)="₹",REPLACE(Y321,1,1,""),LEFT(Y321,4)="Rs. ",REPLACE(Y321,1,4,""),TRUE,Y321)</f>
        <v>39617</v>
      </c>
      <c r="AA321" s="22" t="str">
        <f t="shared" si="65"/>
        <v>39617</v>
      </c>
      <c r="AB321" s="7" t="s">
        <v>51</v>
      </c>
      <c r="AC321" s="7" t="str">
        <f t="shared" si="66"/>
        <v>Excellent</v>
      </c>
      <c r="AD321" s="7"/>
      <c r="AE321" cm="1">
        <f t="array" ref="AE321">_xlfn.IFS(AD321="",0,AD321&lt;0,"Negate Leave",AD321&gt;=0,AD321)</f>
        <v>0</v>
      </c>
    </row>
    <row r="322" spans="1:31" x14ac:dyDescent="0.3">
      <c r="A322" s="7">
        <v>5118</v>
      </c>
      <c r="B322" s="7" t="s">
        <v>1350</v>
      </c>
      <c r="C322" s="7" t="str">
        <f t="shared" si="61"/>
        <v>Anita Rao</v>
      </c>
      <c r="D322" s="7" t="str">
        <f t="shared" si="62"/>
        <v>Anita Rao</v>
      </c>
      <c r="E322" s="7" t="s">
        <v>84</v>
      </c>
      <c r="F322" s="7" t="s">
        <v>133</v>
      </c>
      <c r="G322" s="7" t="s">
        <v>69</v>
      </c>
      <c r="H322" s="7" t="str">
        <f>_xlfn.XLOOKUP(G322,Lookup_Tables!$A$4:$A$9,Lookup_Tables!$C$4:$C$9,"Not Found",0)</f>
        <v>Vivek Malhotra</v>
      </c>
      <c r="I322" s="7" t="s">
        <v>110</v>
      </c>
      <c r="J322" s="7" t="s">
        <v>1366</v>
      </c>
      <c r="K322" s="7" t="str">
        <f t="shared" si="63"/>
        <v>ishamenon@company.com</v>
      </c>
      <c r="L322" s="7" t="s">
        <v>1367</v>
      </c>
      <c r="M322" s="7" t="str">
        <f t="shared" si="60"/>
        <v>5296813454</v>
      </c>
      <c r="N322" s="7" t="str" cm="1">
        <f t="array" ref="N322">_xlfn.IFS(M322="","Incomplete",LEN(M322)&lt;10,"Invalid",AND(LEN(M322) =10,LEFT(M322,4) &lt;&gt;"+91-"),"+91-"&amp;M322,TRUE,M322)</f>
        <v>+91-5296813454</v>
      </c>
      <c r="O322" s="8" t="s">
        <v>1368</v>
      </c>
      <c r="P322" s="14" t="s">
        <v>1369</v>
      </c>
      <c r="Q322" s="14" t="str">
        <f t="shared" ref="Q322:Q344" si="67">IF(P322="","Missing",P322)</f>
        <v>2024-12-26</v>
      </c>
      <c r="R322" s="14" cm="1">
        <f t="array" ref="R322">_xlfn.IFS(OR(Q322="Missing",Q322="N/A",Q322="Still Employed"),Q322,ISNUMBER(SEARCH(",",Q322)),DATEVALUE(Q322),AND(ISNUMBER(SEARCH("-",Q322)),ISNUMBER(VALUE(LEFT(Q322,4)))),DATE(LEFT(Q322,4),MID(Q322,6,2),RIGHT(Q322,2)),ISNUMBER(SEARCH("-",Q322)),DATE(RIGHT(Q322,4),MID(Q322,4,2),LEFT(Q322,2)),ISNUMBER(SEARCH("/",Q322)),DATE(RIGHT(Q322,4),MID(Q322,4,2),LEFT(Q322,2)),TRUE,"Check Manually")</f>
        <v>45652</v>
      </c>
      <c r="S322" s="31" t="str">
        <f t="shared" ca="1" si="56"/>
        <v>1 Years, 11 Months, 25 Days</v>
      </c>
      <c r="T322" s="31">
        <f t="shared" ca="1" si="57"/>
        <v>725.09</v>
      </c>
      <c r="U322" s="31" t="str" cm="1">
        <f t="array" ref="U322">_xlfn.IFS(OR(R322="Missing",R322="N/A",R322="Still Employed"),"Unknown",ISNUMBER(R322),"Exited",TRUE,"Unknown")</f>
        <v>Exited</v>
      </c>
      <c r="V322" s="31">
        <f t="shared" si="58"/>
        <v>2024</v>
      </c>
      <c r="W322" s="14" t="str">
        <f t="shared" si="59"/>
        <v>Exited</v>
      </c>
      <c r="X322" s="19" t="s">
        <v>1370</v>
      </c>
      <c r="Y322" s="18" t="str">
        <f t="shared" si="64"/>
        <v>157,613</v>
      </c>
      <c r="Z322" s="22" t="str" cm="1">
        <f t="array" ref="Z322">_xlfn.IFS(Y322="","0",LEFT(Y322,5)="",Y322,LEFT(Y322,1)="₹",REPLACE(Y322,1,1,""),LEFT(Y322,4)="Rs. ",REPLACE(Y322,1,4,""),TRUE,Y322)</f>
        <v>157,613</v>
      </c>
      <c r="AA322" s="22" t="str">
        <f t="shared" si="65"/>
        <v>157613</v>
      </c>
      <c r="AB322" s="7" t="s">
        <v>144</v>
      </c>
      <c r="AC322" s="7" t="str">
        <f t="shared" si="66"/>
        <v>Poor</v>
      </c>
      <c r="AD322" s="7">
        <v>9</v>
      </c>
      <c r="AE322" cm="1">
        <f t="array" ref="AE322">_xlfn.IFS(AD322="",0,AD322&lt;0,"Negate Leave",AD322&gt;=0,AD322)</f>
        <v>9</v>
      </c>
    </row>
    <row r="323" spans="1:31" x14ac:dyDescent="0.3">
      <c r="A323" s="7">
        <v>5093</v>
      </c>
      <c r="B323" s="7" t="s">
        <v>223</v>
      </c>
      <c r="C323" s="7" t="str">
        <f t="shared" si="61"/>
        <v>Rahul Bose</v>
      </c>
      <c r="D323" s="7" t="str">
        <f t="shared" si="62"/>
        <v>Rahul Bose</v>
      </c>
      <c r="E323" s="7" t="s">
        <v>61</v>
      </c>
      <c r="F323" s="7" t="s">
        <v>151</v>
      </c>
      <c r="G323" s="7" t="s">
        <v>76</v>
      </c>
      <c r="H323" s="7" t="str">
        <f>_xlfn.XLOOKUP(G323,Lookup_Tables!$A$4:$A$9,Lookup_Tables!$C$4:$C$9,"Not Found",0)</f>
        <v>Ananya Sen</v>
      </c>
      <c r="I323" s="7" t="s">
        <v>62</v>
      </c>
      <c r="J323" s="7" t="s">
        <v>1359</v>
      </c>
      <c r="K323" s="7" t="str">
        <f t="shared" si="63"/>
        <v>kavya.kapoor@company.com</v>
      </c>
      <c r="L323" s="7"/>
      <c r="M323" s="7" t="str">
        <f t="shared" si="60"/>
        <v/>
      </c>
      <c r="N323" s="7" t="str" cm="1">
        <f t="array" ref="N323">_xlfn.IFS(M323="","Incomplete",LEN(M323)&lt;10,"Invalid",AND(LEN(M323) =10,LEFT(M323,4) &lt;&gt;"+91-"),"+91-"&amp;M323,TRUE,M323)</f>
        <v>Incomplete</v>
      </c>
      <c r="O323" s="8" t="s">
        <v>734</v>
      </c>
      <c r="P323" s="14" t="s">
        <v>108</v>
      </c>
      <c r="Q323" s="14" t="str">
        <f t="shared" si="67"/>
        <v>30/06/2025</v>
      </c>
      <c r="R323" s="14" cm="1">
        <f t="array" ref="R323">_xlfn.IFS(OR(Q323="Missing",Q323="N/A",Q323="Still Employed"),Q323,ISNUMBER(SEARCH(",",Q323)),DATEVALUE(Q323),AND(ISNUMBER(SEARCH("-",Q323)),ISNUMBER(VALUE(LEFT(Q323,4)))),DATE(LEFT(Q323,4),MID(Q323,6,2),RIGHT(Q323,2)),ISNUMBER(SEARCH("-",Q323)),DATE(RIGHT(Q323,4),MID(Q323,4,2),LEFT(Q323,2)),ISNUMBER(SEARCH("/",Q323)),DATE(RIGHT(Q323,4),MID(Q323,4,2),LEFT(Q323,2)),TRUE,"Check Manually")</f>
        <v>45838</v>
      </c>
      <c r="S323" s="31" t="str">
        <f t="shared" ref="S323:S344" ca="1" si="68">IF(OR(R323="Missing",R323="N/A",R323="Still Employed"),DATEDIF(O323,TODAY(),"y") &amp;" Years, " &amp;DATEDIF(O323,TODAY(),"ym") &amp; " Months, "&amp;DATEDIF(O323,TODAY(),"md") &amp;" Days",DATEDIF(O323,R323,"y") &amp;" Years, " &amp;DATEDIF(O323,R323,"ym") &amp; " Months, "&amp;DATEDIF(O323,R323,"md") &amp;" Days")</f>
        <v>4 Years, 2 Months, 23 Days</v>
      </c>
      <c r="T323" s="31">
        <f t="shared" ref="T323:T344" ca="1" si="69">VALUE(LEFT(S323,FIND(" Years",S323)-1))*365.25
+ VALUE(MID(S323,FIND(", ",S323)+2,FIND(" Months",S323)-FIND(", ",S323)-2))*30.44
+ VALUE(MID(S323,FIND("Months, ",S323)+8,FIND(" Days",S323)-FIND("Months, ",S323)-8))</f>
        <v>1544.88</v>
      </c>
      <c r="U323" s="31" t="str" cm="1">
        <f t="array" ref="U323">_xlfn.IFS(OR(R323="Missing",R323="N/A",R323="Still Employed"),"Unknown",ISNUMBER(R323),"Exited",TRUE,"Unknown")</f>
        <v>Exited</v>
      </c>
      <c r="V323" s="31">
        <f t="shared" ref="V323:V344" si="70">IF(U323="Exited",YEAR(R323),"")</f>
        <v>2025</v>
      </c>
      <c r="W323" s="14" t="str">
        <f t="shared" ref="W323:W344" si="71">IF(OR(R323="Missing",R323="N/A",R323="Still Employed"),"Active","Exited")</f>
        <v>Exited</v>
      </c>
      <c r="X323" s="19">
        <v>49265</v>
      </c>
      <c r="Y323" s="18" t="str">
        <f t="shared" si="64"/>
        <v>49265</v>
      </c>
      <c r="Z323" s="22" t="str" cm="1">
        <f t="array" ref="Z323">_xlfn.IFS(Y323="","0",LEFT(Y323,5)="",Y323,LEFT(Y323,1)="₹",REPLACE(Y323,1,1,""),LEFT(Y323,4)="Rs. ",REPLACE(Y323,1,4,""),TRUE,Y323)</f>
        <v>49265</v>
      </c>
      <c r="AA323" s="22" t="str">
        <f t="shared" si="65"/>
        <v>49265</v>
      </c>
      <c r="AB323" s="7" t="s">
        <v>51</v>
      </c>
      <c r="AC323" s="7" t="str">
        <f t="shared" si="66"/>
        <v>Excellent</v>
      </c>
      <c r="AD323" s="7">
        <v>6</v>
      </c>
      <c r="AE323" cm="1">
        <f t="array" ref="AE323">_xlfn.IFS(AD323="",0,AD323&lt;0,"Negate Leave",AD323&gt;=0,AD323)</f>
        <v>6</v>
      </c>
    </row>
    <row r="324" spans="1:31" x14ac:dyDescent="0.3">
      <c r="A324" s="7">
        <v>5175</v>
      </c>
      <c r="B324" s="7" t="s">
        <v>1353</v>
      </c>
      <c r="C324" s="7" t="str">
        <f t="shared" si="61"/>
        <v>Rohan Trivedi</v>
      </c>
      <c r="D324" s="7" t="str">
        <f t="shared" si="62"/>
        <v>Rohan Trivedi</v>
      </c>
      <c r="E324" s="7" t="s">
        <v>61</v>
      </c>
      <c r="F324" s="7" t="s">
        <v>53</v>
      </c>
      <c r="G324" s="7" t="s">
        <v>54</v>
      </c>
      <c r="H324" s="7" t="str">
        <f>_xlfn.XLOOKUP(G324,Lookup_Tables!$A$4:$A$9,Lookup_Tables!$C$4:$C$9,"Not Found",0)</f>
        <v>Leela Iyer</v>
      </c>
      <c r="I324" s="7" t="s">
        <v>77</v>
      </c>
      <c r="J324" s="7" t="s">
        <v>48</v>
      </c>
      <c r="K324" s="7" t="str">
        <f t="shared" si="63"/>
        <v>rajesh.trivedi@company.com</v>
      </c>
      <c r="L324" s="7" t="s">
        <v>1373</v>
      </c>
      <c r="M324" s="7" t="str">
        <f t="shared" si="60"/>
        <v>2806692084</v>
      </c>
      <c r="N324" s="7" t="str" cm="1">
        <f t="array" ref="N324">_xlfn.IFS(M324="","Incomplete",LEN(M324)&lt;10,"Invalid",AND(LEN(M324) =10,LEFT(M324,4) &lt;&gt;"+91-"),"+91-"&amp;M324,TRUE,M324)</f>
        <v>+91-2806692084</v>
      </c>
      <c r="O324" s="8" t="s">
        <v>1374</v>
      </c>
      <c r="P324" s="14"/>
      <c r="Q324" s="14" t="str">
        <f t="shared" si="67"/>
        <v>Missing</v>
      </c>
      <c r="R324" s="14" t="str" cm="1">
        <f t="array" ref="R324">_xlfn.IFS(OR(Q324="Missing",Q324="N/A",Q324="Still Employed"),Q324,ISNUMBER(SEARCH(",",Q324)),DATEVALUE(Q324),AND(ISNUMBER(SEARCH("-",Q324)),ISNUMBER(VALUE(LEFT(Q324,4)))),DATE(LEFT(Q324,4),MID(Q324,6,2),RIGHT(Q324,2)),ISNUMBER(SEARCH("-",Q324)),DATE(RIGHT(Q324,4),MID(Q324,4,2),LEFT(Q324,2)),ISNUMBER(SEARCH("/",Q324)),DATE(RIGHT(Q324,4),MID(Q324,4,2),LEFT(Q324,2)),TRUE,"Check Manually")</f>
        <v>Missing</v>
      </c>
      <c r="S324" s="31" t="str">
        <f t="shared" ca="1" si="68"/>
        <v>3 Years, 1 Months, 19 Days</v>
      </c>
      <c r="T324" s="31">
        <f t="shared" ca="1" si="69"/>
        <v>1145.19</v>
      </c>
      <c r="U324" s="31" t="str" cm="1">
        <f t="array" ref="U324">_xlfn.IFS(OR(R324="Missing",R324="N/A",R324="Still Employed"),"Unknown",ISNUMBER(R324),"Exited",TRUE,"Unknown")</f>
        <v>Unknown</v>
      </c>
      <c r="V324" s="31" t="str">
        <f t="shared" si="70"/>
        <v/>
      </c>
      <c r="W324" s="14" t="str">
        <f t="shared" si="71"/>
        <v>Active</v>
      </c>
      <c r="X324" s="19" t="s">
        <v>1375</v>
      </c>
      <c r="Y324" s="18" t="str">
        <f t="shared" si="64"/>
        <v>₹127,991</v>
      </c>
      <c r="Z324" s="22" t="str" cm="1">
        <f t="array" ref="Z324">_xlfn.IFS(Y324="","0",LEFT(Y324,5)="",Y324,LEFT(Y324,1)="₹",REPLACE(Y324,1,1,""),LEFT(Y324,4)="Rs. ",REPLACE(Y324,1,4,""),TRUE,Y324)</f>
        <v>127,991</v>
      </c>
      <c r="AA324" s="22" t="str">
        <f t="shared" si="65"/>
        <v>127991</v>
      </c>
      <c r="AB324" s="7" t="s">
        <v>127</v>
      </c>
      <c r="AC324" s="7" t="str">
        <f t="shared" si="66"/>
        <v>Good</v>
      </c>
      <c r="AD324" s="7">
        <v>13</v>
      </c>
      <c r="AE324" cm="1">
        <f t="array" ref="AE324">_xlfn.IFS(AD324="",0,AD324&lt;0,"Negate Leave",AD324&gt;=0,AD324)</f>
        <v>13</v>
      </c>
    </row>
    <row r="325" spans="1:31" x14ac:dyDescent="0.3">
      <c r="A325" s="7">
        <v>5099</v>
      </c>
      <c r="B325" s="7" t="s">
        <v>1358</v>
      </c>
      <c r="C325" s="7" t="str">
        <f t="shared" si="61"/>
        <v>Kavya  Kapoor</v>
      </c>
      <c r="D325" s="7" t="str">
        <f t="shared" si="62"/>
        <v>Kavya Kapoor</v>
      </c>
      <c r="E325" s="7" t="s">
        <v>68</v>
      </c>
      <c r="F325" s="7" t="s">
        <v>151</v>
      </c>
      <c r="G325" s="7" t="s">
        <v>76</v>
      </c>
      <c r="H325" s="7" t="str">
        <f>_xlfn.XLOOKUP(G325,Lookup_Tables!$A$4:$A$9,Lookup_Tables!$C$4:$C$9,"Not Found",0)</f>
        <v>Ananya Sen</v>
      </c>
      <c r="I325" s="7" t="s">
        <v>85</v>
      </c>
      <c r="J325" s="7" t="s">
        <v>1377</v>
      </c>
      <c r="K325" s="7" t="str">
        <f t="shared" si="63"/>
        <v>suresh.trivedi@company.com</v>
      </c>
      <c r="L325" s="7" t="s">
        <v>1378</v>
      </c>
      <c r="M325" s="7" t="str">
        <f t="shared" si="60"/>
        <v>2385052528</v>
      </c>
      <c r="N325" s="7" t="str" cm="1">
        <f t="array" ref="N325">_xlfn.IFS(M325="","Incomplete",LEN(M325)&lt;10,"Invalid",AND(LEN(M325) =10,LEFT(M325,4) &lt;&gt;"+91-"),"+91-"&amp;M325,TRUE,M325)</f>
        <v>+91-2385052528</v>
      </c>
      <c r="O325" s="8" t="s">
        <v>1379</v>
      </c>
      <c r="P325" s="14" t="s">
        <v>126</v>
      </c>
      <c r="Q325" s="14" t="str">
        <f t="shared" si="67"/>
        <v>N/A</v>
      </c>
      <c r="R325" s="14" t="str" cm="1">
        <f t="array" ref="R325">_xlfn.IFS(OR(Q325="Missing",Q325="N/A",Q325="Still Employed"),Q325,ISNUMBER(SEARCH(",",Q325)),DATEVALUE(Q325),AND(ISNUMBER(SEARCH("-",Q325)),ISNUMBER(VALUE(LEFT(Q325,4)))),DATE(LEFT(Q325,4),MID(Q325,6,2),RIGHT(Q325,2)),ISNUMBER(SEARCH("-",Q325)),DATE(RIGHT(Q325,4),MID(Q325,4,2),LEFT(Q325,2)),ISNUMBER(SEARCH("/",Q325)),DATE(RIGHT(Q325,4),MID(Q325,4,2),LEFT(Q325,2)),TRUE,"Check Manually")</f>
        <v>N/A</v>
      </c>
      <c r="S325" s="31" t="str">
        <f t="shared" ca="1" si="68"/>
        <v>6 Years, 7 Months, 17 Days</v>
      </c>
      <c r="T325" s="31">
        <f t="shared" ca="1" si="69"/>
        <v>2421.58</v>
      </c>
      <c r="U325" s="31" t="str" cm="1">
        <f t="array" ref="U325">_xlfn.IFS(OR(R325="Missing",R325="N/A",R325="Still Employed"),"Unknown",ISNUMBER(R325),"Exited",TRUE,"Unknown")</f>
        <v>Unknown</v>
      </c>
      <c r="V325" s="31" t="str">
        <f t="shared" si="70"/>
        <v/>
      </c>
      <c r="W325" s="14" t="str">
        <f t="shared" si="71"/>
        <v>Active</v>
      </c>
      <c r="X325" s="19">
        <v>101379</v>
      </c>
      <c r="Y325" s="18" t="str">
        <f t="shared" si="64"/>
        <v>101379</v>
      </c>
      <c r="Z325" s="22" t="str" cm="1">
        <f t="array" ref="Z325">_xlfn.IFS(Y325="","0",LEFT(Y325,5)="",Y325,LEFT(Y325,1)="₹",REPLACE(Y325,1,1,""),LEFT(Y325,4)="Rs. ",REPLACE(Y325,1,4,""),TRUE,Y325)</f>
        <v>101379</v>
      </c>
      <c r="AA325" s="22" t="str">
        <f t="shared" si="65"/>
        <v>101379</v>
      </c>
      <c r="AB325" s="7"/>
      <c r="AC325" s="7" t="str">
        <f t="shared" si="66"/>
        <v>Not Rated</v>
      </c>
      <c r="AD325" s="7">
        <v>14</v>
      </c>
      <c r="AE325" cm="1">
        <f t="array" ref="AE325">_xlfn.IFS(AD325="",0,AD325&lt;0,"Negate Leave",AD325&gt;=0,AD325)</f>
        <v>14</v>
      </c>
    </row>
    <row r="326" spans="1:31" x14ac:dyDescent="0.3">
      <c r="A326" s="7">
        <v>5172</v>
      </c>
      <c r="B326" s="7" t="s">
        <v>1240</v>
      </c>
      <c r="C326" s="7" t="str">
        <f t="shared" si="61"/>
        <v>Nikhil Bhatt</v>
      </c>
      <c r="D326" s="7" t="str">
        <f t="shared" si="62"/>
        <v>Nikhil Bhatt</v>
      </c>
      <c r="E326" s="7" t="s">
        <v>61</v>
      </c>
      <c r="F326" s="7" t="s">
        <v>219</v>
      </c>
      <c r="G326" s="7" t="s">
        <v>46</v>
      </c>
      <c r="H326" s="7" t="str">
        <f>_xlfn.XLOOKUP(G326,Lookup_Tables!$A$4:$A$9,Lookup_Tables!$C$4:$C$9,"Not Found",0)</f>
        <v>Faisal Ahmed</v>
      </c>
      <c r="I326" s="7" t="s">
        <v>62</v>
      </c>
      <c r="J326" s="7" t="s">
        <v>1381</v>
      </c>
      <c r="K326" s="7" t="str">
        <f t="shared" si="63"/>
        <v>rajesh.saxena@company.com</v>
      </c>
      <c r="L326" s="7" t="s">
        <v>1382</v>
      </c>
      <c r="M326" s="7" t="str">
        <f t="shared" si="60"/>
        <v>1590109281</v>
      </c>
      <c r="N326" s="7" t="str" cm="1">
        <f t="array" ref="N326">_xlfn.IFS(M326="","Incomplete",LEN(M326)&lt;10,"Invalid",AND(LEN(M326) =10,LEFT(M326,4) &lt;&gt;"+91-"),"+91-"&amp;M326,TRUE,M326)</f>
        <v>+91-1590109281</v>
      </c>
      <c r="O326" s="8" t="s">
        <v>1383</v>
      </c>
      <c r="P326" s="14"/>
      <c r="Q326" s="14" t="str">
        <f t="shared" si="67"/>
        <v>Missing</v>
      </c>
      <c r="R326" s="14" t="str" cm="1">
        <f t="array" ref="R326">_xlfn.IFS(OR(Q326="Missing",Q326="N/A",Q326="Still Employed"),Q326,ISNUMBER(SEARCH(",",Q326)),DATEVALUE(Q326),AND(ISNUMBER(SEARCH("-",Q326)),ISNUMBER(VALUE(LEFT(Q326,4)))),DATE(LEFT(Q326,4),MID(Q326,6,2),RIGHT(Q326,2)),ISNUMBER(SEARCH("-",Q326)),DATE(RIGHT(Q326,4),MID(Q326,4,2),LEFT(Q326,2)),ISNUMBER(SEARCH("/",Q326)),DATE(RIGHT(Q326,4),MID(Q326,4,2),LEFT(Q326,2)),TRUE,"Check Manually")</f>
        <v>Missing</v>
      </c>
      <c r="S326" s="31" t="str">
        <f t="shared" ca="1" si="68"/>
        <v>7 Years, 4 Months, 20 Days</v>
      </c>
      <c r="T326" s="31">
        <f t="shared" ca="1" si="69"/>
        <v>2698.51</v>
      </c>
      <c r="U326" s="31" t="str" cm="1">
        <f t="array" ref="U326">_xlfn.IFS(OR(R326="Missing",R326="N/A",R326="Still Employed"),"Unknown",ISNUMBER(R326),"Exited",TRUE,"Unknown")</f>
        <v>Unknown</v>
      </c>
      <c r="V326" s="31" t="str">
        <f t="shared" si="70"/>
        <v/>
      </c>
      <c r="W326" s="14" t="str">
        <f t="shared" si="71"/>
        <v>Active</v>
      </c>
      <c r="X326" s="19">
        <v>84967</v>
      </c>
      <c r="Y326" s="18" t="str">
        <f t="shared" si="64"/>
        <v>84967</v>
      </c>
      <c r="Z326" s="22" t="str" cm="1">
        <f t="array" ref="Z326">_xlfn.IFS(Y326="","0",LEFT(Y326,5)="",Y326,LEFT(Y326,1)="₹",REPLACE(Y326,1,1,""),LEFT(Y326,4)="Rs. ",REPLACE(Y326,1,4,""),TRUE,Y326)</f>
        <v>84967</v>
      </c>
      <c r="AA326" s="22" t="str">
        <f t="shared" si="65"/>
        <v>84967</v>
      </c>
      <c r="AB326" s="7" t="s">
        <v>144</v>
      </c>
      <c r="AC326" s="7" t="str">
        <f t="shared" si="66"/>
        <v>Poor</v>
      </c>
      <c r="AD326" s="7">
        <v>16</v>
      </c>
      <c r="AE326" cm="1">
        <f t="array" ref="AE326">_xlfn.IFS(AD326="",0,AD326&lt;0,"Negate Leave",AD326&gt;=0,AD326)</f>
        <v>16</v>
      </c>
    </row>
    <row r="327" spans="1:31" x14ac:dyDescent="0.3">
      <c r="A327" s="7">
        <v>5251</v>
      </c>
      <c r="B327" s="7" t="s">
        <v>1365</v>
      </c>
      <c r="C327" s="7" t="str">
        <f t="shared" si="61"/>
        <v>Isha Menon</v>
      </c>
      <c r="D327" s="7" t="str">
        <f t="shared" si="62"/>
        <v>Isha Menon</v>
      </c>
      <c r="E327" s="7" t="s">
        <v>68</v>
      </c>
      <c r="F327" s="7" t="s">
        <v>219</v>
      </c>
      <c r="G327" s="7" t="s">
        <v>46</v>
      </c>
      <c r="H327" s="7" t="str">
        <f>_xlfn.XLOOKUP(G327,Lookup_Tables!$A$4:$A$9,Lookup_Tables!$C$4:$C$9,"Not Found",0)</f>
        <v>Faisal Ahmed</v>
      </c>
      <c r="I327" s="7" t="s">
        <v>70</v>
      </c>
      <c r="J327" s="7" t="s">
        <v>1385</v>
      </c>
      <c r="K327" s="7" t="str">
        <f t="shared" si="63"/>
        <v>rajesh.desai@company.com</v>
      </c>
      <c r="L327" s="7" t="s">
        <v>1386</v>
      </c>
      <c r="M327" s="7" t="str">
        <f t="shared" si="60"/>
        <v>3556752334</v>
      </c>
      <c r="N327" s="7" t="str" cm="1">
        <f t="array" ref="N327">_xlfn.IFS(M327="","Incomplete",LEN(M327)&lt;10,"Invalid",AND(LEN(M327) =10,LEFT(M327,4) &lt;&gt;"+91-"),"+91-"&amp;M327,TRUE,M327)</f>
        <v>+91-3556752334</v>
      </c>
      <c r="O327" s="8" t="s">
        <v>1387</v>
      </c>
      <c r="P327" s="14" t="s">
        <v>1388</v>
      </c>
      <c r="Q327" s="14" t="str">
        <f t="shared" si="67"/>
        <v>Aug 26, 2020</v>
      </c>
      <c r="R327" s="14" cm="1">
        <f t="array" ref="R327">_xlfn.IFS(OR(Q327="Missing",Q327="N/A",Q327="Still Employed"),Q327,ISNUMBER(SEARCH(",",Q327)),DATEVALUE(Q327),AND(ISNUMBER(SEARCH("-",Q327)),ISNUMBER(VALUE(LEFT(Q327,4)))),DATE(LEFT(Q327,4),MID(Q327,6,2),RIGHT(Q327,2)),ISNUMBER(SEARCH("-",Q327)),DATE(RIGHT(Q327,4),MID(Q327,4,2),LEFT(Q327,2)),ISNUMBER(SEARCH("/",Q327)),DATE(RIGHT(Q327,4),MID(Q327,4,2),LEFT(Q327,2)),TRUE,"Check Manually")</f>
        <v>44069</v>
      </c>
      <c r="S327" s="31" t="str">
        <f t="shared" ca="1" si="68"/>
        <v>1 Years, 7 Months, 26 Days</v>
      </c>
      <c r="T327" s="31">
        <f t="shared" ca="1" si="69"/>
        <v>604.33000000000004</v>
      </c>
      <c r="U327" s="31" t="str" cm="1">
        <f t="array" ref="U327">_xlfn.IFS(OR(R327="Missing",R327="N/A",R327="Still Employed"),"Unknown",ISNUMBER(R327),"Exited",TRUE,"Unknown")</f>
        <v>Exited</v>
      </c>
      <c r="V327" s="31">
        <f t="shared" si="70"/>
        <v>2020</v>
      </c>
      <c r="W327" s="14" t="str">
        <f t="shared" si="71"/>
        <v>Exited</v>
      </c>
      <c r="X327" s="19"/>
      <c r="Y327" s="18" t="str">
        <f t="shared" si="64"/>
        <v/>
      </c>
      <c r="Z327" s="22" t="str" cm="1">
        <f t="array" ref="Z327">_xlfn.IFS(Y327="","0",LEFT(Y327,5)="",Y327,LEFT(Y327,1)="₹",REPLACE(Y327,1,1,""),LEFT(Y327,4)="Rs. ",REPLACE(Y327,1,4,""),TRUE,Y327)</f>
        <v>0</v>
      </c>
      <c r="AA327" s="22" t="str">
        <f t="shared" si="65"/>
        <v>0</v>
      </c>
      <c r="AB327" s="7" t="s">
        <v>127</v>
      </c>
      <c r="AC327" s="7" t="str">
        <f t="shared" si="66"/>
        <v>Good</v>
      </c>
      <c r="AD327" s="7">
        <v>17</v>
      </c>
      <c r="AE327" cm="1">
        <f t="array" ref="AE327">_xlfn.IFS(AD327="",0,AD327&lt;0,"Negate Leave",AD327&gt;=0,AD327)</f>
        <v>17</v>
      </c>
    </row>
    <row r="328" spans="1:31" x14ac:dyDescent="0.3">
      <c r="A328" s="7">
        <v>5268</v>
      </c>
      <c r="B328" s="7" t="s">
        <v>1371</v>
      </c>
      <c r="C328" s="7" t="str">
        <f t="shared" si="61"/>
        <v>kavya kapoor</v>
      </c>
      <c r="D328" s="7" t="str">
        <f t="shared" si="62"/>
        <v>Kavya Kapoor</v>
      </c>
      <c r="E328" s="7" t="s">
        <v>84</v>
      </c>
      <c r="F328" s="7" t="s">
        <v>53</v>
      </c>
      <c r="G328" s="7" t="s">
        <v>54</v>
      </c>
      <c r="H328" s="7" t="str">
        <f>_xlfn.XLOOKUP(G328,Lookup_Tables!$A$4:$A$9,Lookup_Tables!$C$4:$C$9,"Not Found",0)</f>
        <v>Leela Iyer</v>
      </c>
      <c r="I328" s="7" t="s">
        <v>62</v>
      </c>
      <c r="J328" s="7" t="s">
        <v>1390</v>
      </c>
      <c r="K328" s="7" t="str">
        <f t="shared" si="63"/>
        <v>priya.menon@company.com</v>
      </c>
      <c r="L328" s="7" t="s">
        <v>1391</v>
      </c>
      <c r="M328" s="7" t="str">
        <f t="shared" si="60"/>
        <v>5251526053</v>
      </c>
      <c r="N328" s="7" t="str" cm="1">
        <f t="array" ref="N328">_xlfn.IFS(M328="","Incomplete",LEN(M328)&lt;10,"Invalid",AND(LEN(M328) =10,LEFT(M328,4) &lt;&gt;"+91-"),"+91-"&amp;M328,TRUE,M328)</f>
        <v>+91-5251526053</v>
      </c>
      <c r="O328" s="8" t="s">
        <v>1392</v>
      </c>
      <c r="P328" s="14" t="s">
        <v>114</v>
      </c>
      <c r="Q328" s="14" t="str">
        <f t="shared" si="67"/>
        <v>Still Employed</v>
      </c>
      <c r="R328" s="14" t="str" cm="1">
        <f t="array" ref="R328">_xlfn.IFS(OR(Q328="Missing",Q328="N/A",Q328="Still Employed"),Q328,ISNUMBER(SEARCH(",",Q328)),DATEVALUE(Q328),AND(ISNUMBER(SEARCH("-",Q328)),ISNUMBER(VALUE(LEFT(Q328,4)))),DATE(LEFT(Q328,4),MID(Q328,6,2),RIGHT(Q328,2)),ISNUMBER(SEARCH("-",Q328)),DATE(RIGHT(Q328,4),MID(Q328,4,2),LEFT(Q328,2)),ISNUMBER(SEARCH("/",Q328)),DATE(RIGHT(Q328,4),MID(Q328,4,2),LEFT(Q328,2)),TRUE,"Check Manually")</f>
        <v>Still Employed</v>
      </c>
      <c r="S328" s="31" t="str">
        <f t="shared" ca="1" si="68"/>
        <v>5 Years, 4 Months, 12 Days</v>
      </c>
      <c r="T328" s="31">
        <f t="shared" ca="1" si="69"/>
        <v>1960.01</v>
      </c>
      <c r="U328" s="31" t="str" cm="1">
        <f t="array" ref="U328">_xlfn.IFS(OR(R328="Missing",R328="N/A",R328="Still Employed"),"Unknown",ISNUMBER(R328),"Exited",TRUE,"Unknown")</f>
        <v>Unknown</v>
      </c>
      <c r="V328" s="31" t="str">
        <f t="shared" si="70"/>
        <v/>
      </c>
      <c r="W328" s="14" t="str">
        <f t="shared" si="71"/>
        <v>Active</v>
      </c>
      <c r="X328" s="19" t="s">
        <v>1393</v>
      </c>
      <c r="Y328" s="18" t="str">
        <f t="shared" si="64"/>
        <v>Rs. 131,831</v>
      </c>
      <c r="Z328" s="22" t="str" cm="1">
        <f t="array" ref="Z328">_xlfn.IFS(Y328="","0",LEFT(Y328,5)="",Y328,LEFT(Y328,1)="₹",REPLACE(Y328,1,1,""),LEFT(Y328,4)="Rs. ",REPLACE(Y328,1,4,""),TRUE,Y328)</f>
        <v>131,831</v>
      </c>
      <c r="AA328" s="22" t="str">
        <f t="shared" si="65"/>
        <v>131831</v>
      </c>
      <c r="AB328" s="7" t="s">
        <v>127</v>
      </c>
      <c r="AC328" s="7" t="str">
        <f t="shared" si="66"/>
        <v>Good</v>
      </c>
      <c r="AD328" s="7">
        <v>11</v>
      </c>
      <c r="AE328" cm="1">
        <f t="array" ref="AE328">_xlfn.IFS(AD328="",0,AD328&lt;0,"Negate Leave",AD328&gt;=0,AD328)</f>
        <v>11</v>
      </c>
    </row>
    <row r="329" spans="1:31" x14ac:dyDescent="0.3">
      <c r="A329" s="7">
        <v>5209</v>
      </c>
      <c r="B329" s="7" t="s">
        <v>1372</v>
      </c>
      <c r="C329" s="7" t="str">
        <f t="shared" si="61"/>
        <v>RAJESH TRIVEDI</v>
      </c>
      <c r="D329" s="7" t="str">
        <f t="shared" si="62"/>
        <v>Rajesh Trivedi</v>
      </c>
      <c r="E329" s="7" t="s">
        <v>68</v>
      </c>
      <c r="F329" s="7" t="s">
        <v>389</v>
      </c>
      <c r="G329" s="7" t="s">
        <v>140</v>
      </c>
      <c r="H329" s="7" t="str">
        <f>_xlfn.XLOOKUP(G329,Lookup_Tables!$A$4:$A$9,Lookup_Tables!$C$4:$C$9,"Not Found",0)</f>
        <v>Sunita Rao</v>
      </c>
      <c r="I329" s="7" t="s">
        <v>62</v>
      </c>
      <c r="J329" s="7"/>
      <c r="K329" s="7" t="str">
        <f t="shared" si="63"/>
        <v>No Email ID</v>
      </c>
      <c r="L329" s="7"/>
      <c r="M329" s="7" t="str">
        <f t="shared" si="60"/>
        <v/>
      </c>
      <c r="N329" s="7" t="str" cm="1">
        <f t="array" ref="N329">_xlfn.IFS(M329="","Incomplete",LEN(M329)&lt;10,"Invalid",AND(LEN(M329) =10,LEFT(M329,4) &lt;&gt;"+91-"),"+91-"&amp;M329,TRUE,M329)</f>
        <v>Incomplete</v>
      </c>
      <c r="O329" s="8" t="s">
        <v>1395</v>
      </c>
      <c r="P329" s="14" t="s">
        <v>114</v>
      </c>
      <c r="Q329" s="14" t="str">
        <f t="shared" si="67"/>
        <v>Still Employed</v>
      </c>
      <c r="R329" s="14" t="str" cm="1">
        <f t="array" ref="R329">_xlfn.IFS(OR(Q329="Missing",Q329="N/A",Q329="Still Employed"),Q329,ISNUMBER(SEARCH(",",Q329)),DATEVALUE(Q329),AND(ISNUMBER(SEARCH("-",Q329)),ISNUMBER(VALUE(LEFT(Q329,4)))),DATE(LEFT(Q329,4),MID(Q329,6,2),RIGHT(Q329,2)),ISNUMBER(SEARCH("-",Q329)),DATE(RIGHT(Q329,4),MID(Q329,4,2),LEFT(Q329,2)),ISNUMBER(SEARCH("/",Q329)),DATE(RIGHT(Q329,4),MID(Q329,4,2),LEFT(Q329,2)),TRUE,"Check Manually")</f>
        <v>Still Employed</v>
      </c>
      <c r="S329" s="31" t="str">
        <f t="shared" ca="1" si="68"/>
        <v>5 Years, 2 Months, 13 Days</v>
      </c>
      <c r="T329" s="31">
        <f t="shared" ca="1" si="69"/>
        <v>1900.13</v>
      </c>
      <c r="U329" s="31" t="str" cm="1">
        <f t="array" ref="U329">_xlfn.IFS(OR(R329="Missing",R329="N/A",R329="Still Employed"),"Unknown",ISNUMBER(R329),"Exited",TRUE,"Unknown")</f>
        <v>Unknown</v>
      </c>
      <c r="V329" s="31" t="str">
        <f t="shared" si="70"/>
        <v/>
      </c>
      <c r="W329" s="14" t="str">
        <f t="shared" si="71"/>
        <v>Active</v>
      </c>
      <c r="X329" s="19" t="s">
        <v>1396</v>
      </c>
      <c r="Y329" s="18" t="str">
        <f t="shared" si="64"/>
        <v>₹174,698</v>
      </c>
      <c r="Z329" s="22" t="str" cm="1">
        <f t="array" ref="Z329">_xlfn.IFS(Y329="","0",LEFT(Y329,5)="",Y329,LEFT(Y329,1)="₹",REPLACE(Y329,1,1,""),LEFT(Y329,4)="Rs. ",REPLACE(Y329,1,4,""),TRUE,Y329)</f>
        <v>174,698</v>
      </c>
      <c r="AA329" s="22" t="str">
        <f t="shared" si="65"/>
        <v>174698</v>
      </c>
      <c r="AB329" s="7" t="s">
        <v>51</v>
      </c>
      <c r="AC329" s="7" t="str">
        <f t="shared" si="66"/>
        <v>Excellent</v>
      </c>
      <c r="AD329" s="7"/>
      <c r="AE329" cm="1">
        <f t="array" ref="AE329">_xlfn.IFS(AD329="",0,AD329&lt;0,"Negate Leave",AD329&gt;=0,AD329)</f>
        <v>0</v>
      </c>
    </row>
    <row r="330" spans="1:31" x14ac:dyDescent="0.3">
      <c r="A330" s="7">
        <v>5181</v>
      </c>
      <c r="B330" s="7" t="s">
        <v>1376</v>
      </c>
      <c r="C330" s="7" t="str">
        <f t="shared" si="61"/>
        <v>Suresh Trivedi</v>
      </c>
      <c r="D330" s="7" t="str">
        <f t="shared" si="62"/>
        <v>Suresh Trivedi</v>
      </c>
      <c r="E330" s="7" t="s">
        <v>68</v>
      </c>
      <c r="F330" s="7" t="s">
        <v>389</v>
      </c>
      <c r="G330" s="7" t="s">
        <v>140</v>
      </c>
      <c r="H330" s="7" t="str">
        <f>_xlfn.XLOOKUP(G330,Lookup_Tables!$A$4:$A$9,Lookup_Tables!$C$4:$C$9,"Not Found",0)</f>
        <v>Sunita Rao</v>
      </c>
      <c r="I330" s="7" t="s">
        <v>62</v>
      </c>
      <c r="J330" s="7" t="s">
        <v>1398</v>
      </c>
      <c r="K330" s="7" t="str">
        <f t="shared" si="63"/>
        <v>sneha.rao@company.com</v>
      </c>
      <c r="L330" s="7" t="s">
        <v>1399</v>
      </c>
      <c r="M330" s="7" t="str">
        <f t="shared" si="60"/>
        <v>+91-3670066384</v>
      </c>
      <c r="N330" s="7" t="str" cm="1">
        <f t="array" ref="N330">_xlfn.IFS(M330="","Incomplete",LEN(M330)&lt;10,"Invalid",AND(LEN(M330) =10,LEFT(M330,4) &lt;&gt;"+91-"),"+91-"&amp;M330,TRUE,M330)</f>
        <v>+91-3670066384</v>
      </c>
      <c r="O330" s="8" t="s">
        <v>1400</v>
      </c>
      <c r="P330" s="14"/>
      <c r="Q330" s="14" t="str">
        <f t="shared" si="67"/>
        <v>Missing</v>
      </c>
      <c r="R330" s="14" t="str" cm="1">
        <f t="array" ref="R330">_xlfn.IFS(OR(Q330="Missing",Q330="N/A",Q330="Still Employed"),Q330,ISNUMBER(SEARCH(",",Q330)),DATEVALUE(Q330),AND(ISNUMBER(SEARCH("-",Q330)),ISNUMBER(VALUE(LEFT(Q330,4)))),DATE(LEFT(Q330,4),MID(Q330,6,2),RIGHT(Q330,2)),ISNUMBER(SEARCH("-",Q330)),DATE(RIGHT(Q330,4),MID(Q330,4,2),LEFT(Q330,2)),ISNUMBER(SEARCH("/",Q330)),DATE(RIGHT(Q330,4),MID(Q330,4,2),LEFT(Q330,2)),TRUE,"Check Manually")</f>
        <v>Missing</v>
      </c>
      <c r="S330" s="31" t="str">
        <f t="shared" ca="1" si="68"/>
        <v>5 Years, 1 Months, 29 Days</v>
      </c>
      <c r="T330" s="31">
        <f t="shared" ca="1" si="69"/>
        <v>1885.69</v>
      </c>
      <c r="U330" s="31" t="str" cm="1">
        <f t="array" ref="U330">_xlfn.IFS(OR(R330="Missing",R330="N/A",R330="Still Employed"),"Unknown",ISNUMBER(R330),"Exited",TRUE,"Unknown")</f>
        <v>Unknown</v>
      </c>
      <c r="V330" s="31" t="str">
        <f t="shared" si="70"/>
        <v/>
      </c>
      <c r="W330" s="14" t="str">
        <f t="shared" si="71"/>
        <v>Active</v>
      </c>
      <c r="X330" s="19" t="s">
        <v>1401</v>
      </c>
      <c r="Y330" s="18" t="str">
        <f t="shared" si="64"/>
        <v>Rs. 86,430</v>
      </c>
      <c r="Z330" s="22" t="str" cm="1">
        <f t="array" ref="Z330">_xlfn.IFS(Y330="","0",LEFT(Y330,5)="",Y330,LEFT(Y330,1)="₹",REPLACE(Y330,1,1,""),LEFT(Y330,4)="Rs. ",REPLACE(Y330,1,4,""),TRUE,Y330)</f>
        <v>86,430</v>
      </c>
      <c r="AA330" s="22" t="str">
        <f t="shared" si="65"/>
        <v>86430</v>
      </c>
      <c r="AB330" s="7" t="s">
        <v>144</v>
      </c>
      <c r="AC330" s="7" t="str">
        <f t="shared" si="66"/>
        <v>Poor</v>
      </c>
      <c r="AD330" s="7">
        <v>-3</v>
      </c>
      <c r="AE330" t="str" cm="1">
        <f t="array" ref="AE330">_xlfn.IFS(AD330="",0,AD330&lt;0,"Negate Leave",AD330&gt;=0,AD330)</f>
        <v>Negate Leave</v>
      </c>
    </row>
    <row r="331" spans="1:31" x14ac:dyDescent="0.3">
      <c r="A331" s="7">
        <v>5006</v>
      </c>
      <c r="B331" s="7" t="s">
        <v>1380</v>
      </c>
      <c r="C331" s="7" t="str">
        <f t="shared" si="61"/>
        <v>Rajesh  Saxena</v>
      </c>
      <c r="D331" s="7" t="str">
        <f t="shared" si="62"/>
        <v>Rajesh Saxena</v>
      </c>
      <c r="E331" s="7" t="s">
        <v>68</v>
      </c>
      <c r="F331" s="7" t="s">
        <v>219</v>
      </c>
      <c r="G331" s="7" t="s">
        <v>46</v>
      </c>
      <c r="H331" s="7" t="str">
        <f>_xlfn.XLOOKUP(G331,Lookup_Tables!$A$4:$A$9,Lookup_Tables!$C$4:$C$9,"Not Found",0)</f>
        <v>Faisal Ahmed</v>
      </c>
      <c r="I331" s="7" t="s">
        <v>110</v>
      </c>
      <c r="J331" s="7" t="s">
        <v>1403</v>
      </c>
      <c r="K331" s="7" t="str">
        <f t="shared" si="63"/>
        <v>amit.bose@company.com</v>
      </c>
      <c r="L331" s="7" t="s">
        <v>1404</v>
      </c>
      <c r="M331" s="7" t="str">
        <f t="shared" si="60"/>
        <v>7270238544</v>
      </c>
      <c r="N331" s="7" t="str" cm="1">
        <f t="array" ref="N331">_xlfn.IFS(M331="","Incomplete",LEN(M331)&lt;10,"Invalid",AND(LEN(M331) =10,LEFT(M331,4) &lt;&gt;"+91-"),"+91-"&amp;M331,TRUE,M331)</f>
        <v>+91-7270238544</v>
      </c>
      <c r="O331" s="8" t="s">
        <v>1405</v>
      </c>
      <c r="P331" s="14" t="s">
        <v>114</v>
      </c>
      <c r="Q331" s="14" t="str">
        <f t="shared" si="67"/>
        <v>Still Employed</v>
      </c>
      <c r="R331" s="14" t="str" cm="1">
        <f t="array" ref="R331">_xlfn.IFS(OR(Q331="Missing",Q331="N/A",Q331="Still Employed"),Q331,ISNUMBER(SEARCH(",",Q331)),DATEVALUE(Q331),AND(ISNUMBER(SEARCH("-",Q331)),ISNUMBER(VALUE(LEFT(Q331,4)))),DATE(LEFT(Q331,4),MID(Q331,6,2),RIGHT(Q331,2)),ISNUMBER(SEARCH("-",Q331)),DATE(RIGHT(Q331,4),MID(Q331,4,2),LEFT(Q331,2)),ISNUMBER(SEARCH("/",Q331)),DATE(RIGHT(Q331,4),MID(Q331,4,2),LEFT(Q331,2)),TRUE,"Check Manually")</f>
        <v>Still Employed</v>
      </c>
      <c r="S331" s="31" t="str">
        <f t="shared" ca="1" si="68"/>
        <v>7 Years, 11 Months, 25 Days</v>
      </c>
      <c r="T331" s="31">
        <f t="shared" ca="1" si="69"/>
        <v>2916.59</v>
      </c>
      <c r="U331" s="31" t="str" cm="1">
        <f t="array" ref="U331">_xlfn.IFS(OR(R331="Missing",R331="N/A",R331="Still Employed"),"Unknown",ISNUMBER(R331),"Exited",TRUE,"Unknown")</f>
        <v>Unknown</v>
      </c>
      <c r="V331" s="31" t="str">
        <f t="shared" si="70"/>
        <v/>
      </c>
      <c r="W331" s="14" t="str">
        <f t="shared" si="71"/>
        <v>Active</v>
      </c>
      <c r="X331" s="19">
        <v>97952</v>
      </c>
      <c r="Y331" s="18" t="str">
        <f t="shared" si="64"/>
        <v>97952</v>
      </c>
      <c r="Z331" s="22" t="str" cm="1">
        <f t="array" ref="Z331">_xlfn.IFS(Y331="","0",LEFT(Y331,5)="",Y331,LEFT(Y331,1)="₹",REPLACE(Y331,1,1,""),LEFT(Y331,4)="Rs. ",REPLACE(Y331,1,4,""),TRUE,Y331)</f>
        <v>97952</v>
      </c>
      <c r="AA331" s="22" t="str">
        <f t="shared" si="65"/>
        <v>97952</v>
      </c>
      <c r="AB331" s="7" t="s">
        <v>95</v>
      </c>
      <c r="AC331" s="7" t="str">
        <f t="shared" si="66"/>
        <v>Average</v>
      </c>
      <c r="AD331" s="7">
        <v>-1</v>
      </c>
      <c r="AE331" t="str" cm="1">
        <f t="array" ref="AE331">_xlfn.IFS(AD331="",0,AD331&lt;0,"Negate Leave",AD331&gt;=0,AD331)</f>
        <v>Negate Leave</v>
      </c>
    </row>
    <row r="332" spans="1:31" x14ac:dyDescent="0.3">
      <c r="A332" s="7">
        <v>5171</v>
      </c>
      <c r="B332" s="7" t="s">
        <v>1384</v>
      </c>
      <c r="C332" s="7" t="str">
        <f t="shared" si="61"/>
        <v>Rajesh Desai</v>
      </c>
      <c r="D332" s="7" t="str">
        <f t="shared" si="62"/>
        <v>Rajesh Desai</v>
      </c>
      <c r="E332" s="7" t="s">
        <v>68</v>
      </c>
      <c r="F332" s="7" t="s">
        <v>389</v>
      </c>
      <c r="G332" s="7" t="s">
        <v>140</v>
      </c>
      <c r="H332" s="7" t="str">
        <f>_xlfn.XLOOKUP(G332,Lookup_Tables!$A$4:$A$9,Lookup_Tables!$C$4:$C$9,"Not Found",0)</f>
        <v>Sunita Rao</v>
      </c>
      <c r="I332" s="7" t="s">
        <v>175</v>
      </c>
      <c r="J332" s="7" t="s">
        <v>1407</v>
      </c>
      <c r="K332" s="7" t="str">
        <f t="shared" si="63"/>
        <v>anita.mehta@company.com</v>
      </c>
      <c r="L332" s="7" t="s">
        <v>1408</v>
      </c>
      <c r="M332" s="7" t="str">
        <f t="shared" si="60"/>
        <v>+91-1773284857</v>
      </c>
      <c r="N332" s="7" t="str" cm="1">
        <f t="array" ref="N332">_xlfn.IFS(M332="","Incomplete",LEN(M332)&lt;10,"Invalid",AND(LEN(M332) =10,LEFT(M332,4) &lt;&gt;"+91-"),"+91-"&amp;M332,TRUE,M332)</f>
        <v>+91-1773284857</v>
      </c>
      <c r="O332" s="8" t="s">
        <v>830</v>
      </c>
      <c r="P332" s="14"/>
      <c r="Q332" s="14" t="str">
        <f t="shared" si="67"/>
        <v>Missing</v>
      </c>
      <c r="R332" s="14" t="str" cm="1">
        <f t="array" ref="R332">_xlfn.IFS(OR(Q332="Missing",Q332="N/A",Q332="Still Employed"),Q332,ISNUMBER(SEARCH(",",Q332)),DATEVALUE(Q332),AND(ISNUMBER(SEARCH("-",Q332)),ISNUMBER(VALUE(LEFT(Q332,4)))),DATE(LEFT(Q332,4),MID(Q332,6,2),RIGHT(Q332,2)),ISNUMBER(SEARCH("-",Q332)),DATE(RIGHT(Q332,4),MID(Q332,4,2),LEFT(Q332,2)),ISNUMBER(SEARCH("/",Q332)),DATE(RIGHT(Q332,4),MID(Q332,4,2),LEFT(Q332,2)),TRUE,"Check Manually")</f>
        <v>Missing</v>
      </c>
      <c r="S332" s="31" t="str">
        <f t="shared" ca="1" si="68"/>
        <v>7 Years, 5 Months, 26 Days</v>
      </c>
      <c r="T332" s="31">
        <f t="shared" ca="1" si="69"/>
        <v>2734.95</v>
      </c>
      <c r="U332" s="31" t="str" cm="1">
        <f t="array" ref="U332">_xlfn.IFS(OR(R332="Missing",R332="N/A",R332="Still Employed"),"Unknown",ISNUMBER(R332),"Exited",TRUE,"Unknown")</f>
        <v>Unknown</v>
      </c>
      <c r="V332" s="31" t="str">
        <f t="shared" si="70"/>
        <v/>
      </c>
      <c r="W332" s="14" t="str">
        <f t="shared" si="71"/>
        <v>Active</v>
      </c>
      <c r="X332" s="19">
        <v>174560</v>
      </c>
      <c r="Y332" s="18" t="str">
        <f t="shared" si="64"/>
        <v>174560</v>
      </c>
      <c r="Z332" s="22" t="str" cm="1">
        <f t="array" ref="Z332">_xlfn.IFS(Y332="","0",LEFT(Y332,5)="",Y332,LEFT(Y332,1)="₹",REPLACE(Y332,1,1,""),LEFT(Y332,4)="Rs. ",REPLACE(Y332,1,4,""),TRUE,Y332)</f>
        <v>174560</v>
      </c>
      <c r="AA332" s="22" t="str">
        <f t="shared" si="65"/>
        <v>174560</v>
      </c>
      <c r="AB332" s="7" t="s">
        <v>127</v>
      </c>
      <c r="AC332" s="7" t="str">
        <f t="shared" si="66"/>
        <v>Good</v>
      </c>
      <c r="AD332" s="7">
        <v>15</v>
      </c>
      <c r="AE332" cm="1">
        <f t="array" ref="AE332">_xlfn.IFS(AD332="",0,AD332&lt;0,"Negate Leave",AD332&gt;=0,AD332)</f>
        <v>15</v>
      </c>
    </row>
    <row r="333" spans="1:31" x14ac:dyDescent="0.3">
      <c r="A333" s="7">
        <v>5216</v>
      </c>
      <c r="B333" s="7" t="s">
        <v>1389</v>
      </c>
      <c r="C333" s="7" t="str">
        <f t="shared" si="61"/>
        <v>Priya  Menon</v>
      </c>
      <c r="D333" s="7" t="str">
        <f t="shared" si="62"/>
        <v>Priya Menon</v>
      </c>
      <c r="E333" s="7" t="s">
        <v>61</v>
      </c>
      <c r="F333" s="7" t="s">
        <v>133</v>
      </c>
      <c r="G333" s="7" t="s">
        <v>69</v>
      </c>
      <c r="H333" s="7" t="str">
        <f>_xlfn.XLOOKUP(G333,Lookup_Tables!$A$4:$A$9,Lookup_Tables!$C$4:$C$9,"Not Found",0)</f>
        <v>Vivek Malhotra</v>
      </c>
      <c r="I333" s="7" t="s">
        <v>55</v>
      </c>
      <c r="J333" s="7" t="s">
        <v>1410</v>
      </c>
      <c r="K333" s="7" t="str">
        <f t="shared" si="63"/>
        <v>karthik.joshi@company.com</v>
      </c>
      <c r="L333" s="7"/>
      <c r="M333" s="7" t="str">
        <f t="shared" si="60"/>
        <v/>
      </c>
      <c r="N333" s="7" t="str" cm="1">
        <f t="array" ref="N333">_xlfn.IFS(M333="","Incomplete",LEN(M333)&lt;10,"Invalid",AND(LEN(M333) =10,LEFT(M333,4) &lt;&gt;"+91-"),"+91-"&amp;M333,TRUE,M333)</f>
        <v>Incomplete</v>
      </c>
      <c r="O333" s="8" t="s">
        <v>1411</v>
      </c>
      <c r="P333" s="14"/>
      <c r="Q333" s="14" t="str">
        <f t="shared" si="67"/>
        <v>Missing</v>
      </c>
      <c r="R333" s="14" t="str" cm="1">
        <f t="array" ref="R333">_xlfn.IFS(OR(Q333="Missing",Q333="N/A",Q333="Still Employed"),Q333,ISNUMBER(SEARCH(",",Q333)),DATEVALUE(Q333),AND(ISNUMBER(SEARCH("-",Q333)),ISNUMBER(VALUE(LEFT(Q333,4)))),DATE(LEFT(Q333,4),MID(Q333,6,2),RIGHT(Q333,2)),ISNUMBER(SEARCH("-",Q333)),DATE(RIGHT(Q333,4),MID(Q333,4,2),LEFT(Q333,2)),ISNUMBER(SEARCH("/",Q333)),DATE(RIGHT(Q333,4),MID(Q333,4,2),LEFT(Q333,2)),TRUE,"Check Manually")</f>
        <v>Missing</v>
      </c>
      <c r="S333" s="31" t="str">
        <f t="shared" ca="1" si="68"/>
        <v>7 Years, 2 Months, 2 Days</v>
      </c>
      <c r="T333" s="31">
        <f t="shared" ca="1" si="69"/>
        <v>2619.63</v>
      </c>
      <c r="U333" s="31" t="str" cm="1">
        <f t="array" ref="U333">_xlfn.IFS(OR(R333="Missing",R333="N/A",R333="Still Employed"),"Unknown",ISNUMBER(R333),"Exited",TRUE,"Unknown")</f>
        <v>Unknown</v>
      </c>
      <c r="V333" s="31" t="str">
        <f t="shared" si="70"/>
        <v/>
      </c>
      <c r="W333" s="14" t="str">
        <f t="shared" si="71"/>
        <v>Active</v>
      </c>
      <c r="X333" s="19"/>
      <c r="Y333" s="18" t="str">
        <f t="shared" si="64"/>
        <v/>
      </c>
      <c r="Z333" s="22" t="str" cm="1">
        <f t="array" ref="Z333">_xlfn.IFS(Y333="","0",LEFT(Y333,5)="",Y333,LEFT(Y333,1)="₹",REPLACE(Y333,1,1,""),LEFT(Y333,4)="Rs. ",REPLACE(Y333,1,4,""),TRUE,Y333)</f>
        <v>0</v>
      </c>
      <c r="AA333" s="22" t="str">
        <f t="shared" si="65"/>
        <v>0</v>
      </c>
      <c r="AB333" s="7" t="s">
        <v>144</v>
      </c>
      <c r="AC333" s="7" t="str">
        <f t="shared" si="66"/>
        <v>Poor</v>
      </c>
      <c r="AD333" s="7">
        <v>6</v>
      </c>
      <c r="AE333" cm="1">
        <f t="array" ref="AE333">_xlfn.IFS(AD333="",0,AD333&lt;0,"Negate Leave",AD333&gt;=0,AD333)</f>
        <v>6</v>
      </c>
    </row>
    <row r="334" spans="1:31" x14ac:dyDescent="0.3">
      <c r="A334" s="7">
        <v>5250</v>
      </c>
      <c r="B334" s="7" t="s">
        <v>1394</v>
      </c>
      <c r="C334" s="7" t="str">
        <f t="shared" si="61"/>
        <v>Anjali Iyer</v>
      </c>
      <c r="D334" s="7" t="str">
        <f t="shared" si="62"/>
        <v>Anjali Iyer</v>
      </c>
      <c r="E334" s="7" t="s">
        <v>68</v>
      </c>
      <c r="F334" s="7" t="s">
        <v>122</v>
      </c>
      <c r="G334" s="7" t="s">
        <v>91</v>
      </c>
      <c r="H334" s="7" t="str">
        <f>_xlfn.XLOOKUP(G334,Lookup_Tables!$A$4:$A$9,Lookup_Tables!$C$4:$C$9,"Not Found",0)</f>
        <v>Rajiv Kapoor</v>
      </c>
      <c r="I334" s="7" t="s">
        <v>77</v>
      </c>
      <c r="J334" s="7"/>
      <c r="K334" s="7" t="str">
        <f t="shared" si="63"/>
        <v>No Email ID</v>
      </c>
      <c r="L334" s="7" t="s">
        <v>1413</v>
      </c>
      <c r="M334" s="7" t="str">
        <f t="shared" si="60"/>
        <v>7393373474</v>
      </c>
      <c r="N334" s="7" t="str" cm="1">
        <f t="array" ref="N334">_xlfn.IFS(M334="","Incomplete",LEN(M334)&lt;10,"Invalid",AND(LEN(M334) =10,LEFT(M334,4) &lt;&gt;"+91-"),"+91-"&amp;M334,TRUE,M334)</f>
        <v>+91-7393373474</v>
      </c>
      <c r="O334" s="8" t="s">
        <v>1206</v>
      </c>
      <c r="P334" s="14"/>
      <c r="Q334" s="14" t="str">
        <f t="shared" si="67"/>
        <v>Missing</v>
      </c>
      <c r="R334" s="14" t="str" cm="1">
        <f t="array" ref="R334">_xlfn.IFS(OR(Q334="Missing",Q334="N/A",Q334="Still Employed"),Q334,ISNUMBER(SEARCH(",",Q334)),DATEVALUE(Q334),AND(ISNUMBER(SEARCH("-",Q334)),ISNUMBER(VALUE(LEFT(Q334,4)))),DATE(LEFT(Q334,4),MID(Q334,6,2),RIGHT(Q334,2)),ISNUMBER(SEARCH("-",Q334)),DATE(RIGHT(Q334,4),MID(Q334,4,2),LEFT(Q334,2)),ISNUMBER(SEARCH("/",Q334)),DATE(RIGHT(Q334,4),MID(Q334,4,2),LEFT(Q334,2)),TRUE,"Check Manually")</f>
        <v>Missing</v>
      </c>
      <c r="S334" s="31" t="str">
        <f t="shared" ca="1" si="68"/>
        <v>8 Years, 3 Months, 8 Days</v>
      </c>
      <c r="T334" s="31">
        <f t="shared" ca="1" si="69"/>
        <v>3021.32</v>
      </c>
      <c r="U334" s="31" t="str" cm="1">
        <f t="array" ref="U334">_xlfn.IFS(OR(R334="Missing",R334="N/A",R334="Still Employed"),"Unknown",ISNUMBER(R334),"Exited",TRUE,"Unknown")</f>
        <v>Unknown</v>
      </c>
      <c r="V334" s="31" t="str">
        <f t="shared" si="70"/>
        <v/>
      </c>
      <c r="W334" s="14" t="str">
        <f t="shared" si="71"/>
        <v>Active</v>
      </c>
      <c r="X334" s="19" t="s">
        <v>1414</v>
      </c>
      <c r="Y334" s="18" t="str">
        <f t="shared" si="64"/>
        <v>₹161,932</v>
      </c>
      <c r="Z334" s="22" t="str" cm="1">
        <f t="array" ref="Z334">_xlfn.IFS(Y334="","0",LEFT(Y334,5)="",Y334,LEFT(Y334,1)="₹",REPLACE(Y334,1,1,""),LEFT(Y334,4)="Rs. ",REPLACE(Y334,1,4,""),TRUE,Y334)</f>
        <v>161,932</v>
      </c>
      <c r="AA334" s="22" t="str">
        <f t="shared" si="65"/>
        <v>161932</v>
      </c>
      <c r="AB334" s="7" t="s">
        <v>95</v>
      </c>
      <c r="AC334" s="7" t="str">
        <f t="shared" si="66"/>
        <v>Average</v>
      </c>
      <c r="AD334" s="7"/>
      <c r="AE334" cm="1">
        <f t="array" ref="AE334">_xlfn.IFS(AD334="",0,AD334&lt;0,"Negate Leave",AD334&gt;=0,AD334)</f>
        <v>0</v>
      </c>
    </row>
    <row r="335" spans="1:31" x14ac:dyDescent="0.3">
      <c r="A335" s="7">
        <v>5054</v>
      </c>
      <c r="B335" s="7" t="s">
        <v>1397</v>
      </c>
      <c r="C335" s="7" t="str">
        <f t="shared" si="61"/>
        <v>Sneha Rao</v>
      </c>
      <c r="D335" s="7" t="str">
        <f t="shared" si="62"/>
        <v>Sneha Rao</v>
      </c>
      <c r="E335" s="7" t="s">
        <v>61</v>
      </c>
      <c r="F335" s="7" t="s">
        <v>219</v>
      </c>
      <c r="G335" s="7" t="s">
        <v>46</v>
      </c>
      <c r="H335" s="7" t="str">
        <f>_xlfn.XLOOKUP(G335,Lookup_Tables!$A$4:$A$9,Lookup_Tables!$C$4:$C$9,"Not Found",0)</f>
        <v>Faisal Ahmed</v>
      </c>
      <c r="I335" s="7" t="s">
        <v>175</v>
      </c>
      <c r="J335" s="7"/>
      <c r="K335" s="7" t="str">
        <f t="shared" si="63"/>
        <v>No Email ID</v>
      </c>
      <c r="L335" s="7" t="s">
        <v>1416</v>
      </c>
      <c r="M335" s="7" t="str">
        <f t="shared" si="60"/>
        <v>4718227205</v>
      </c>
      <c r="N335" s="7" t="str" cm="1">
        <f t="array" ref="N335">_xlfn.IFS(M335="","Incomplete",LEN(M335)&lt;10,"Invalid",AND(LEN(M335) =10,LEFT(M335,4) &lt;&gt;"+91-"),"+91-"&amp;M335,TRUE,M335)</f>
        <v>+91-4718227205</v>
      </c>
      <c r="O335" s="8" t="s">
        <v>1417</v>
      </c>
      <c r="P335" s="14" t="s">
        <v>114</v>
      </c>
      <c r="Q335" s="14" t="str">
        <f t="shared" si="67"/>
        <v>Still Employed</v>
      </c>
      <c r="R335" s="14" t="str" cm="1">
        <f t="array" ref="R335">_xlfn.IFS(OR(Q335="Missing",Q335="N/A",Q335="Still Employed"),Q335,ISNUMBER(SEARCH(",",Q335)),DATEVALUE(Q335),AND(ISNUMBER(SEARCH("-",Q335)),ISNUMBER(VALUE(LEFT(Q335,4)))),DATE(LEFT(Q335,4),MID(Q335,6,2),RIGHT(Q335,2)),ISNUMBER(SEARCH("-",Q335)),DATE(RIGHT(Q335,4),MID(Q335,4,2),LEFT(Q335,2)),ISNUMBER(SEARCH("/",Q335)),DATE(RIGHT(Q335,4),MID(Q335,4,2),LEFT(Q335,2)),TRUE,"Check Manually")</f>
        <v>Still Employed</v>
      </c>
      <c r="S335" s="31" t="str">
        <f t="shared" ca="1" si="68"/>
        <v>2 Years, 9 Months, 27 Days</v>
      </c>
      <c r="T335" s="31">
        <f t="shared" ca="1" si="69"/>
        <v>1031.46</v>
      </c>
      <c r="U335" s="31" t="str" cm="1">
        <f t="array" ref="U335">_xlfn.IFS(OR(R335="Missing",R335="N/A",R335="Still Employed"),"Unknown",ISNUMBER(R335),"Exited",TRUE,"Unknown")</f>
        <v>Unknown</v>
      </c>
      <c r="V335" s="31" t="str">
        <f t="shared" si="70"/>
        <v/>
      </c>
      <c r="W335" s="14" t="str">
        <f t="shared" si="71"/>
        <v>Active</v>
      </c>
      <c r="X335" s="19">
        <v>173438</v>
      </c>
      <c r="Y335" s="18" t="str">
        <f t="shared" si="64"/>
        <v>173438</v>
      </c>
      <c r="Z335" s="22" t="str" cm="1">
        <f t="array" ref="Z335">_xlfn.IFS(Y335="","0",LEFT(Y335,5)="",Y335,LEFT(Y335,1)="₹",REPLACE(Y335,1,1,""),LEFT(Y335,4)="Rs. ",REPLACE(Y335,1,4,""),TRUE,Y335)</f>
        <v>173438</v>
      </c>
      <c r="AA335" s="22" t="str">
        <f t="shared" si="65"/>
        <v>173438</v>
      </c>
      <c r="AB335" s="7" t="s">
        <v>95</v>
      </c>
      <c r="AC335" s="7" t="str">
        <f t="shared" si="66"/>
        <v>Average</v>
      </c>
      <c r="AD335" s="7">
        <v>14</v>
      </c>
      <c r="AE335" cm="1">
        <f t="array" ref="AE335">_xlfn.IFS(AD335="",0,AD335&lt;0,"Negate Leave",AD335&gt;=0,AD335)</f>
        <v>14</v>
      </c>
    </row>
    <row r="336" spans="1:31" x14ac:dyDescent="0.3">
      <c r="A336" s="7">
        <v>5299</v>
      </c>
      <c r="B336" s="7" t="s">
        <v>1402</v>
      </c>
      <c r="C336" s="7" t="str">
        <f t="shared" si="61"/>
        <v>Amit Bose</v>
      </c>
      <c r="D336" s="7" t="str">
        <f t="shared" si="62"/>
        <v>Amit Bose</v>
      </c>
      <c r="E336" s="7" t="s">
        <v>68</v>
      </c>
      <c r="F336" s="7" t="s">
        <v>122</v>
      </c>
      <c r="G336" s="7" t="s">
        <v>91</v>
      </c>
      <c r="H336" s="7" t="str">
        <f>_xlfn.XLOOKUP(G336,Lookup_Tables!$A$4:$A$9,Lookup_Tables!$C$4:$C$9,"Not Found",0)</f>
        <v>Rajiv Kapoor</v>
      </c>
      <c r="I336" s="7" t="s">
        <v>85</v>
      </c>
      <c r="J336" s="7" t="s">
        <v>1419</v>
      </c>
      <c r="K336" s="7" t="str">
        <f t="shared" si="63"/>
        <v>kavya.iyer@company.com</v>
      </c>
      <c r="L336" s="7" t="s">
        <v>1420</v>
      </c>
      <c r="M336" s="7" t="str">
        <f t="shared" si="60"/>
        <v>7785986365</v>
      </c>
      <c r="N336" s="7" t="str" cm="1">
        <f t="array" ref="N336">_xlfn.IFS(M336="","Incomplete",LEN(M336)&lt;10,"Invalid",AND(LEN(M336) =10,LEFT(M336,4) &lt;&gt;"+91-"),"+91-"&amp;M336,TRUE,M336)</f>
        <v>+91-7785986365</v>
      </c>
      <c r="O336" s="8" t="s">
        <v>1421</v>
      </c>
      <c r="P336" s="14"/>
      <c r="Q336" s="14" t="str">
        <f t="shared" si="67"/>
        <v>Missing</v>
      </c>
      <c r="R336" s="14" t="str" cm="1">
        <f t="array" ref="R336">_xlfn.IFS(OR(Q336="Missing",Q336="N/A",Q336="Still Employed"),Q336,ISNUMBER(SEARCH(",",Q336)),DATEVALUE(Q336),AND(ISNUMBER(SEARCH("-",Q336)),ISNUMBER(VALUE(LEFT(Q336,4)))),DATE(LEFT(Q336,4),MID(Q336,6,2),RIGHT(Q336,2)),ISNUMBER(SEARCH("-",Q336)),DATE(RIGHT(Q336,4),MID(Q336,4,2),LEFT(Q336,2)),ISNUMBER(SEARCH("/",Q336)),DATE(RIGHT(Q336,4),MID(Q336,4,2),LEFT(Q336,2)),TRUE,"Check Manually")</f>
        <v>Missing</v>
      </c>
      <c r="S336" s="31" t="str">
        <f t="shared" ca="1" si="68"/>
        <v>4 Years, 0 Months, 0 Days</v>
      </c>
      <c r="T336" s="31">
        <f t="shared" ca="1" si="69"/>
        <v>1461</v>
      </c>
      <c r="U336" s="31" t="str" cm="1">
        <f t="array" ref="U336">_xlfn.IFS(OR(R336="Missing",R336="N/A",R336="Still Employed"),"Unknown",ISNUMBER(R336),"Exited",TRUE,"Unknown")</f>
        <v>Unknown</v>
      </c>
      <c r="V336" s="31" t="str">
        <f t="shared" si="70"/>
        <v/>
      </c>
      <c r="W336" s="14" t="str">
        <f t="shared" si="71"/>
        <v>Active</v>
      </c>
      <c r="X336" s="19">
        <v>150979</v>
      </c>
      <c r="Y336" s="18" t="str">
        <f t="shared" si="64"/>
        <v>150979</v>
      </c>
      <c r="Z336" s="22" t="str" cm="1">
        <f t="array" ref="Z336">_xlfn.IFS(Y336="","0",LEFT(Y336,5)="",Y336,LEFT(Y336,1)="₹",REPLACE(Y336,1,1,""),LEFT(Y336,4)="Rs. ",REPLACE(Y336,1,4,""),TRUE,Y336)</f>
        <v>150979</v>
      </c>
      <c r="AA336" s="22" t="str">
        <f t="shared" si="65"/>
        <v>150979</v>
      </c>
      <c r="AB336" s="7" t="s">
        <v>144</v>
      </c>
      <c r="AC336" s="7" t="str">
        <f t="shared" si="66"/>
        <v>Poor</v>
      </c>
      <c r="AD336" s="7">
        <v>18</v>
      </c>
      <c r="AE336" cm="1">
        <f t="array" ref="AE336">_xlfn.IFS(AD336="",0,AD336&lt;0,"Negate Leave",AD336&gt;=0,AD336)</f>
        <v>18</v>
      </c>
    </row>
    <row r="337" spans="1:31" x14ac:dyDescent="0.3">
      <c r="A337" s="7">
        <v>5280</v>
      </c>
      <c r="B337" s="7" t="s">
        <v>1406</v>
      </c>
      <c r="C337" s="7" t="str">
        <f t="shared" si="61"/>
        <v>anita mehta</v>
      </c>
      <c r="D337" s="7" t="str">
        <f t="shared" si="62"/>
        <v>Anita Mehta</v>
      </c>
      <c r="E337" s="7" t="s">
        <v>68</v>
      </c>
      <c r="F337" s="7" t="s">
        <v>53</v>
      </c>
      <c r="G337" s="7" t="s">
        <v>54</v>
      </c>
      <c r="H337" s="7" t="str">
        <f>_xlfn.XLOOKUP(G337,Lookup_Tables!$A$4:$A$9,Lookup_Tables!$C$4:$C$9,"Not Found",0)</f>
        <v>Leela Iyer</v>
      </c>
      <c r="I337" s="7" t="s">
        <v>62</v>
      </c>
      <c r="J337" s="7" t="s">
        <v>1423</v>
      </c>
      <c r="K337" s="7" t="str">
        <f t="shared" si="63"/>
        <v>sureshgupta@company.com</v>
      </c>
      <c r="L337" s="7" t="s">
        <v>1424</v>
      </c>
      <c r="M337" s="7" t="str">
        <f t="shared" si="60"/>
        <v>2901195203</v>
      </c>
      <c r="N337" s="7" t="str" cm="1">
        <f t="array" ref="N337">_xlfn.IFS(M337="","Incomplete",LEN(M337)&lt;10,"Invalid",AND(LEN(M337) =10,LEFT(M337,4) &lt;&gt;"+91-"),"+91-"&amp;M337,TRUE,M337)</f>
        <v>+91-2901195203</v>
      </c>
      <c r="O337" s="8" t="s">
        <v>1425</v>
      </c>
      <c r="P337" s="14"/>
      <c r="Q337" s="14" t="str">
        <f t="shared" si="67"/>
        <v>Missing</v>
      </c>
      <c r="R337" s="14" t="str" cm="1">
        <f t="array" ref="R337">_xlfn.IFS(OR(Q337="Missing",Q337="N/A",Q337="Still Employed"),Q337,ISNUMBER(SEARCH(",",Q337)),DATEVALUE(Q337),AND(ISNUMBER(SEARCH("-",Q337)),ISNUMBER(VALUE(LEFT(Q337,4)))),DATE(LEFT(Q337,4),MID(Q337,6,2),RIGHT(Q337,2)),ISNUMBER(SEARCH("-",Q337)),DATE(RIGHT(Q337,4),MID(Q337,4,2),LEFT(Q337,2)),ISNUMBER(SEARCH("/",Q337)),DATE(RIGHT(Q337,4),MID(Q337,4,2),LEFT(Q337,2)),TRUE,"Check Manually")</f>
        <v>Missing</v>
      </c>
      <c r="S337" s="31" t="str">
        <f t="shared" ca="1" si="68"/>
        <v>6 Years, 1 Months, 8 Days</v>
      </c>
      <c r="T337" s="31">
        <f t="shared" ca="1" si="69"/>
        <v>2229.94</v>
      </c>
      <c r="U337" s="31" t="str" cm="1">
        <f t="array" ref="U337">_xlfn.IFS(OR(R337="Missing",R337="N/A",R337="Still Employed"),"Unknown",ISNUMBER(R337),"Exited",TRUE,"Unknown")</f>
        <v>Unknown</v>
      </c>
      <c r="V337" s="31" t="str">
        <f t="shared" si="70"/>
        <v/>
      </c>
      <c r="W337" s="14" t="str">
        <f t="shared" si="71"/>
        <v>Active</v>
      </c>
      <c r="X337" s="19" t="s">
        <v>1426</v>
      </c>
      <c r="Y337" s="18" t="str">
        <f t="shared" si="64"/>
        <v>₹109,091</v>
      </c>
      <c r="Z337" s="22" t="str" cm="1">
        <f t="array" ref="Z337">_xlfn.IFS(Y337="","0",LEFT(Y337,5)="",Y337,LEFT(Y337,1)="₹",REPLACE(Y337,1,1,""),LEFT(Y337,4)="Rs. ",REPLACE(Y337,1,4,""),TRUE,Y337)</f>
        <v>109,091</v>
      </c>
      <c r="AA337" s="22" t="str">
        <f t="shared" si="65"/>
        <v>109091</v>
      </c>
      <c r="AB337" s="7" t="s">
        <v>144</v>
      </c>
      <c r="AC337" s="7" t="str">
        <f t="shared" si="66"/>
        <v>Poor</v>
      </c>
      <c r="AD337" s="7">
        <v>-3</v>
      </c>
      <c r="AE337" t="str" cm="1">
        <f t="array" ref="AE337">_xlfn.IFS(AD337="",0,AD337&lt;0,"Negate Leave",AD337&gt;=0,AD337)</f>
        <v>Negate Leave</v>
      </c>
    </row>
    <row r="338" spans="1:31" x14ac:dyDescent="0.3">
      <c r="A338" s="7">
        <v>5007</v>
      </c>
      <c r="B338" s="7" t="s">
        <v>1409</v>
      </c>
      <c r="C338" s="7" t="str">
        <f t="shared" si="61"/>
        <v>Karthik Joshi</v>
      </c>
      <c r="D338" s="7" t="str">
        <f t="shared" si="62"/>
        <v>Karthik Joshi</v>
      </c>
      <c r="E338" s="7" t="s">
        <v>68</v>
      </c>
      <c r="F338" s="7" t="s">
        <v>122</v>
      </c>
      <c r="G338" s="7" t="s">
        <v>91</v>
      </c>
      <c r="H338" s="7" t="str">
        <f>_xlfn.XLOOKUP(G338,Lookup_Tables!$A$4:$A$9,Lookup_Tables!$C$4:$C$9,"Not Found",0)</f>
        <v>Rajiv Kapoor</v>
      </c>
      <c r="I338" s="7" t="s">
        <v>110</v>
      </c>
      <c r="J338" s="7" t="s">
        <v>1428</v>
      </c>
      <c r="K338" s="7" t="str">
        <f t="shared" si="63"/>
        <v>tanvi.shah@company.com</v>
      </c>
      <c r="L338" s="7"/>
      <c r="M338" s="7" t="str">
        <f t="shared" si="60"/>
        <v/>
      </c>
      <c r="N338" s="7" t="str" cm="1">
        <f t="array" ref="N338">_xlfn.IFS(M338="","Incomplete",LEN(M338)&lt;10,"Invalid",AND(LEN(M338) =10,LEFT(M338,4) &lt;&gt;"+91-"),"+91-"&amp;M338,TRUE,M338)</f>
        <v>Incomplete</v>
      </c>
      <c r="O338" s="8" t="s">
        <v>1429</v>
      </c>
      <c r="P338" s="14"/>
      <c r="Q338" s="14" t="str">
        <f t="shared" si="67"/>
        <v>Missing</v>
      </c>
      <c r="R338" s="14" t="str" cm="1">
        <f t="array" ref="R338">_xlfn.IFS(OR(Q338="Missing",Q338="N/A",Q338="Still Employed"),Q338,ISNUMBER(SEARCH(",",Q338)),DATEVALUE(Q338),AND(ISNUMBER(SEARCH("-",Q338)),ISNUMBER(VALUE(LEFT(Q338,4)))),DATE(LEFT(Q338,4),MID(Q338,6,2),RIGHT(Q338,2)),ISNUMBER(SEARCH("-",Q338)),DATE(RIGHT(Q338,4),MID(Q338,4,2),LEFT(Q338,2)),ISNUMBER(SEARCH("/",Q338)),DATE(RIGHT(Q338,4),MID(Q338,4,2),LEFT(Q338,2)),TRUE,"Check Manually")</f>
        <v>Missing</v>
      </c>
      <c r="S338" s="31" t="str">
        <f t="shared" ca="1" si="68"/>
        <v>2 Years, 10 Months, 13 Days</v>
      </c>
      <c r="T338" s="31">
        <f t="shared" ca="1" si="69"/>
        <v>1047.9000000000001</v>
      </c>
      <c r="U338" s="31" t="str" cm="1">
        <f t="array" ref="U338">_xlfn.IFS(OR(R338="Missing",R338="N/A",R338="Still Employed"),"Unknown",ISNUMBER(R338),"Exited",TRUE,"Unknown")</f>
        <v>Unknown</v>
      </c>
      <c r="V338" s="31" t="str">
        <f t="shared" si="70"/>
        <v/>
      </c>
      <c r="W338" s="14" t="str">
        <f t="shared" si="71"/>
        <v>Active</v>
      </c>
      <c r="X338" s="19">
        <v>93353</v>
      </c>
      <c r="Y338" s="18" t="str">
        <f t="shared" si="64"/>
        <v>93353</v>
      </c>
      <c r="Z338" s="22" t="str" cm="1">
        <f t="array" ref="Z338">_xlfn.IFS(Y338="","0",LEFT(Y338,5)="",Y338,LEFT(Y338,1)="₹",REPLACE(Y338,1,1,""),LEFT(Y338,4)="Rs. ",REPLACE(Y338,1,4,""),TRUE,Y338)</f>
        <v>93353</v>
      </c>
      <c r="AA338" s="22" t="str">
        <f t="shared" si="65"/>
        <v>93353</v>
      </c>
      <c r="AB338" s="7" t="s">
        <v>89</v>
      </c>
      <c r="AC338" s="7" t="str">
        <f t="shared" si="66"/>
        <v>Below Average</v>
      </c>
      <c r="AD338" s="7">
        <v>8</v>
      </c>
      <c r="AE338" cm="1">
        <f t="array" ref="AE338">_xlfn.IFS(AD338="",0,AD338&lt;0,"Negate Leave",AD338&gt;=0,AD338)</f>
        <v>8</v>
      </c>
    </row>
    <row r="339" spans="1:31" x14ac:dyDescent="0.3">
      <c r="A339" s="7">
        <v>5167</v>
      </c>
      <c r="B339" s="7" t="s">
        <v>1412</v>
      </c>
      <c r="C339" s="7" t="str">
        <f t="shared" si="61"/>
        <v>ritu desai</v>
      </c>
      <c r="D339" s="7" t="str">
        <f t="shared" si="62"/>
        <v>Ritu Desai</v>
      </c>
      <c r="E339" s="7" t="s">
        <v>61</v>
      </c>
      <c r="F339" s="7" t="s">
        <v>389</v>
      </c>
      <c r="G339" s="7" t="s">
        <v>140</v>
      </c>
      <c r="H339" s="7" t="str">
        <f>_xlfn.XLOOKUP(G339,Lookup_Tables!$A$4:$A$9,Lookup_Tables!$C$4:$C$9,"Not Found",0)</f>
        <v>Sunita Rao</v>
      </c>
      <c r="I339" s="7" t="s">
        <v>55</v>
      </c>
      <c r="J339" s="7" t="s">
        <v>1053</v>
      </c>
      <c r="K339" s="7" t="str">
        <f t="shared" si="63"/>
        <v>deepak.kapoor@company.com</v>
      </c>
      <c r="L339" s="7"/>
      <c r="M339" s="7" t="str">
        <f t="shared" si="60"/>
        <v/>
      </c>
      <c r="N339" s="7" t="str" cm="1">
        <f t="array" ref="N339">_xlfn.IFS(M339="","Incomplete",LEN(M339)&lt;10,"Invalid",AND(LEN(M339) =10,LEFT(M339,4) &lt;&gt;"+91-"),"+91-"&amp;M339,TRUE,M339)</f>
        <v>Incomplete</v>
      </c>
      <c r="O339" s="8" t="s">
        <v>1430</v>
      </c>
      <c r="P339" s="14" t="s">
        <v>1431</v>
      </c>
      <c r="Q339" s="14" t="str">
        <f t="shared" si="67"/>
        <v>2025-05-03</v>
      </c>
      <c r="R339" s="14" cm="1">
        <f t="array" ref="R339">_xlfn.IFS(OR(Q339="Missing",Q339="N/A",Q339="Still Employed"),Q339,ISNUMBER(SEARCH(",",Q339)),DATEVALUE(Q339),AND(ISNUMBER(SEARCH("-",Q339)),ISNUMBER(VALUE(LEFT(Q339,4)))),DATE(LEFT(Q339,4),MID(Q339,6,2),RIGHT(Q339,2)),ISNUMBER(SEARCH("-",Q339)),DATE(RIGHT(Q339,4),MID(Q339,4,2),LEFT(Q339,2)),ISNUMBER(SEARCH("/",Q339)),DATE(RIGHT(Q339,4),MID(Q339,4,2),LEFT(Q339,2)),TRUE,"Check Manually")</f>
        <v>45780</v>
      </c>
      <c r="S339" s="31" t="str">
        <f t="shared" ca="1" si="68"/>
        <v>1 Years, 10 Months, 21 Days</v>
      </c>
      <c r="T339" s="31">
        <f t="shared" ca="1" si="69"/>
        <v>690.65000000000009</v>
      </c>
      <c r="U339" s="31" t="str" cm="1">
        <f t="array" ref="U339">_xlfn.IFS(OR(R339="Missing",R339="N/A",R339="Still Employed"),"Unknown",ISNUMBER(R339),"Exited",TRUE,"Unknown")</f>
        <v>Exited</v>
      </c>
      <c r="V339" s="31">
        <f t="shared" si="70"/>
        <v>2025</v>
      </c>
      <c r="W339" s="14" t="str">
        <f t="shared" si="71"/>
        <v>Exited</v>
      </c>
      <c r="X339" s="19" t="s">
        <v>1432</v>
      </c>
      <c r="Y339" s="18" t="str">
        <f t="shared" si="64"/>
        <v>₹118,825</v>
      </c>
      <c r="Z339" s="22" t="str" cm="1">
        <f t="array" ref="Z339">_xlfn.IFS(Y339="","0",LEFT(Y339,5)="",Y339,LEFT(Y339,1)="₹",REPLACE(Y339,1,1,""),LEFT(Y339,4)="Rs. ",REPLACE(Y339,1,4,""),TRUE,Y339)</f>
        <v>118,825</v>
      </c>
      <c r="AA339" s="22" t="str">
        <f t="shared" si="65"/>
        <v>118825</v>
      </c>
      <c r="AB339" s="7" t="s">
        <v>89</v>
      </c>
      <c r="AC339" s="7" t="str">
        <f t="shared" si="66"/>
        <v>Below Average</v>
      </c>
      <c r="AD339" s="7">
        <v>1</v>
      </c>
      <c r="AE339" cm="1">
        <f t="array" ref="AE339">_xlfn.IFS(AD339="",0,AD339&lt;0,"Negate Leave",AD339&gt;=0,AD339)</f>
        <v>1</v>
      </c>
    </row>
    <row r="340" spans="1:31" x14ac:dyDescent="0.3">
      <c r="A340" s="7">
        <v>5327</v>
      </c>
      <c r="B340" s="7" t="s">
        <v>1415</v>
      </c>
      <c r="C340" s="7" t="str">
        <f t="shared" si="61"/>
        <v>Rohan  Kulkarni</v>
      </c>
      <c r="D340" s="7" t="str">
        <f t="shared" si="62"/>
        <v>Rohan Kulkarni</v>
      </c>
      <c r="E340" s="7" t="s">
        <v>61</v>
      </c>
      <c r="F340" s="7" t="s">
        <v>53</v>
      </c>
      <c r="G340" s="7" t="s">
        <v>54</v>
      </c>
      <c r="H340" s="7" t="str">
        <f>_xlfn.XLOOKUP(G340,Lookup_Tables!$A$4:$A$9,Lookup_Tables!$C$4:$C$9,"Not Found",0)</f>
        <v>Leela Iyer</v>
      </c>
      <c r="I340" s="7" t="s">
        <v>62</v>
      </c>
      <c r="J340" s="7" t="s">
        <v>1433</v>
      </c>
      <c r="K340" s="7" t="str">
        <f t="shared" si="63"/>
        <v>neha.naidu@company.com</v>
      </c>
      <c r="L340" s="7" t="s">
        <v>1434</v>
      </c>
      <c r="M340" s="7" t="str">
        <f t="shared" si="60"/>
        <v>39409910</v>
      </c>
      <c r="N340" s="7" t="str" cm="1">
        <f t="array" ref="N340">_xlfn.IFS(M340="","Incomplete",LEN(M340)&lt;10,"Invalid",AND(LEN(M340) =10,LEFT(M340,4) &lt;&gt;"+91-"),"+91-"&amp;M340,TRUE,M340)</f>
        <v>Invalid</v>
      </c>
      <c r="O340" s="8" t="s">
        <v>1435</v>
      </c>
      <c r="P340" s="14" t="s">
        <v>126</v>
      </c>
      <c r="Q340" s="14" t="str">
        <f t="shared" si="67"/>
        <v>N/A</v>
      </c>
      <c r="R340" s="14" t="str" cm="1">
        <f t="array" ref="R340">_xlfn.IFS(OR(Q340="Missing",Q340="N/A",Q340="Still Employed"),Q340,ISNUMBER(SEARCH(",",Q340)),DATEVALUE(Q340),AND(ISNUMBER(SEARCH("-",Q340)),ISNUMBER(VALUE(LEFT(Q340,4)))),DATE(LEFT(Q340,4),MID(Q340,6,2),RIGHT(Q340,2)),ISNUMBER(SEARCH("-",Q340)),DATE(RIGHT(Q340,4),MID(Q340,4,2),LEFT(Q340,2)),ISNUMBER(SEARCH("/",Q340)),DATE(RIGHT(Q340,4),MID(Q340,4,2),LEFT(Q340,2)),TRUE,"Check Manually")</f>
        <v>N/A</v>
      </c>
      <c r="S340" s="31" t="str">
        <f t="shared" ca="1" si="68"/>
        <v>6 Years, 3 Months, 20 Days</v>
      </c>
      <c r="T340" s="31">
        <f t="shared" ca="1" si="69"/>
        <v>2302.8200000000002</v>
      </c>
      <c r="U340" s="31" t="str" cm="1">
        <f t="array" ref="U340">_xlfn.IFS(OR(R340="Missing",R340="N/A",R340="Still Employed"),"Unknown",ISNUMBER(R340),"Exited",TRUE,"Unknown")</f>
        <v>Unknown</v>
      </c>
      <c r="V340" s="31" t="str">
        <f t="shared" si="70"/>
        <v/>
      </c>
      <c r="W340" s="14" t="str">
        <f t="shared" si="71"/>
        <v>Active</v>
      </c>
      <c r="X340" s="19">
        <v>176745</v>
      </c>
      <c r="Y340" s="18" t="str">
        <f t="shared" si="64"/>
        <v>176745</v>
      </c>
      <c r="Z340" s="22" t="str" cm="1">
        <f t="array" ref="Z340">_xlfn.IFS(Y340="","0",LEFT(Y340,5)="",Y340,LEFT(Y340,1)="₹",REPLACE(Y340,1,1,""),LEFT(Y340,4)="Rs. ",REPLACE(Y340,1,4,""),TRUE,Y340)</f>
        <v>176745</v>
      </c>
      <c r="AA340" s="22" t="str">
        <f t="shared" si="65"/>
        <v>176745</v>
      </c>
      <c r="AB340" s="7" t="s">
        <v>144</v>
      </c>
      <c r="AC340" s="7" t="str">
        <f t="shared" si="66"/>
        <v>Poor</v>
      </c>
      <c r="AD340" s="7">
        <v>8</v>
      </c>
      <c r="AE340" cm="1">
        <f t="array" ref="AE340">_xlfn.IFS(AD340="",0,AD340&lt;0,"Negate Leave",AD340&gt;=0,AD340)</f>
        <v>8</v>
      </c>
    </row>
    <row r="341" spans="1:31" x14ac:dyDescent="0.3">
      <c r="A341" s="7">
        <v>5121</v>
      </c>
      <c r="B341" s="7" t="s">
        <v>1418</v>
      </c>
      <c r="C341" s="7" t="str">
        <f t="shared" si="61"/>
        <v>Kavya Iyer</v>
      </c>
      <c r="D341" s="7" t="str">
        <f t="shared" si="62"/>
        <v>Kavya Iyer</v>
      </c>
      <c r="E341" s="7" t="s">
        <v>68</v>
      </c>
      <c r="F341" s="7" t="s">
        <v>122</v>
      </c>
      <c r="G341" s="7" t="s">
        <v>91</v>
      </c>
      <c r="H341" s="7" t="str">
        <f>_xlfn.XLOOKUP(G341,Lookup_Tables!$A$4:$A$9,Lookup_Tables!$C$4:$C$9,"Not Found",0)</f>
        <v>Rajiv Kapoor</v>
      </c>
      <c r="I341" s="7" t="s">
        <v>175</v>
      </c>
      <c r="J341" s="7" t="s">
        <v>1436</v>
      </c>
      <c r="K341" s="7" t="str">
        <f t="shared" si="63"/>
        <v>ritu.joshi@company.com</v>
      </c>
      <c r="L341" s="7" t="s">
        <v>1437</v>
      </c>
      <c r="M341" s="7" t="str">
        <f t="shared" si="60"/>
        <v>71051280</v>
      </c>
      <c r="N341" s="7" t="str" cm="1">
        <f t="array" ref="N341">_xlfn.IFS(M341="","Incomplete",LEN(M341)&lt;10,"Invalid",AND(LEN(M341) =10,LEFT(M341,4) &lt;&gt;"+91-"),"+91-"&amp;M341,TRUE,M341)</f>
        <v>Invalid</v>
      </c>
      <c r="O341" s="8" t="s">
        <v>1438</v>
      </c>
      <c r="P341" s="14"/>
      <c r="Q341" s="14" t="str">
        <f t="shared" si="67"/>
        <v>Missing</v>
      </c>
      <c r="R341" s="14" t="str" cm="1">
        <f t="array" ref="R341">_xlfn.IFS(OR(Q341="Missing",Q341="N/A",Q341="Still Employed"),Q341,ISNUMBER(SEARCH(",",Q341)),DATEVALUE(Q341),AND(ISNUMBER(SEARCH("-",Q341)),ISNUMBER(VALUE(LEFT(Q341,4)))),DATE(LEFT(Q341,4),MID(Q341,6,2),RIGHT(Q341,2)),ISNUMBER(SEARCH("-",Q341)),DATE(RIGHT(Q341,4),MID(Q341,4,2),LEFT(Q341,2)),ISNUMBER(SEARCH("/",Q341)),DATE(RIGHT(Q341,4),MID(Q341,4,2),LEFT(Q341,2)),TRUE,"Check Manually")</f>
        <v>Missing</v>
      </c>
      <c r="S341" s="31" t="str">
        <f t="shared" ca="1" si="68"/>
        <v>8 Years, 5 Months, 5 Days</v>
      </c>
      <c r="T341" s="31">
        <f t="shared" ca="1" si="69"/>
        <v>3079.2</v>
      </c>
      <c r="U341" s="31" t="str" cm="1">
        <f t="array" ref="U341">_xlfn.IFS(OR(R341="Missing",R341="N/A",R341="Still Employed"),"Unknown",ISNUMBER(R341),"Exited",TRUE,"Unknown")</f>
        <v>Unknown</v>
      </c>
      <c r="V341" s="31" t="str">
        <f t="shared" si="70"/>
        <v/>
      </c>
      <c r="W341" s="14" t="str">
        <f t="shared" si="71"/>
        <v>Active</v>
      </c>
      <c r="X341" s="19">
        <v>55188</v>
      </c>
      <c r="Y341" s="18" t="str">
        <f t="shared" si="64"/>
        <v>55188</v>
      </c>
      <c r="Z341" s="22" t="str" cm="1">
        <f t="array" ref="Z341">_xlfn.IFS(Y341="","0",LEFT(Y341,5)="",Y341,LEFT(Y341,1)="₹",REPLACE(Y341,1,1,""),LEFT(Y341,4)="Rs. ",REPLACE(Y341,1,4,""),TRUE,Y341)</f>
        <v>55188</v>
      </c>
      <c r="AA341" s="22" t="str">
        <f t="shared" si="65"/>
        <v>55188</v>
      </c>
      <c r="AB341" s="7" t="s">
        <v>144</v>
      </c>
      <c r="AC341" s="7" t="str">
        <f t="shared" si="66"/>
        <v>Poor</v>
      </c>
      <c r="AD341" s="7">
        <v>16</v>
      </c>
      <c r="AE341" cm="1">
        <f t="array" ref="AE341">_xlfn.IFS(AD341="",0,AD341&lt;0,"Negate Leave",AD341&gt;=0,AD341)</f>
        <v>16</v>
      </c>
    </row>
    <row r="342" spans="1:31" x14ac:dyDescent="0.3">
      <c r="A342" s="7">
        <v>5112</v>
      </c>
      <c r="B342" s="7" t="s">
        <v>1422</v>
      </c>
      <c r="C342" s="7" t="str">
        <f t="shared" si="61"/>
        <v>Suresh Gupta</v>
      </c>
      <c r="D342" s="7" t="str">
        <f t="shared" si="62"/>
        <v>Suresh Gupta</v>
      </c>
      <c r="E342" s="7" t="s">
        <v>84</v>
      </c>
      <c r="F342" s="7" t="s">
        <v>53</v>
      </c>
      <c r="G342" s="7" t="s">
        <v>54</v>
      </c>
      <c r="H342" s="7" t="str">
        <f>_xlfn.XLOOKUP(G342,Lookup_Tables!$A$4:$A$9,Lookup_Tables!$C$4:$C$9,"Not Found",0)</f>
        <v>Leela Iyer</v>
      </c>
      <c r="I342" s="7" t="s">
        <v>175</v>
      </c>
      <c r="J342" s="7" t="s">
        <v>1439</v>
      </c>
      <c r="K342" s="7" t="str">
        <f t="shared" si="63"/>
        <v xml:space="preserve">rajesh.mehta@company.com </v>
      </c>
      <c r="L342" s="7" t="s">
        <v>1440</v>
      </c>
      <c r="M342" s="7" t="str">
        <f t="shared" si="60"/>
        <v>1836546107</v>
      </c>
      <c r="N342" s="7" t="str" cm="1">
        <f t="array" ref="N342">_xlfn.IFS(M342="","Incomplete",LEN(M342)&lt;10,"Invalid",AND(LEN(M342) =10,LEFT(M342,4) &lt;&gt;"+91-"),"+91-"&amp;M342,TRUE,M342)</f>
        <v>+91-1836546107</v>
      </c>
      <c r="O342" s="8" t="s">
        <v>1441</v>
      </c>
      <c r="P342" s="14"/>
      <c r="Q342" s="14" t="str">
        <f t="shared" si="67"/>
        <v>Missing</v>
      </c>
      <c r="R342" s="14" t="str" cm="1">
        <f t="array" ref="R342">_xlfn.IFS(OR(Q342="Missing",Q342="N/A",Q342="Still Employed"),Q342,ISNUMBER(SEARCH(",",Q342)),DATEVALUE(Q342),AND(ISNUMBER(SEARCH("-",Q342)),ISNUMBER(VALUE(LEFT(Q342,4)))),DATE(LEFT(Q342,4),MID(Q342,6,2),RIGHT(Q342,2)),ISNUMBER(SEARCH("-",Q342)),DATE(RIGHT(Q342,4),MID(Q342,4,2),LEFT(Q342,2)),ISNUMBER(SEARCH("/",Q342)),DATE(RIGHT(Q342,4),MID(Q342,4,2),LEFT(Q342,2)),TRUE,"Check Manually")</f>
        <v>Missing</v>
      </c>
      <c r="S342" s="31" t="str">
        <f t="shared" ca="1" si="68"/>
        <v>4 Years, 10 Months, 1 Days</v>
      </c>
      <c r="T342" s="31">
        <f t="shared" ca="1" si="69"/>
        <v>1766.4</v>
      </c>
      <c r="U342" s="31" t="str" cm="1">
        <f t="array" ref="U342">_xlfn.IFS(OR(R342="Missing",R342="N/A",R342="Still Employed"),"Unknown",ISNUMBER(R342),"Exited",TRUE,"Unknown")</f>
        <v>Unknown</v>
      </c>
      <c r="V342" s="31" t="str">
        <f t="shared" si="70"/>
        <v/>
      </c>
      <c r="W342" s="14" t="str">
        <f t="shared" si="71"/>
        <v>Active</v>
      </c>
      <c r="X342" s="19" t="s">
        <v>1442</v>
      </c>
      <c r="Y342" s="18" t="str">
        <f t="shared" si="64"/>
        <v>₹55,510</v>
      </c>
      <c r="Z342" s="22" t="str" cm="1">
        <f t="array" ref="Z342">_xlfn.IFS(Y342="","0",LEFT(Y342,5)="",Y342,LEFT(Y342,1)="₹",REPLACE(Y342,1,1,""),LEFT(Y342,4)="Rs. ",REPLACE(Y342,1,4,""),TRUE,Y342)</f>
        <v>55,510</v>
      </c>
      <c r="AA342" s="22" t="str">
        <f t="shared" si="65"/>
        <v>55510</v>
      </c>
      <c r="AB342" s="7" t="s">
        <v>127</v>
      </c>
      <c r="AC342" s="7" t="str">
        <f t="shared" si="66"/>
        <v>Good</v>
      </c>
      <c r="AD342" s="7">
        <v>8</v>
      </c>
      <c r="AE342" cm="1">
        <f t="array" ref="AE342">_xlfn.IFS(AD342="",0,AD342&lt;0,"Negate Leave",AD342&gt;=0,AD342)</f>
        <v>8</v>
      </c>
    </row>
    <row r="343" spans="1:31" x14ac:dyDescent="0.3">
      <c r="A343" s="7">
        <v>5303</v>
      </c>
      <c r="B343" s="7" t="s">
        <v>1427</v>
      </c>
      <c r="C343" s="7" t="str">
        <f t="shared" si="61"/>
        <v>Tanvi Shah</v>
      </c>
      <c r="D343" s="7" t="str">
        <f t="shared" si="62"/>
        <v>Tanvi Shah</v>
      </c>
      <c r="E343" s="7" t="s">
        <v>61</v>
      </c>
      <c r="F343" s="7" t="s">
        <v>389</v>
      </c>
      <c r="G343" s="7" t="s">
        <v>140</v>
      </c>
      <c r="H343" s="7" t="str">
        <f>_xlfn.XLOOKUP(G343,Lookup_Tables!$A$4:$A$9,Lookup_Tables!$C$4:$C$9,"Not Found",0)</f>
        <v>Sunita Rao</v>
      </c>
      <c r="I343" s="7" t="s">
        <v>77</v>
      </c>
      <c r="J343" s="7" t="s">
        <v>1443</v>
      </c>
      <c r="K343" s="7" t="str">
        <f t="shared" si="63"/>
        <v>priya.agarwal@company.com</v>
      </c>
      <c r="L343" s="7" t="s">
        <v>1444</v>
      </c>
      <c r="M343" s="7" t="str">
        <f t="shared" si="60"/>
        <v>+91-2392391793</v>
      </c>
      <c r="N343" s="7" t="str" cm="1">
        <f t="array" ref="N343">_xlfn.IFS(M343="","Incomplete",LEN(M343)&lt;10,"Invalid",AND(LEN(M343) =10,LEFT(M343,4) &lt;&gt;"+91-"),"+91-"&amp;M343,TRUE,M343)</f>
        <v>+91-2392391793</v>
      </c>
      <c r="O343" s="8" t="s">
        <v>1445</v>
      </c>
      <c r="P343" s="14" t="s">
        <v>126</v>
      </c>
      <c r="Q343" s="14" t="str">
        <f t="shared" si="67"/>
        <v>N/A</v>
      </c>
      <c r="R343" s="14" t="str" cm="1">
        <f t="array" ref="R343">_xlfn.IFS(OR(Q343="Missing",Q343="N/A",Q343="Still Employed"),Q343,ISNUMBER(SEARCH(",",Q343)),DATEVALUE(Q343),AND(ISNUMBER(SEARCH("-",Q343)),ISNUMBER(VALUE(LEFT(Q343,4)))),DATE(LEFT(Q343,4),MID(Q343,6,2),RIGHT(Q343,2)),ISNUMBER(SEARCH("-",Q343)),DATE(RIGHT(Q343,4),MID(Q343,4,2),LEFT(Q343,2)),ISNUMBER(SEARCH("/",Q343)),DATE(RIGHT(Q343,4),MID(Q343,4,2),LEFT(Q343,2)),TRUE,"Check Manually")</f>
        <v>N/A</v>
      </c>
      <c r="S343" s="31" t="str">
        <f t="shared" ca="1" si="68"/>
        <v>7 Years, 6 Months, 7 Days</v>
      </c>
      <c r="T343" s="31">
        <f t="shared" ca="1" si="69"/>
        <v>2746.39</v>
      </c>
      <c r="U343" s="31" t="str" cm="1">
        <f t="array" ref="U343">_xlfn.IFS(OR(R343="Missing",R343="N/A",R343="Still Employed"),"Unknown",ISNUMBER(R343),"Exited",TRUE,"Unknown")</f>
        <v>Unknown</v>
      </c>
      <c r="V343" s="31" t="str">
        <f t="shared" si="70"/>
        <v/>
      </c>
      <c r="W343" s="14" t="str">
        <f t="shared" si="71"/>
        <v>Active</v>
      </c>
      <c r="X343" s="19" t="s">
        <v>1446</v>
      </c>
      <c r="Y343" s="18" t="str">
        <f t="shared" si="64"/>
        <v>₹78,366</v>
      </c>
      <c r="Z343" s="22" t="str" cm="1">
        <f t="array" ref="Z343">_xlfn.IFS(Y343="","0",LEFT(Y343,5)="",Y343,LEFT(Y343,1)="₹",REPLACE(Y343,1,1,""),LEFT(Y343,4)="Rs. ",REPLACE(Y343,1,4,""),TRUE,Y343)</f>
        <v>78,366</v>
      </c>
      <c r="AA343" s="22" t="str">
        <f t="shared" si="65"/>
        <v>78366</v>
      </c>
      <c r="AB343" s="7" t="s">
        <v>51</v>
      </c>
      <c r="AC343" s="7" t="str">
        <f t="shared" si="66"/>
        <v>Excellent</v>
      </c>
      <c r="AD343" s="7">
        <v>-3</v>
      </c>
      <c r="AE343" t="str" cm="1">
        <f t="array" ref="AE343">_xlfn.IFS(AD343="",0,AD343&lt;0,"Negate Leave",AD343&gt;=0,AD343)</f>
        <v>Negate Leave</v>
      </c>
    </row>
    <row r="344" spans="1:31" x14ac:dyDescent="0.3">
      <c r="A344" s="7">
        <v>5117</v>
      </c>
      <c r="B344" s="7" t="s">
        <v>1318</v>
      </c>
      <c r="C344" s="7" t="str">
        <f t="shared" si="61"/>
        <v>Deepak Kapoor</v>
      </c>
      <c r="D344" s="7" t="str">
        <f t="shared" si="62"/>
        <v>Deepak Kapoor</v>
      </c>
      <c r="E344" s="7" t="s">
        <v>61</v>
      </c>
      <c r="F344" s="7" t="s">
        <v>151</v>
      </c>
      <c r="G344" s="7" t="s">
        <v>76</v>
      </c>
      <c r="H344" s="7" t="str">
        <f>_xlfn.XLOOKUP(G344,Lookup_Tables!$A$4:$A$9,Lookup_Tables!$C$4:$C$9,"Not Found",0)</f>
        <v>Ananya Sen</v>
      </c>
      <c r="I344" s="7" t="s">
        <v>85</v>
      </c>
      <c r="J344" s="7" t="s">
        <v>1447</v>
      </c>
      <c r="K344" s="7" t="str">
        <f t="shared" si="63"/>
        <v>deepak.bhatt@company.com</v>
      </c>
      <c r="L344" s="7" t="s">
        <v>1448</v>
      </c>
      <c r="M344" s="7" t="str">
        <f t="shared" si="60"/>
        <v>6421293279</v>
      </c>
      <c r="N344" s="7" t="str" cm="1">
        <f t="array" ref="N344">_xlfn.IFS(M344="","Incomplete",LEN(M344)&lt;10,"Invalid",AND(LEN(M344) =10,LEFT(M344,4) &lt;&gt;"+91-"),"+91-"&amp;M344,TRUE,M344)</f>
        <v>+91-6421293279</v>
      </c>
      <c r="O344" s="8" t="s">
        <v>1449</v>
      </c>
      <c r="P344" s="14"/>
      <c r="Q344" s="14" t="str">
        <f t="shared" si="67"/>
        <v>Missing</v>
      </c>
      <c r="R344" s="14" t="str" cm="1">
        <f t="array" ref="R344">_xlfn.IFS(OR(Q344="Missing",Q344="N/A",Q344="Still Employed"),Q344,ISNUMBER(SEARCH(",",Q344)),DATEVALUE(Q344),AND(ISNUMBER(SEARCH("-",Q344)),ISNUMBER(VALUE(LEFT(Q344,4)))),DATE(LEFT(Q344,4),MID(Q344,6,2),RIGHT(Q344,2)),ISNUMBER(SEARCH("-",Q344)),DATE(RIGHT(Q344,4),MID(Q344,4,2),LEFT(Q344,2)),ISNUMBER(SEARCH("/",Q344)),DATE(RIGHT(Q344,4),MID(Q344,4,2),LEFT(Q344,2)),TRUE,"Check Manually")</f>
        <v>Missing</v>
      </c>
      <c r="S344" s="31" t="str">
        <f t="shared" ca="1" si="68"/>
        <v>7 Years, 5 Months, 4 Days</v>
      </c>
      <c r="T344" s="31">
        <f t="shared" ca="1" si="69"/>
        <v>2712.95</v>
      </c>
      <c r="U344" s="31" t="str" cm="1">
        <f t="array" ref="U344">_xlfn.IFS(OR(R344="Missing",R344="N/A",R344="Still Employed"),"Unknown",ISNUMBER(R344),"Exited",TRUE,"Unknown")</f>
        <v>Unknown</v>
      </c>
      <c r="V344" s="31" t="str">
        <f t="shared" si="70"/>
        <v/>
      </c>
      <c r="W344" s="14" t="str">
        <f t="shared" si="71"/>
        <v>Active</v>
      </c>
      <c r="X344" s="19" t="s">
        <v>1450</v>
      </c>
      <c r="Y344" s="18" t="str">
        <f t="shared" si="64"/>
        <v>74,087</v>
      </c>
      <c r="Z344" s="22" t="str" cm="1">
        <f t="array" ref="Z344">_xlfn.IFS(Y344="","0",LEFT(Y344,5)="",Y344,LEFT(Y344,1)="₹",REPLACE(Y344,1,1,""),LEFT(Y344,4)="Rs. ",REPLACE(Y344,1,4,""),TRUE,Y344)</f>
        <v>74,087</v>
      </c>
      <c r="AA344" s="22" t="str">
        <f t="shared" si="65"/>
        <v>74087</v>
      </c>
      <c r="AB344" s="7" t="s">
        <v>144</v>
      </c>
      <c r="AC344" s="7" t="str">
        <f t="shared" si="66"/>
        <v>Poor</v>
      </c>
      <c r="AD344" s="7">
        <v>0</v>
      </c>
      <c r="AE344" cm="1">
        <f t="array" ref="AE344">_xlfn.IFS(AD344="",0,AD344&lt;0,"Negate Leave",AD344&gt;=0,AD344)</f>
        <v>0</v>
      </c>
    </row>
  </sheetData>
  <autoFilter ref="A1:AP1" xr:uid="{00000000-0001-0000-01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BED1-04FC-4CA0-8EF5-C2DC0523C6FF}">
  <dimension ref="A1:O49"/>
  <sheetViews>
    <sheetView workbookViewId="0">
      <selection activeCell="L34" sqref="L34"/>
    </sheetView>
  </sheetViews>
  <sheetFormatPr defaultRowHeight="14.4" x14ac:dyDescent="0.3"/>
  <cols>
    <col min="1" max="1" width="9.33203125" bestFit="1" customWidth="1"/>
    <col min="2" max="2" width="19.5546875" bestFit="1" customWidth="1"/>
    <col min="3" max="3" width="10.88671875" bestFit="1" customWidth="1"/>
    <col min="4" max="4" width="7.44140625" bestFit="1" customWidth="1"/>
    <col min="5" max="5" width="3.33203125" bestFit="1" customWidth="1"/>
    <col min="6" max="6" width="9.6640625" bestFit="1" customWidth="1"/>
    <col min="7" max="7" width="5.21875" bestFit="1" customWidth="1"/>
    <col min="8" max="8" width="10.77734375" bestFit="1" customWidth="1"/>
    <col min="9" max="9" width="22.88671875" bestFit="1" customWidth="1"/>
    <col min="10" max="10" width="16.44140625" bestFit="1" customWidth="1"/>
    <col min="11" max="11" width="10.88671875" bestFit="1" customWidth="1"/>
    <col min="12" max="12" width="7.44140625" bestFit="1" customWidth="1"/>
    <col min="13" max="13" width="3.33203125" bestFit="1" customWidth="1"/>
    <col min="14" max="14" width="9.6640625" bestFit="1" customWidth="1"/>
    <col min="15" max="15" width="5.21875" bestFit="1" customWidth="1"/>
    <col min="16" max="17" width="10.77734375" bestFit="1" customWidth="1"/>
    <col min="18" max="19" width="9.77734375" bestFit="1" customWidth="1"/>
    <col min="20" max="20" width="8.77734375" bestFit="1" customWidth="1"/>
    <col min="21" max="21" width="9.77734375" bestFit="1" customWidth="1"/>
    <col min="22" max="22" width="10.77734375" bestFit="1" customWidth="1"/>
    <col min="23" max="23" width="8.77734375" bestFit="1" customWidth="1"/>
    <col min="24" max="25" width="9.77734375" bestFit="1" customWidth="1"/>
    <col min="26" max="26" width="10.77734375" bestFit="1" customWidth="1"/>
    <col min="27" max="27" width="9.77734375" bestFit="1" customWidth="1"/>
    <col min="28" max="29" width="10.77734375" bestFit="1" customWidth="1"/>
    <col min="30" max="30" width="8.77734375" bestFit="1" customWidth="1"/>
    <col min="31" max="31" width="9.77734375" bestFit="1" customWidth="1"/>
    <col min="32" max="32" width="8.77734375" bestFit="1" customWidth="1"/>
    <col min="33" max="33" width="9.77734375" bestFit="1" customWidth="1"/>
    <col min="34" max="39" width="10.77734375" bestFit="1" customWidth="1"/>
    <col min="40" max="42" width="9.77734375" bestFit="1" customWidth="1"/>
    <col min="43" max="43" width="8.77734375" bestFit="1" customWidth="1"/>
    <col min="44" max="45" width="9.77734375" bestFit="1" customWidth="1"/>
    <col min="46" max="46" width="8.77734375" bestFit="1" customWidth="1"/>
    <col min="47" max="48" width="9.77734375" bestFit="1" customWidth="1"/>
    <col min="49" max="49" width="8.77734375" bestFit="1" customWidth="1"/>
    <col min="50" max="50" width="9.77734375" bestFit="1" customWidth="1"/>
    <col min="51" max="51" width="8.77734375" bestFit="1" customWidth="1"/>
    <col min="52" max="52" width="9.77734375" bestFit="1" customWidth="1"/>
    <col min="53" max="53" width="8" bestFit="1" customWidth="1"/>
    <col min="54" max="54" width="11.6640625" bestFit="1" customWidth="1"/>
    <col min="55" max="55" width="4.5546875" bestFit="1" customWidth="1"/>
    <col min="56" max="56" width="12.88671875" bestFit="1" customWidth="1"/>
    <col min="57" max="57" width="9.77734375" bestFit="1" customWidth="1"/>
    <col min="58" max="58" width="8.77734375" bestFit="1" customWidth="1"/>
    <col min="59" max="61" width="10.77734375" bestFit="1" customWidth="1"/>
    <col min="62" max="63" width="9.77734375" bestFit="1" customWidth="1"/>
    <col min="64" max="64" width="14.44140625" bestFit="1" customWidth="1"/>
    <col min="65" max="65" width="7.33203125" bestFit="1" customWidth="1"/>
    <col min="66" max="66" width="5.5546875" bestFit="1" customWidth="1"/>
    <col min="67" max="67" width="12.88671875" bestFit="1" customWidth="1"/>
    <col min="68" max="68" width="9.77734375" bestFit="1" customWidth="1"/>
    <col min="69" max="69" width="8.77734375" bestFit="1" customWidth="1"/>
    <col min="70" max="70" width="9.77734375" bestFit="1" customWidth="1"/>
    <col min="71" max="71" width="10.77734375" bestFit="1" customWidth="1"/>
    <col min="72" max="73" width="9.77734375" bestFit="1" customWidth="1"/>
    <col min="74" max="74" width="9.88671875" bestFit="1" customWidth="1"/>
  </cols>
  <sheetData>
    <row r="1" spans="1:2" x14ac:dyDescent="0.3">
      <c r="A1" s="37"/>
    </row>
    <row r="3" spans="1:2" x14ac:dyDescent="0.3">
      <c r="A3" s="35" t="s">
        <v>2159</v>
      </c>
      <c r="B3" s="35" t="s">
        <v>2161</v>
      </c>
    </row>
    <row r="4" spans="1:2" x14ac:dyDescent="0.3">
      <c r="A4" s="35" t="s">
        <v>34</v>
      </c>
      <c r="B4" t="s">
        <v>219</v>
      </c>
    </row>
    <row r="5" spans="1:2" x14ac:dyDescent="0.3">
      <c r="A5" s="36" t="s">
        <v>61</v>
      </c>
      <c r="B5" s="47">
        <v>9</v>
      </c>
    </row>
    <row r="6" spans="1:2" x14ac:dyDescent="0.3">
      <c r="A6" s="36" t="s">
        <v>68</v>
      </c>
      <c r="B6" s="47">
        <v>4</v>
      </c>
    </row>
    <row r="10" spans="1:2" x14ac:dyDescent="0.3">
      <c r="A10" s="35" t="s">
        <v>2161</v>
      </c>
      <c r="B10" s="29" t="s">
        <v>2160</v>
      </c>
    </row>
    <row r="11" spans="1:2" x14ac:dyDescent="0.3">
      <c r="A11" s="36" t="s">
        <v>219</v>
      </c>
      <c r="B11" s="29">
        <v>113102.84615384616</v>
      </c>
    </row>
    <row r="18" spans="1:15" x14ac:dyDescent="0.3">
      <c r="I18" s="35" t="s">
        <v>1824</v>
      </c>
      <c r="J18" t="s">
        <v>1826</v>
      </c>
    </row>
    <row r="20" spans="1:15" x14ac:dyDescent="0.3">
      <c r="A20" s="35" t="s">
        <v>40</v>
      </c>
      <c r="B20" s="39" t="s">
        <v>2158</v>
      </c>
      <c r="I20" s="35" t="s">
        <v>2168</v>
      </c>
      <c r="J20" s="35" t="s">
        <v>2161</v>
      </c>
    </row>
    <row r="21" spans="1:15" x14ac:dyDescent="0.3">
      <c r="A21" s="36" t="s">
        <v>2162</v>
      </c>
      <c r="B21" s="39">
        <v>1</v>
      </c>
      <c r="I21" s="35" t="s">
        <v>2171</v>
      </c>
      <c r="J21" t="s">
        <v>219</v>
      </c>
      <c r="K21" t="s">
        <v>151</v>
      </c>
      <c r="L21" t="s">
        <v>53</v>
      </c>
      <c r="M21" t="s">
        <v>389</v>
      </c>
      <c r="N21" t="s">
        <v>133</v>
      </c>
      <c r="O21" t="s">
        <v>122</v>
      </c>
    </row>
    <row r="22" spans="1:15" x14ac:dyDescent="0.3">
      <c r="A22" s="36" t="s">
        <v>2163</v>
      </c>
      <c r="B22" s="39">
        <v>1</v>
      </c>
      <c r="I22" s="36">
        <v>2020</v>
      </c>
      <c r="J22" s="39">
        <v>1</v>
      </c>
      <c r="K22" s="39">
        <v>1</v>
      </c>
      <c r="L22" s="39"/>
      <c r="M22" s="39">
        <v>1</v>
      </c>
      <c r="N22" s="39"/>
      <c r="O22" s="39"/>
    </row>
    <row r="23" spans="1:15" x14ac:dyDescent="0.3">
      <c r="A23" s="36" t="s">
        <v>2164</v>
      </c>
      <c r="B23" s="39">
        <v>4</v>
      </c>
      <c r="I23" s="36">
        <v>2021</v>
      </c>
      <c r="J23" s="39">
        <v>2</v>
      </c>
      <c r="K23" s="39"/>
      <c r="L23" s="39">
        <v>1</v>
      </c>
      <c r="M23" s="39"/>
      <c r="N23" s="39"/>
      <c r="O23" s="39">
        <v>2</v>
      </c>
    </row>
    <row r="24" spans="1:15" x14ac:dyDescent="0.3">
      <c r="A24" s="36" t="s">
        <v>2165</v>
      </c>
      <c r="B24" s="39">
        <v>3</v>
      </c>
      <c r="I24" s="36">
        <v>2022</v>
      </c>
      <c r="J24" s="39">
        <v>1</v>
      </c>
      <c r="K24" s="39">
        <v>2</v>
      </c>
      <c r="L24" s="39">
        <v>1</v>
      </c>
      <c r="M24" s="39">
        <v>1</v>
      </c>
      <c r="N24" s="39"/>
      <c r="O24" s="39"/>
    </row>
    <row r="25" spans="1:15" x14ac:dyDescent="0.3">
      <c r="A25" s="36" t="s">
        <v>2166</v>
      </c>
      <c r="B25" s="39">
        <v>3</v>
      </c>
      <c r="I25" s="36">
        <v>2023</v>
      </c>
      <c r="J25" s="39">
        <v>2</v>
      </c>
      <c r="K25" s="39"/>
      <c r="L25" s="39">
        <v>1</v>
      </c>
      <c r="M25" s="39">
        <v>2</v>
      </c>
      <c r="N25" s="39">
        <v>1</v>
      </c>
      <c r="O25" s="39">
        <v>1</v>
      </c>
    </row>
    <row r="26" spans="1:15" x14ac:dyDescent="0.3">
      <c r="A26" s="36" t="s">
        <v>2167</v>
      </c>
      <c r="B26" s="39">
        <v>1</v>
      </c>
      <c r="I26" s="36">
        <v>2024</v>
      </c>
      <c r="J26" s="39">
        <v>2</v>
      </c>
      <c r="K26" s="39">
        <v>2</v>
      </c>
      <c r="L26" s="39">
        <v>1</v>
      </c>
      <c r="M26" s="39"/>
      <c r="N26" s="39">
        <v>4</v>
      </c>
      <c r="O26" s="39">
        <v>1</v>
      </c>
    </row>
    <row r="27" spans="1:15" x14ac:dyDescent="0.3">
      <c r="I27" s="36">
        <v>2025</v>
      </c>
      <c r="J27" s="39">
        <v>5</v>
      </c>
      <c r="K27" s="39">
        <v>11</v>
      </c>
      <c r="L27" s="39">
        <v>5</v>
      </c>
      <c r="M27" s="39">
        <v>3</v>
      </c>
      <c r="N27" s="39">
        <v>6</v>
      </c>
      <c r="O27" s="39">
        <v>6</v>
      </c>
    </row>
    <row r="31" spans="1:15" x14ac:dyDescent="0.3">
      <c r="A31" s="29" t="s">
        <v>2159</v>
      </c>
    </row>
    <row r="32" spans="1:15" x14ac:dyDescent="0.3">
      <c r="A32" s="29">
        <v>66</v>
      </c>
    </row>
    <row r="34" spans="1:2" x14ac:dyDescent="0.3">
      <c r="A34" s="35" t="s">
        <v>35</v>
      </c>
      <c r="B34" t="s">
        <v>2159</v>
      </c>
    </row>
    <row r="35" spans="1:2" x14ac:dyDescent="0.3">
      <c r="A35" s="36" t="s">
        <v>219</v>
      </c>
      <c r="B35" s="47">
        <v>13</v>
      </c>
    </row>
    <row r="36" spans="1:2" x14ac:dyDescent="0.3">
      <c r="A36" s="36" t="s">
        <v>151</v>
      </c>
      <c r="B36" s="47">
        <v>16</v>
      </c>
    </row>
    <row r="37" spans="1:2" x14ac:dyDescent="0.3">
      <c r="A37" s="36" t="s">
        <v>53</v>
      </c>
      <c r="B37" s="47">
        <v>9</v>
      </c>
    </row>
    <row r="38" spans="1:2" x14ac:dyDescent="0.3">
      <c r="A38" s="36" t="s">
        <v>389</v>
      </c>
      <c r="B38" s="47">
        <v>7</v>
      </c>
    </row>
    <row r="39" spans="1:2" x14ac:dyDescent="0.3">
      <c r="A39" s="36" t="s">
        <v>133</v>
      </c>
      <c r="B39" s="47">
        <v>11</v>
      </c>
    </row>
    <row r="40" spans="1:2" x14ac:dyDescent="0.3">
      <c r="A40" s="36" t="s">
        <v>122</v>
      </c>
      <c r="B40" s="47">
        <v>10</v>
      </c>
    </row>
    <row r="47" spans="1:2" x14ac:dyDescent="0.3">
      <c r="A47" s="35" t="s">
        <v>34</v>
      </c>
      <c r="B47" t="s">
        <v>2159</v>
      </c>
    </row>
    <row r="48" spans="1:2" x14ac:dyDescent="0.3">
      <c r="A48" s="36" t="s">
        <v>61</v>
      </c>
      <c r="B48" s="47">
        <v>33</v>
      </c>
    </row>
    <row r="49" spans="1:2" x14ac:dyDescent="0.3">
      <c r="A49" s="36" t="s">
        <v>68</v>
      </c>
      <c r="B49" s="47">
        <v>33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F8" sqref="F8"/>
    </sheetView>
  </sheetViews>
  <sheetFormatPr defaultRowHeight="14.4" x14ac:dyDescent="0.3"/>
  <cols>
    <col min="1" max="1" width="14" customWidth="1"/>
    <col min="2" max="2" width="22" customWidth="1"/>
    <col min="3" max="3" width="18" customWidth="1"/>
  </cols>
  <sheetData>
    <row r="1" spans="1:3" ht="16.8" x14ac:dyDescent="0.3">
      <c r="A1" s="9" t="s">
        <v>1451</v>
      </c>
    </row>
    <row r="3" spans="1:3" x14ac:dyDescent="0.3">
      <c r="A3" s="10" t="s">
        <v>36</v>
      </c>
      <c r="B3" s="10" t="s">
        <v>1452</v>
      </c>
      <c r="C3" s="10" t="s">
        <v>1453</v>
      </c>
    </row>
    <row r="4" spans="1:3" x14ac:dyDescent="0.3">
      <c r="A4" s="11" t="s">
        <v>76</v>
      </c>
      <c r="B4" s="11" t="s">
        <v>151</v>
      </c>
      <c r="C4" s="11" t="s">
        <v>1454</v>
      </c>
    </row>
    <row r="5" spans="1:3" x14ac:dyDescent="0.3">
      <c r="A5" s="11" t="s">
        <v>91</v>
      </c>
      <c r="B5" s="11" t="s">
        <v>122</v>
      </c>
      <c r="C5" s="11" t="s">
        <v>1455</v>
      </c>
    </row>
    <row r="6" spans="1:3" x14ac:dyDescent="0.3">
      <c r="A6" s="11" t="s">
        <v>140</v>
      </c>
      <c r="B6" s="11" t="s">
        <v>139</v>
      </c>
      <c r="C6" s="11" t="s">
        <v>1456</v>
      </c>
    </row>
    <row r="7" spans="1:3" x14ac:dyDescent="0.3">
      <c r="A7" s="11" t="s">
        <v>69</v>
      </c>
      <c r="B7" s="11" t="s">
        <v>133</v>
      </c>
      <c r="C7" s="11" t="s">
        <v>1457</v>
      </c>
    </row>
    <row r="8" spans="1:3" x14ac:dyDescent="0.3">
      <c r="A8" s="11" t="s">
        <v>54</v>
      </c>
      <c r="B8" s="11" t="s">
        <v>53</v>
      </c>
      <c r="C8" s="11" t="s">
        <v>1458</v>
      </c>
    </row>
    <row r="9" spans="1:3" x14ac:dyDescent="0.3">
      <c r="A9" s="11" t="s">
        <v>46</v>
      </c>
      <c r="B9" s="11" t="s">
        <v>219</v>
      </c>
      <c r="C9" s="11" t="s">
        <v>1459</v>
      </c>
    </row>
    <row r="12" spans="1:3" ht="16.8" x14ac:dyDescent="0.3">
      <c r="A12" s="9" t="s">
        <v>1460</v>
      </c>
    </row>
    <row r="14" spans="1:3" x14ac:dyDescent="0.3">
      <c r="A14" s="12" t="s">
        <v>1461</v>
      </c>
      <c r="B14" s="12" t="s">
        <v>1462</v>
      </c>
    </row>
    <row r="15" spans="1:3" x14ac:dyDescent="0.3">
      <c r="A15" s="11">
        <v>1</v>
      </c>
      <c r="B15" s="11" t="s">
        <v>144</v>
      </c>
    </row>
    <row r="16" spans="1:3" x14ac:dyDescent="0.3">
      <c r="A16" s="11">
        <v>2</v>
      </c>
      <c r="B16" s="11" t="s">
        <v>89</v>
      </c>
    </row>
    <row r="17" spans="1:2" x14ac:dyDescent="0.3">
      <c r="A17" s="11">
        <v>3</v>
      </c>
      <c r="B17" s="11" t="s">
        <v>95</v>
      </c>
    </row>
    <row r="18" spans="1:2" x14ac:dyDescent="0.3">
      <c r="A18" s="11">
        <v>4</v>
      </c>
      <c r="B18" s="11" t="s">
        <v>127</v>
      </c>
    </row>
    <row r="19" spans="1:2" x14ac:dyDescent="0.3">
      <c r="A19" s="11">
        <v>5</v>
      </c>
      <c r="B19" s="11" t="s">
        <v>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4678C-7C8B-457C-B865-17A01C7AB186}">
  <dimension ref="A1:AD351"/>
  <sheetViews>
    <sheetView workbookViewId="0">
      <selection activeCell="C1" sqref="C1:C1048576"/>
    </sheetView>
  </sheetViews>
  <sheetFormatPr defaultRowHeight="14.4" x14ac:dyDescent="0.3"/>
  <cols>
    <col min="1" max="1" width="11" customWidth="1"/>
    <col min="2" max="2" width="17.88671875" bestFit="1" customWidth="1"/>
    <col min="3" max="3" width="10" customWidth="1"/>
    <col min="4" max="4" width="20" customWidth="1"/>
    <col min="5" max="5" width="6" bestFit="1" customWidth="1"/>
    <col min="6" max="6" width="16.77734375" customWidth="1"/>
    <col min="7" max="7" width="12" customWidth="1"/>
    <col min="8" max="8" width="27.6640625" bestFit="1" customWidth="1"/>
    <col min="9" max="9" width="14.77734375" bestFit="1" customWidth="1"/>
    <col min="10" max="10" width="14" style="15" customWidth="1"/>
    <col min="11" max="11" width="12.33203125" style="15" bestFit="1" customWidth="1"/>
    <col min="12" max="12" width="12.33203125" style="15" customWidth="1"/>
    <col min="13" max="13" width="27.109375" bestFit="1" customWidth="1"/>
    <col min="14" max="14" width="27.109375" customWidth="1"/>
    <col min="15" max="15" width="14.44140625" bestFit="1" customWidth="1"/>
    <col min="16" max="16" width="12.5546875" style="42" customWidth="1"/>
    <col min="17" max="17" width="15.44140625" customWidth="1"/>
    <col min="18" max="18" width="12.109375" bestFit="1" customWidth="1"/>
    <col min="21" max="21" width="15.77734375" bestFit="1" customWidth="1"/>
    <col min="22" max="22" width="15.6640625" customWidth="1"/>
    <col min="23" max="23" width="23" bestFit="1" customWidth="1"/>
    <col min="24" max="25" width="23" customWidth="1"/>
    <col min="28" max="28" width="13.6640625" customWidth="1"/>
  </cols>
  <sheetData>
    <row r="1" spans="1:30" s="33" customFormat="1" ht="30" x14ac:dyDescent="0.3">
      <c r="A1" s="25" t="s">
        <v>32</v>
      </c>
      <c r="B1" s="32" t="s">
        <v>33</v>
      </c>
      <c r="C1" s="25" t="s">
        <v>34</v>
      </c>
      <c r="D1" s="25" t="s">
        <v>35</v>
      </c>
      <c r="E1" s="25" t="s">
        <v>36</v>
      </c>
      <c r="F1" s="25" t="s">
        <v>2152</v>
      </c>
      <c r="G1" s="25" t="s">
        <v>37</v>
      </c>
      <c r="H1" s="26" t="s">
        <v>1823</v>
      </c>
      <c r="I1" s="32" t="s">
        <v>39</v>
      </c>
      <c r="J1" s="43" t="s">
        <v>40</v>
      </c>
      <c r="K1" s="34" t="s">
        <v>41</v>
      </c>
      <c r="L1" s="27" t="s">
        <v>2169</v>
      </c>
      <c r="M1" s="27" t="s">
        <v>1827</v>
      </c>
      <c r="N1" s="27" t="s">
        <v>2173</v>
      </c>
      <c r="O1" s="27" t="s">
        <v>1824</v>
      </c>
      <c r="P1" s="40" t="s">
        <v>42</v>
      </c>
      <c r="Q1" s="27" t="s">
        <v>43</v>
      </c>
      <c r="R1" s="27" t="s">
        <v>44</v>
      </c>
      <c r="U1" s="27" t="s">
        <v>35</v>
      </c>
      <c r="V1" s="27" t="s">
        <v>2154</v>
      </c>
      <c r="X1" s="27" t="s">
        <v>35</v>
      </c>
      <c r="Y1" s="27" t="s">
        <v>34</v>
      </c>
      <c r="Z1" s="33" t="s">
        <v>2175</v>
      </c>
    </row>
    <row r="2" spans="1:30" x14ac:dyDescent="0.3">
      <c r="A2" s="7">
        <v>5304</v>
      </c>
      <c r="B2" t="s">
        <v>1468</v>
      </c>
      <c r="C2" s="7" t="s">
        <v>61</v>
      </c>
      <c r="D2" s="7" t="s">
        <v>219</v>
      </c>
      <c r="E2" s="7" t="s">
        <v>46</v>
      </c>
      <c r="F2" s="7" t="s">
        <v>1459</v>
      </c>
      <c r="G2" s="7" t="s">
        <v>47</v>
      </c>
      <c r="H2" t="s">
        <v>48</v>
      </c>
      <c r="I2" t="s">
        <v>1617</v>
      </c>
      <c r="J2" s="14">
        <v>43315</v>
      </c>
      <c r="K2" s="15" t="s">
        <v>1820</v>
      </c>
      <c r="L2" t="s">
        <v>2170</v>
      </c>
      <c r="M2" t="s">
        <v>1828</v>
      </c>
      <c r="N2">
        <v>2906.59</v>
      </c>
      <c r="O2" t="s">
        <v>1825</v>
      </c>
      <c r="P2" s="41">
        <v>159086</v>
      </c>
      <c r="Q2" t="s">
        <v>51</v>
      </c>
      <c r="R2">
        <v>9</v>
      </c>
      <c r="U2" t="s">
        <v>219</v>
      </c>
      <c r="V2">
        <v>55</v>
      </c>
      <c r="X2" t="s">
        <v>53</v>
      </c>
      <c r="Y2" t="s">
        <v>2183</v>
      </c>
      <c r="Z2">
        <f>COUNT(A2:A344)</f>
        <v>343</v>
      </c>
    </row>
    <row r="3" spans="1:30" x14ac:dyDescent="0.3">
      <c r="A3" s="7">
        <v>5129</v>
      </c>
      <c r="B3" t="s">
        <v>52</v>
      </c>
      <c r="C3" s="7" t="s">
        <v>68</v>
      </c>
      <c r="D3" s="7" t="s">
        <v>53</v>
      </c>
      <c r="E3" s="7" t="s">
        <v>54</v>
      </c>
      <c r="F3" s="7" t="s">
        <v>1458</v>
      </c>
      <c r="G3" s="7" t="s">
        <v>55</v>
      </c>
      <c r="H3" t="s">
        <v>56</v>
      </c>
      <c r="I3" t="s">
        <v>1618</v>
      </c>
      <c r="J3" s="14">
        <v>44000</v>
      </c>
      <c r="K3" s="15" t="s">
        <v>1820</v>
      </c>
      <c r="L3" t="s">
        <v>2170</v>
      </c>
      <c r="M3" t="s">
        <v>1829</v>
      </c>
      <c r="N3">
        <v>2221.94</v>
      </c>
      <c r="O3" t="s">
        <v>1825</v>
      </c>
      <c r="P3" s="41">
        <v>89883</v>
      </c>
      <c r="Q3" t="s">
        <v>1821</v>
      </c>
      <c r="R3">
        <v>20</v>
      </c>
      <c r="U3" t="s">
        <v>53</v>
      </c>
      <c r="V3">
        <v>58</v>
      </c>
      <c r="X3">
        <f>VLOOKUP(X2,U1:V7,2,TRUE)</f>
        <v>58</v>
      </c>
      <c r="Y3">
        <f>VLOOKUP(Y2,U29:V31,2,TRUE)</f>
        <v>180</v>
      </c>
    </row>
    <row r="4" spans="1:30" x14ac:dyDescent="0.3">
      <c r="A4" s="7">
        <v>5014</v>
      </c>
      <c r="B4" t="s">
        <v>1469</v>
      </c>
      <c r="C4" s="7" t="s">
        <v>61</v>
      </c>
      <c r="D4" s="7" t="s">
        <v>53</v>
      </c>
      <c r="E4" s="7" t="s">
        <v>54</v>
      </c>
      <c r="F4" s="7" t="s">
        <v>1458</v>
      </c>
      <c r="G4" s="7" t="s">
        <v>62</v>
      </c>
      <c r="H4" t="s">
        <v>63</v>
      </c>
      <c r="I4" t="s">
        <v>1617</v>
      </c>
      <c r="J4" s="14">
        <v>43563</v>
      </c>
      <c r="K4" s="15">
        <v>45357</v>
      </c>
      <c r="L4">
        <v>2024</v>
      </c>
      <c r="M4" t="s">
        <v>1830</v>
      </c>
      <c r="N4">
        <v>1792.4</v>
      </c>
      <c r="O4" t="s">
        <v>1826</v>
      </c>
      <c r="P4" s="41">
        <v>62467</v>
      </c>
      <c r="Q4" t="s">
        <v>95</v>
      </c>
      <c r="R4">
        <v>19</v>
      </c>
      <c r="U4" t="s">
        <v>133</v>
      </c>
      <c r="V4">
        <v>51</v>
      </c>
      <c r="Z4" t="s">
        <v>2176</v>
      </c>
      <c r="AC4" t="s">
        <v>2178</v>
      </c>
    </row>
    <row r="5" spans="1:30" x14ac:dyDescent="0.3">
      <c r="A5" s="7">
        <v>5260</v>
      </c>
      <c r="B5" t="s">
        <v>1470</v>
      </c>
      <c r="C5" s="7" t="s">
        <v>68</v>
      </c>
      <c r="D5" s="7" t="s">
        <v>133</v>
      </c>
      <c r="E5" s="7" t="s">
        <v>69</v>
      </c>
      <c r="F5" s="7" t="s">
        <v>1457</v>
      </c>
      <c r="G5" s="7" t="s">
        <v>70</v>
      </c>
      <c r="H5" t="s">
        <v>71</v>
      </c>
      <c r="I5" t="s">
        <v>1619</v>
      </c>
      <c r="J5" s="14">
        <v>45142</v>
      </c>
      <c r="K5" s="15">
        <v>45838</v>
      </c>
      <c r="L5">
        <v>2025</v>
      </c>
      <c r="M5" t="s">
        <v>1831</v>
      </c>
      <c r="N5">
        <v>695.65000000000009</v>
      </c>
      <c r="O5" t="s">
        <v>1826</v>
      </c>
      <c r="P5" s="42">
        <v>0</v>
      </c>
      <c r="Q5" t="s">
        <v>95</v>
      </c>
      <c r="R5">
        <v>25</v>
      </c>
      <c r="U5" t="s">
        <v>151</v>
      </c>
      <c r="V5">
        <v>64</v>
      </c>
      <c r="Z5">
        <f>COUNTIF(O2:O344,"Active")</f>
        <v>277</v>
      </c>
      <c r="AC5">
        <f>Z2-Z5</f>
        <v>66</v>
      </c>
    </row>
    <row r="6" spans="1:30" x14ac:dyDescent="0.3">
      <c r="A6" s="7">
        <v>5330</v>
      </c>
      <c r="B6" t="s">
        <v>1102</v>
      </c>
      <c r="C6" s="7" t="s">
        <v>68</v>
      </c>
      <c r="D6" s="7" t="s">
        <v>151</v>
      </c>
      <c r="E6" s="7" t="s">
        <v>76</v>
      </c>
      <c r="F6" s="7" t="s">
        <v>1454</v>
      </c>
      <c r="G6" s="7" t="s">
        <v>77</v>
      </c>
      <c r="H6" t="s">
        <v>1598</v>
      </c>
      <c r="I6" t="s">
        <v>1619</v>
      </c>
      <c r="J6" s="14">
        <v>44164</v>
      </c>
      <c r="K6" s="15">
        <v>45777</v>
      </c>
      <c r="L6">
        <v>2025</v>
      </c>
      <c r="M6" t="s">
        <v>1832</v>
      </c>
      <c r="N6">
        <v>1614.2</v>
      </c>
      <c r="O6" t="s">
        <v>1826</v>
      </c>
      <c r="P6" s="42">
        <v>162965</v>
      </c>
      <c r="Q6" t="s">
        <v>51</v>
      </c>
      <c r="R6">
        <v>16</v>
      </c>
      <c r="U6" t="s">
        <v>122</v>
      </c>
      <c r="V6">
        <v>68</v>
      </c>
    </row>
    <row r="7" spans="1:30" x14ac:dyDescent="0.3">
      <c r="A7" s="7">
        <v>5350</v>
      </c>
      <c r="B7" t="s">
        <v>1471</v>
      </c>
      <c r="C7" s="7" t="s">
        <v>84</v>
      </c>
      <c r="D7" s="7" t="s">
        <v>53</v>
      </c>
      <c r="E7" s="7" t="s">
        <v>54</v>
      </c>
      <c r="F7" s="7" t="s">
        <v>1458</v>
      </c>
      <c r="G7" s="7" t="s">
        <v>85</v>
      </c>
      <c r="H7" t="s">
        <v>86</v>
      </c>
      <c r="I7" t="s">
        <v>1619</v>
      </c>
      <c r="J7" s="14">
        <v>44821</v>
      </c>
      <c r="K7" s="15" t="s">
        <v>1820</v>
      </c>
      <c r="L7" t="s">
        <v>2170</v>
      </c>
      <c r="M7" t="s">
        <v>1833</v>
      </c>
      <c r="N7">
        <v>1401.15</v>
      </c>
      <c r="O7" t="s">
        <v>1825</v>
      </c>
      <c r="P7" s="42">
        <v>173211</v>
      </c>
      <c r="Q7" t="s">
        <v>89</v>
      </c>
      <c r="R7">
        <v>18</v>
      </c>
      <c r="U7" t="s">
        <v>389</v>
      </c>
      <c r="V7">
        <v>54</v>
      </c>
      <c r="Z7" t="s">
        <v>2177</v>
      </c>
    </row>
    <row r="8" spans="1:30" x14ac:dyDescent="0.3">
      <c r="A8" s="7">
        <v>5130</v>
      </c>
      <c r="B8" t="s">
        <v>90</v>
      </c>
      <c r="C8" s="7" t="s">
        <v>68</v>
      </c>
      <c r="D8" s="7" t="s">
        <v>122</v>
      </c>
      <c r="E8" s="7" t="s">
        <v>91</v>
      </c>
      <c r="F8" s="7" t="s">
        <v>1455</v>
      </c>
      <c r="G8" s="7" t="s">
        <v>62</v>
      </c>
      <c r="H8" t="s">
        <v>92</v>
      </c>
      <c r="I8" t="s">
        <v>1620</v>
      </c>
      <c r="J8" s="14">
        <v>43948</v>
      </c>
      <c r="K8" s="15" t="s">
        <v>1820</v>
      </c>
      <c r="L8" t="s">
        <v>2170</v>
      </c>
      <c r="M8" t="s">
        <v>1834</v>
      </c>
      <c r="N8">
        <v>2273.38</v>
      </c>
      <c r="O8" t="s">
        <v>1825</v>
      </c>
      <c r="P8" s="42">
        <v>87855</v>
      </c>
      <c r="Q8" t="s">
        <v>95</v>
      </c>
      <c r="R8">
        <v>20</v>
      </c>
      <c r="U8" t="s">
        <v>2153</v>
      </c>
      <c r="V8">
        <v>5</v>
      </c>
    </row>
    <row r="9" spans="1:30" x14ac:dyDescent="0.3">
      <c r="A9" s="7">
        <v>5283</v>
      </c>
      <c r="B9" t="s">
        <v>96</v>
      </c>
      <c r="C9" s="7" t="s">
        <v>68</v>
      </c>
      <c r="D9" s="7" t="s">
        <v>151</v>
      </c>
      <c r="E9" s="7" t="s">
        <v>76</v>
      </c>
      <c r="F9" s="7" t="s">
        <v>1454</v>
      </c>
      <c r="G9" s="7" t="s">
        <v>70</v>
      </c>
      <c r="H9" t="s">
        <v>97</v>
      </c>
      <c r="I9" t="s">
        <v>1621</v>
      </c>
      <c r="J9" s="14">
        <v>45036</v>
      </c>
      <c r="K9" s="15">
        <v>45838</v>
      </c>
      <c r="L9">
        <v>2025</v>
      </c>
      <c r="M9" t="s">
        <v>1835</v>
      </c>
      <c r="N9">
        <v>801.38</v>
      </c>
      <c r="O9" t="s">
        <v>1826</v>
      </c>
      <c r="P9" s="42">
        <v>70870</v>
      </c>
      <c r="Q9" t="s">
        <v>89</v>
      </c>
      <c r="R9">
        <v>23</v>
      </c>
      <c r="Z9" t="s">
        <v>2181</v>
      </c>
    </row>
    <row r="10" spans="1:30" ht="43.2" x14ac:dyDescent="0.3">
      <c r="A10" s="7">
        <v>5179</v>
      </c>
      <c r="B10" t="s">
        <v>1472</v>
      </c>
      <c r="C10" s="7" t="s">
        <v>68</v>
      </c>
      <c r="D10" s="7" t="s">
        <v>133</v>
      </c>
      <c r="E10" s="7" t="s">
        <v>69</v>
      </c>
      <c r="F10" s="7" t="s">
        <v>1457</v>
      </c>
      <c r="G10" s="7" t="s">
        <v>55</v>
      </c>
      <c r="H10" t="s">
        <v>101</v>
      </c>
      <c r="I10" t="s">
        <v>102</v>
      </c>
      <c r="J10" s="14">
        <v>45361</v>
      </c>
      <c r="K10" s="15" t="s">
        <v>1820</v>
      </c>
      <c r="L10" t="s">
        <v>2170</v>
      </c>
      <c r="M10" t="s">
        <v>1836</v>
      </c>
      <c r="N10">
        <v>860.26</v>
      </c>
      <c r="O10" t="s">
        <v>1825</v>
      </c>
      <c r="P10" s="42">
        <v>136375</v>
      </c>
      <c r="Q10" t="s">
        <v>1821</v>
      </c>
      <c r="R10">
        <v>23</v>
      </c>
      <c r="AB10" s="44" t="s">
        <v>2179</v>
      </c>
      <c r="AC10">
        <f>AVERAGE(Z2,Z5)</f>
        <v>310</v>
      </c>
    </row>
    <row r="11" spans="1:30" ht="30" x14ac:dyDescent="0.3">
      <c r="A11" s="7">
        <v>5047</v>
      </c>
      <c r="B11" t="s">
        <v>104</v>
      </c>
      <c r="C11" s="7" t="s">
        <v>61</v>
      </c>
      <c r="D11" s="7" t="s">
        <v>53</v>
      </c>
      <c r="E11" s="7" t="s">
        <v>54</v>
      </c>
      <c r="F11" s="7" t="s">
        <v>1458</v>
      </c>
      <c r="G11" s="7" t="s">
        <v>55</v>
      </c>
      <c r="H11" t="s">
        <v>1599</v>
      </c>
      <c r="I11" t="s">
        <v>1622</v>
      </c>
      <c r="J11" s="14">
        <v>44637</v>
      </c>
      <c r="K11" s="15">
        <v>45838</v>
      </c>
      <c r="L11">
        <v>2025</v>
      </c>
      <c r="M11" t="s">
        <v>1837</v>
      </c>
      <c r="N11">
        <v>1200.07</v>
      </c>
      <c r="O11" t="s">
        <v>1826</v>
      </c>
      <c r="P11" s="42">
        <v>56096</v>
      </c>
      <c r="Q11" t="s">
        <v>95</v>
      </c>
      <c r="R11">
        <v>25</v>
      </c>
      <c r="U11" s="27" t="s">
        <v>35</v>
      </c>
      <c r="V11" s="27" t="s">
        <v>2157</v>
      </c>
      <c r="W11" s="27" t="s">
        <v>2174</v>
      </c>
      <c r="X11" s="27"/>
      <c r="Y11" s="27"/>
      <c r="AB11" t="s">
        <v>2180</v>
      </c>
      <c r="AC11" s="39" t="str">
        <f>ROUND((AC5/AC10*100),2)&amp; "%"</f>
        <v>21.29%</v>
      </c>
    </row>
    <row r="12" spans="1:30" x14ac:dyDescent="0.3">
      <c r="A12" s="7">
        <v>5316</v>
      </c>
      <c r="B12" t="s">
        <v>109</v>
      </c>
      <c r="C12" s="7" t="s">
        <v>61</v>
      </c>
      <c r="D12" s="7" t="s">
        <v>53</v>
      </c>
      <c r="E12" s="7" t="s">
        <v>54</v>
      </c>
      <c r="F12" s="7" t="s">
        <v>1458</v>
      </c>
      <c r="G12" s="7" t="s">
        <v>110</v>
      </c>
      <c r="H12" t="s">
        <v>111</v>
      </c>
      <c r="I12" t="s">
        <v>1623</v>
      </c>
      <c r="J12" s="14">
        <v>44523</v>
      </c>
      <c r="K12" s="15" t="s">
        <v>114</v>
      </c>
      <c r="L12" t="s">
        <v>2170</v>
      </c>
      <c r="M12" t="s">
        <v>1838</v>
      </c>
      <c r="N12">
        <v>1699.08</v>
      </c>
      <c r="O12" t="s">
        <v>1825</v>
      </c>
      <c r="P12" s="42">
        <v>130511</v>
      </c>
      <c r="Q12" t="s">
        <v>144</v>
      </c>
      <c r="R12">
        <v>16</v>
      </c>
      <c r="U12" t="s">
        <v>219</v>
      </c>
      <c r="V12" s="29">
        <f>AVERAGEIFS(N2:N344,D2:D344,"Customer Support")</f>
        <v>1724.8014545454546</v>
      </c>
      <c r="W12" t="str">
        <f>INT(V12/365.25) &amp; " Years, " &amp;
 INT(MOD(V12,365.25)/30.44) &amp; " Months, " &amp;
 INT(MOD(MOD(V12,365.25),30.44)) &amp; " Days"</f>
        <v>4 Years, 8 Months, 20 Days</v>
      </c>
      <c r="AB12" t="s">
        <v>2182</v>
      </c>
      <c r="AC12">
        <f>AVERAGE(N2:N344)</f>
        <v>1801.2296209912554</v>
      </c>
      <c r="AD12" t="str">
        <f>INT(AC12/365.25) &amp; "Y " &amp;
 INT(MOD(AC12,365.25)/30.44) &amp; "M " &amp;
 INT(MOD(MOD(AC12,365.25),30.44)) &amp; "D"</f>
        <v>4Y 11M 5D</v>
      </c>
    </row>
    <row r="13" spans="1:30" x14ac:dyDescent="0.3">
      <c r="A13" s="7">
        <v>5028</v>
      </c>
      <c r="B13" t="s">
        <v>1473</v>
      </c>
      <c r="C13" s="7" t="s">
        <v>61</v>
      </c>
      <c r="D13" s="7" t="s">
        <v>219</v>
      </c>
      <c r="E13" s="7" t="s">
        <v>46</v>
      </c>
      <c r="F13" s="7" t="s">
        <v>1459</v>
      </c>
      <c r="G13" s="7" t="s">
        <v>70</v>
      </c>
      <c r="H13" t="s">
        <v>117</v>
      </c>
      <c r="I13" t="s">
        <v>1624</v>
      </c>
      <c r="J13" s="14">
        <v>43508</v>
      </c>
      <c r="K13" s="15" t="s">
        <v>114</v>
      </c>
      <c r="L13" t="s">
        <v>2170</v>
      </c>
      <c r="M13" t="s">
        <v>1839</v>
      </c>
      <c r="N13">
        <v>2714.95</v>
      </c>
      <c r="O13" t="s">
        <v>1825</v>
      </c>
      <c r="P13" s="42">
        <v>85253</v>
      </c>
      <c r="Q13" t="s">
        <v>89</v>
      </c>
      <c r="R13">
        <v>6</v>
      </c>
      <c r="U13" t="s">
        <v>53</v>
      </c>
      <c r="V13" s="29">
        <f>AVERAGEIFS(N3:N345,D3:D345,"Finance")</f>
        <v>1810.7024561403516</v>
      </c>
      <c r="W13" t="str">
        <f t="shared" ref="W13:W17" si="0">INT(V13/365.25) &amp; " Years, " &amp;
 INT(MOD(V13,365.25)/30.44) &amp; " Months, " &amp;
 INT(MOD(MOD(V13,365.25),30.44)) &amp; " Days"</f>
        <v>4 Years, 11 Months, 14 Days</v>
      </c>
    </row>
    <row r="14" spans="1:30" x14ac:dyDescent="0.3">
      <c r="A14" s="7">
        <v>5178</v>
      </c>
      <c r="B14" t="s">
        <v>1474</v>
      </c>
      <c r="C14" s="7" t="s">
        <v>61</v>
      </c>
      <c r="D14" s="7" t="s">
        <v>122</v>
      </c>
      <c r="E14" s="7" t="s">
        <v>91</v>
      </c>
      <c r="F14" s="7" t="s">
        <v>1455</v>
      </c>
      <c r="G14" s="7" t="s">
        <v>70</v>
      </c>
      <c r="H14" t="s">
        <v>123</v>
      </c>
      <c r="I14" t="s">
        <v>124</v>
      </c>
      <c r="J14" s="14">
        <v>44329</v>
      </c>
      <c r="K14" s="15" t="s">
        <v>126</v>
      </c>
      <c r="L14" t="s">
        <v>2170</v>
      </c>
      <c r="M14" t="s">
        <v>1840</v>
      </c>
      <c r="N14">
        <v>1892.13</v>
      </c>
      <c r="O14" t="s">
        <v>1825</v>
      </c>
      <c r="P14" s="42">
        <v>124338</v>
      </c>
      <c r="Q14" t="s">
        <v>127</v>
      </c>
      <c r="R14">
        <v>2</v>
      </c>
      <c r="U14" t="s">
        <v>133</v>
      </c>
      <c r="V14" s="29">
        <f>AVERAGEIFS(N4:N346,D4:D346,"Marketing")</f>
        <v>1803.1400000000003</v>
      </c>
      <c r="W14" t="str">
        <f t="shared" si="0"/>
        <v>4 Years, 11 Months, 7 Days</v>
      </c>
    </row>
    <row r="15" spans="1:30" x14ac:dyDescent="0.3">
      <c r="A15" s="7">
        <v>5258</v>
      </c>
      <c r="B15" t="s">
        <v>1309</v>
      </c>
      <c r="C15" s="7" t="s">
        <v>68</v>
      </c>
      <c r="D15" s="7" t="s">
        <v>219</v>
      </c>
      <c r="E15" s="7" t="s">
        <v>46</v>
      </c>
      <c r="F15" s="7" t="s">
        <v>1459</v>
      </c>
      <c r="G15" s="7" t="s">
        <v>85</v>
      </c>
      <c r="H15" t="s">
        <v>129</v>
      </c>
      <c r="I15" t="s">
        <v>1625</v>
      </c>
      <c r="J15" s="14">
        <v>43881</v>
      </c>
      <c r="K15" s="15" t="s">
        <v>114</v>
      </c>
      <c r="L15" t="s">
        <v>2170</v>
      </c>
      <c r="M15" t="s">
        <v>1841</v>
      </c>
      <c r="N15">
        <v>2341.2600000000002</v>
      </c>
      <c r="O15" t="s">
        <v>1825</v>
      </c>
      <c r="P15" s="42">
        <v>118204</v>
      </c>
      <c r="Q15" t="s">
        <v>127</v>
      </c>
      <c r="R15">
        <v>24</v>
      </c>
      <c r="U15" t="s">
        <v>151</v>
      </c>
      <c r="V15" s="29">
        <f>AVERAGEIFS(N5:N347,D5:D347,"Engineering")</f>
        <v>1746.0106451612908</v>
      </c>
      <c r="W15" t="str">
        <f t="shared" si="0"/>
        <v>4 Years, 9 Months, 11 Days</v>
      </c>
      <c r="AB15" t="s">
        <v>35</v>
      </c>
      <c r="AC15" t="s">
        <v>34</v>
      </c>
    </row>
    <row r="16" spans="1:30" x14ac:dyDescent="0.3">
      <c r="A16" s="7">
        <v>5325</v>
      </c>
      <c r="B16" t="s">
        <v>132</v>
      </c>
      <c r="C16" s="7" t="s">
        <v>68</v>
      </c>
      <c r="D16" s="7" t="s">
        <v>133</v>
      </c>
      <c r="E16" s="7" t="s">
        <v>69</v>
      </c>
      <c r="F16" s="7" t="s">
        <v>1457</v>
      </c>
      <c r="G16" s="7" t="s">
        <v>47</v>
      </c>
      <c r="H16" t="s">
        <v>134</v>
      </c>
      <c r="I16" t="s">
        <v>135</v>
      </c>
      <c r="J16" s="14">
        <v>44800</v>
      </c>
      <c r="K16" s="15" t="s">
        <v>126</v>
      </c>
      <c r="L16" t="s">
        <v>2170</v>
      </c>
      <c r="M16" t="s">
        <v>1842</v>
      </c>
      <c r="N16">
        <v>1421.15</v>
      </c>
      <c r="O16" t="s">
        <v>1825</v>
      </c>
      <c r="P16" s="42">
        <v>137736</v>
      </c>
      <c r="Q16" t="s">
        <v>51</v>
      </c>
      <c r="R16">
        <v>8</v>
      </c>
      <c r="U16" t="s">
        <v>122</v>
      </c>
      <c r="V16" s="29">
        <f>AVERAGEIFS(N6:N348,D6:D348,"Sales")</f>
        <v>1938.322307692308</v>
      </c>
      <c r="W16" t="str">
        <f t="shared" si="0"/>
        <v>5 Years, 3 Months, 20 Days</v>
      </c>
      <c r="AB16" t="s">
        <v>219</v>
      </c>
      <c r="AC16" t="s">
        <v>2183</v>
      </c>
    </row>
    <row r="17" spans="1:29" x14ac:dyDescent="0.3">
      <c r="A17" s="7">
        <v>5342</v>
      </c>
      <c r="B17" t="s">
        <v>1475</v>
      </c>
      <c r="C17" s="7" t="s">
        <v>68</v>
      </c>
      <c r="D17" s="7" t="s">
        <v>389</v>
      </c>
      <c r="E17" s="7" t="s">
        <v>140</v>
      </c>
      <c r="F17" s="7" t="s">
        <v>1456</v>
      </c>
      <c r="G17" s="7" t="s">
        <v>110</v>
      </c>
      <c r="H17" t="s">
        <v>141</v>
      </c>
      <c r="I17" t="s">
        <v>1626</v>
      </c>
      <c r="J17" s="14">
        <v>44644</v>
      </c>
      <c r="K17" s="15" t="s">
        <v>1820</v>
      </c>
      <c r="L17" t="s">
        <v>2170</v>
      </c>
      <c r="M17" t="s">
        <v>1843</v>
      </c>
      <c r="N17">
        <v>1576.32</v>
      </c>
      <c r="O17" t="s">
        <v>1825</v>
      </c>
      <c r="P17" s="42">
        <v>64962</v>
      </c>
      <c r="Q17" t="s">
        <v>144</v>
      </c>
      <c r="R17">
        <v>22</v>
      </c>
      <c r="U17" t="s">
        <v>389</v>
      </c>
      <c r="V17" s="29">
        <f>AVERAGEIFS(N7:N349,D7:D349,"HR")</f>
        <v>1765.685740740741</v>
      </c>
      <c r="W17" t="str">
        <f t="shared" si="0"/>
        <v>4 Years, 10 Months, 0 Days</v>
      </c>
      <c r="AB17" t="s">
        <v>53</v>
      </c>
      <c r="AC17" t="s">
        <v>61</v>
      </c>
    </row>
    <row r="18" spans="1:29" x14ac:dyDescent="0.3">
      <c r="A18" s="7">
        <v>5185</v>
      </c>
      <c r="B18" t="s">
        <v>145</v>
      </c>
      <c r="C18" s="7" t="s">
        <v>68</v>
      </c>
      <c r="D18" s="7" t="s">
        <v>219</v>
      </c>
      <c r="E18" s="7" t="s">
        <v>46</v>
      </c>
      <c r="F18" s="7" t="s">
        <v>1459</v>
      </c>
      <c r="G18" s="7" t="s">
        <v>47</v>
      </c>
      <c r="H18" t="s">
        <v>146</v>
      </c>
      <c r="I18" t="s">
        <v>147</v>
      </c>
      <c r="J18" s="14">
        <v>43172</v>
      </c>
      <c r="K18" s="15">
        <v>44481</v>
      </c>
      <c r="L18">
        <v>2021</v>
      </c>
      <c r="M18" t="s">
        <v>1844</v>
      </c>
      <c r="N18">
        <v>1307.3900000000001</v>
      </c>
      <c r="O18" t="s">
        <v>1826</v>
      </c>
      <c r="P18" s="42">
        <v>129820</v>
      </c>
      <c r="Q18" t="s">
        <v>127</v>
      </c>
      <c r="R18">
        <v>19</v>
      </c>
      <c r="AB18" t="s">
        <v>133</v>
      </c>
    </row>
    <row r="19" spans="1:29" x14ac:dyDescent="0.3">
      <c r="A19" s="7">
        <v>5119</v>
      </c>
      <c r="B19" t="s">
        <v>150</v>
      </c>
      <c r="C19" s="7" t="s">
        <v>61</v>
      </c>
      <c r="D19" s="7" t="s">
        <v>151</v>
      </c>
      <c r="E19" s="7" t="s">
        <v>76</v>
      </c>
      <c r="F19" s="7" t="s">
        <v>1454</v>
      </c>
      <c r="G19" s="7" t="s">
        <v>62</v>
      </c>
      <c r="H19" t="s">
        <v>152</v>
      </c>
      <c r="I19" t="s">
        <v>1627</v>
      </c>
      <c r="J19" s="14">
        <v>43834</v>
      </c>
      <c r="K19" s="15" t="s">
        <v>114</v>
      </c>
      <c r="L19" t="s">
        <v>2170</v>
      </c>
      <c r="M19" t="s">
        <v>1845</v>
      </c>
      <c r="N19">
        <v>2388.14</v>
      </c>
      <c r="O19" t="s">
        <v>1825</v>
      </c>
      <c r="P19" s="42">
        <v>0</v>
      </c>
      <c r="Q19" t="s">
        <v>1821</v>
      </c>
      <c r="R19">
        <v>10</v>
      </c>
      <c r="AB19" t="s">
        <v>151</v>
      </c>
    </row>
    <row r="20" spans="1:29" ht="30" x14ac:dyDescent="0.3">
      <c r="A20" s="7">
        <v>5262</v>
      </c>
      <c r="B20" t="s">
        <v>155</v>
      </c>
      <c r="C20" s="7" t="s">
        <v>61</v>
      </c>
      <c r="D20" s="7" t="s">
        <v>122</v>
      </c>
      <c r="E20" s="7" t="s">
        <v>91</v>
      </c>
      <c r="F20" s="7" t="s">
        <v>1455</v>
      </c>
      <c r="G20" s="7" t="s">
        <v>110</v>
      </c>
      <c r="H20" t="s">
        <v>156</v>
      </c>
      <c r="I20" t="s">
        <v>1628</v>
      </c>
      <c r="J20" s="14">
        <v>43581</v>
      </c>
      <c r="K20" s="15" t="s">
        <v>114</v>
      </c>
      <c r="L20" t="s">
        <v>2170</v>
      </c>
      <c r="M20" t="s">
        <v>1846</v>
      </c>
      <c r="N20">
        <v>2639.63</v>
      </c>
      <c r="O20" t="s">
        <v>1825</v>
      </c>
      <c r="P20" s="42">
        <v>171338</v>
      </c>
      <c r="Q20" t="s">
        <v>89</v>
      </c>
      <c r="R20">
        <v>13</v>
      </c>
      <c r="U20" s="27" t="s">
        <v>43</v>
      </c>
      <c r="V20" s="27" t="s">
        <v>2158</v>
      </c>
      <c r="AB20" t="s">
        <v>122</v>
      </c>
    </row>
    <row r="21" spans="1:29" x14ac:dyDescent="0.3">
      <c r="A21" s="7">
        <v>5033</v>
      </c>
      <c r="B21" t="s">
        <v>1476</v>
      </c>
      <c r="C21" s="7" t="s">
        <v>61</v>
      </c>
      <c r="D21" s="7" t="s">
        <v>151</v>
      </c>
      <c r="E21" s="7" t="s">
        <v>76</v>
      </c>
      <c r="F21" s="7" t="s">
        <v>1454</v>
      </c>
      <c r="G21" s="7" t="s">
        <v>55</v>
      </c>
      <c r="H21" t="s">
        <v>1600</v>
      </c>
      <c r="I21" t="s">
        <v>1629</v>
      </c>
      <c r="J21" s="14">
        <v>44129</v>
      </c>
      <c r="K21" s="15">
        <v>45838</v>
      </c>
      <c r="L21">
        <v>2025</v>
      </c>
      <c r="M21" t="s">
        <v>1847</v>
      </c>
      <c r="N21">
        <v>1709.52</v>
      </c>
      <c r="O21" t="s">
        <v>1826</v>
      </c>
      <c r="P21" s="42">
        <v>69788</v>
      </c>
      <c r="Q21" t="s">
        <v>127</v>
      </c>
      <c r="R21" t="s">
        <v>1822</v>
      </c>
      <c r="U21" t="str" cm="1">
        <f t="array" ref="U21:U26">_xlfn.UNIQUE(Q2:Q344)</f>
        <v>Excellent</v>
      </c>
      <c r="V21">
        <f>COUNTIF($Q$2:$Q$344,"Excellent")</f>
        <v>57</v>
      </c>
      <c r="AB21" t="s">
        <v>389</v>
      </c>
    </row>
    <row r="22" spans="1:29" x14ac:dyDescent="0.3">
      <c r="A22" s="7">
        <v>5187</v>
      </c>
      <c r="B22" t="s">
        <v>165</v>
      </c>
      <c r="C22" s="7" t="s">
        <v>61</v>
      </c>
      <c r="D22" s="7" t="s">
        <v>133</v>
      </c>
      <c r="E22" s="7" t="s">
        <v>69</v>
      </c>
      <c r="F22" s="7" t="s">
        <v>1457</v>
      </c>
      <c r="G22" s="7" t="s">
        <v>85</v>
      </c>
      <c r="H22" t="s">
        <v>166</v>
      </c>
      <c r="I22" t="s">
        <v>1630</v>
      </c>
      <c r="J22" s="14">
        <v>44411</v>
      </c>
      <c r="K22" s="15" t="s">
        <v>114</v>
      </c>
      <c r="L22" t="s">
        <v>2170</v>
      </c>
      <c r="M22" t="s">
        <v>1848</v>
      </c>
      <c r="N22">
        <v>1810.8400000000001</v>
      </c>
      <c r="O22" t="s">
        <v>1825</v>
      </c>
      <c r="P22" s="42">
        <v>177349</v>
      </c>
      <c r="Q22" t="s">
        <v>127</v>
      </c>
      <c r="R22">
        <v>7</v>
      </c>
      <c r="U22" t="str">
        <v>Not Rated</v>
      </c>
      <c r="V22">
        <f>COUNTIF($Q$2:$Q$344,"Not Rated")</f>
        <v>27</v>
      </c>
    </row>
    <row r="23" spans="1:29" x14ac:dyDescent="0.3">
      <c r="A23" s="7">
        <v>5234</v>
      </c>
      <c r="B23" t="s">
        <v>1477</v>
      </c>
      <c r="C23" s="7" t="s">
        <v>61</v>
      </c>
      <c r="D23" s="7" t="s">
        <v>219</v>
      </c>
      <c r="E23" s="7" t="s">
        <v>46</v>
      </c>
      <c r="F23" s="7" t="s">
        <v>1459</v>
      </c>
      <c r="G23" s="7" t="s">
        <v>47</v>
      </c>
      <c r="H23" t="s">
        <v>170</v>
      </c>
      <c r="I23" t="s">
        <v>171</v>
      </c>
      <c r="J23" s="14">
        <v>44700</v>
      </c>
      <c r="K23" s="15">
        <v>45838</v>
      </c>
      <c r="L23">
        <v>2025</v>
      </c>
      <c r="M23" t="s">
        <v>1849</v>
      </c>
      <c r="N23">
        <v>1137.19</v>
      </c>
      <c r="O23" t="s">
        <v>1826</v>
      </c>
      <c r="P23" s="42">
        <v>157049</v>
      </c>
      <c r="Q23" t="s">
        <v>89</v>
      </c>
      <c r="R23">
        <v>18</v>
      </c>
      <c r="U23" t="str">
        <v>Average</v>
      </c>
      <c r="V23">
        <f>COUNTIF($Q$2:$Q$344,"Average")</f>
        <v>77</v>
      </c>
    </row>
    <row r="24" spans="1:29" x14ac:dyDescent="0.3">
      <c r="A24" s="7">
        <v>5257</v>
      </c>
      <c r="B24" t="s">
        <v>150</v>
      </c>
      <c r="C24" s="7" t="s">
        <v>68</v>
      </c>
      <c r="D24" s="7" t="s">
        <v>389</v>
      </c>
      <c r="E24" s="7" t="s">
        <v>140</v>
      </c>
      <c r="F24" s="7" t="s">
        <v>1456</v>
      </c>
      <c r="G24" s="7" t="s">
        <v>175</v>
      </c>
      <c r="H24" t="s">
        <v>152</v>
      </c>
      <c r="I24" t="s">
        <v>1631</v>
      </c>
      <c r="J24" s="14">
        <v>45218</v>
      </c>
      <c r="K24" s="15" t="s">
        <v>126</v>
      </c>
      <c r="L24" t="s">
        <v>2170</v>
      </c>
      <c r="M24" t="s">
        <v>1850</v>
      </c>
      <c r="N24">
        <v>1003.02</v>
      </c>
      <c r="O24" t="s">
        <v>1825</v>
      </c>
      <c r="P24" s="42">
        <v>68179</v>
      </c>
      <c r="Q24" t="s">
        <v>144</v>
      </c>
      <c r="R24">
        <v>11</v>
      </c>
      <c r="U24" t="str">
        <v>Below Average</v>
      </c>
      <c r="V24">
        <f>COUNTIF($Q$2:$Q$344,"Below Average")</f>
        <v>46</v>
      </c>
    </row>
    <row r="25" spans="1:29" x14ac:dyDescent="0.3">
      <c r="A25" s="7">
        <v>5222</v>
      </c>
      <c r="B25" t="s">
        <v>179</v>
      </c>
      <c r="C25" s="7" t="s">
        <v>68</v>
      </c>
      <c r="D25" s="7" t="s">
        <v>219</v>
      </c>
      <c r="E25" s="7" t="s">
        <v>46</v>
      </c>
      <c r="F25" s="7" t="s">
        <v>1459</v>
      </c>
      <c r="G25" s="7" t="s">
        <v>70</v>
      </c>
      <c r="H25" t="s">
        <v>180</v>
      </c>
      <c r="I25" t="s">
        <v>1632</v>
      </c>
      <c r="J25" s="14">
        <v>44231</v>
      </c>
      <c r="K25" s="15" t="s">
        <v>1820</v>
      </c>
      <c r="L25" t="s">
        <v>2170</v>
      </c>
      <c r="M25" t="s">
        <v>1851</v>
      </c>
      <c r="N25">
        <v>1992.45</v>
      </c>
      <c r="O25" t="s">
        <v>1825</v>
      </c>
      <c r="P25" s="42">
        <v>108898</v>
      </c>
      <c r="Q25" t="s">
        <v>127</v>
      </c>
      <c r="R25">
        <v>24</v>
      </c>
      <c r="U25" t="str">
        <v>Poor</v>
      </c>
      <c r="V25">
        <f>COUNTIF($Q$2:$Q$344,"Poor")</f>
        <v>67</v>
      </c>
    </row>
    <row r="26" spans="1:29" x14ac:dyDescent="0.3">
      <c r="A26" s="7">
        <v>5081</v>
      </c>
      <c r="B26" t="s">
        <v>1478</v>
      </c>
      <c r="C26" s="7" t="s">
        <v>84</v>
      </c>
      <c r="D26" s="7" t="s">
        <v>133</v>
      </c>
      <c r="E26" s="7" t="s">
        <v>69</v>
      </c>
      <c r="F26" s="7" t="s">
        <v>1457</v>
      </c>
      <c r="G26" s="7" t="s">
        <v>175</v>
      </c>
      <c r="H26" t="s">
        <v>184</v>
      </c>
      <c r="I26" t="s">
        <v>1617</v>
      </c>
      <c r="J26" s="14">
        <v>45322</v>
      </c>
      <c r="K26" s="15">
        <v>45575</v>
      </c>
      <c r="L26">
        <v>2024</v>
      </c>
      <c r="M26" t="s">
        <v>1852</v>
      </c>
      <c r="N26">
        <v>252.52</v>
      </c>
      <c r="O26" t="s">
        <v>1826</v>
      </c>
      <c r="P26" s="42">
        <v>61346</v>
      </c>
      <c r="Q26" t="s">
        <v>95</v>
      </c>
      <c r="R26">
        <v>15</v>
      </c>
      <c r="U26" t="str">
        <v>Good</v>
      </c>
      <c r="V26">
        <f>COUNTIF($Q$2:$Q$344,"Good")</f>
        <v>69</v>
      </c>
    </row>
    <row r="27" spans="1:29" x14ac:dyDescent="0.3">
      <c r="A27" s="7">
        <v>5305</v>
      </c>
      <c r="B27" t="s">
        <v>1479</v>
      </c>
      <c r="C27" s="7" t="s">
        <v>84</v>
      </c>
      <c r="D27" s="7" t="s">
        <v>133</v>
      </c>
      <c r="E27" s="7" t="s">
        <v>69</v>
      </c>
      <c r="F27" s="7" t="s">
        <v>1457</v>
      </c>
      <c r="G27" s="7" t="s">
        <v>47</v>
      </c>
      <c r="H27" t="s">
        <v>188</v>
      </c>
      <c r="I27" t="s">
        <v>1633</v>
      </c>
      <c r="J27" s="14">
        <v>44116</v>
      </c>
      <c r="K27" s="15" t="s">
        <v>114</v>
      </c>
      <c r="L27" t="s">
        <v>2170</v>
      </c>
      <c r="M27" t="s">
        <v>1853</v>
      </c>
      <c r="N27">
        <v>2106.21</v>
      </c>
      <c r="O27" t="s">
        <v>1825</v>
      </c>
      <c r="P27" s="42">
        <v>41487</v>
      </c>
      <c r="Q27" t="s">
        <v>144</v>
      </c>
      <c r="R27">
        <v>13</v>
      </c>
    </row>
    <row r="28" spans="1:29" x14ac:dyDescent="0.3">
      <c r="A28" s="7">
        <v>5199</v>
      </c>
      <c r="B28" t="s">
        <v>1480</v>
      </c>
      <c r="C28" s="7" t="s">
        <v>68</v>
      </c>
      <c r="D28" s="7" t="s">
        <v>133</v>
      </c>
      <c r="E28" s="7" t="s">
        <v>69</v>
      </c>
      <c r="F28" s="7" t="s">
        <v>1457</v>
      </c>
      <c r="G28" s="7" t="s">
        <v>70</v>
      </c>
      <c r="H28" t="s">
        <v>192</v>
      </c>
      <c r="I28" t="s">
        <v>1634</v>
      </c>
      <c r="J28" s="14">
        <v>43758</v>
      </c>
      <c r="K28" s="15" t="s">
        <v>1820</v>
      </c>
      <c r="L28" t="s">
        <v>2170</v>
      </c>
      <c r="M28" t="s">
        <v>1854</v>
      </c>
      <c r="N28">
        <v>2463.02</v>
      </c>
      <c r="O28" t="s">
        <v>1825</v>
      </c>
      <c r="P28" s="42">
        <v>118429</v>
      </c>
      <c r="Q28" t="s">
        <v>51</v>
      </c>
      <c r="R28">
        <v>0</v>
      </c>
    </row>
    <row r="29" spans="1:29" ht="15" x14ac:dyDescent="0.3">
      <c r="A29" s="7">
        <v>5313</v>
      </c>
      <c r="B29" t="s">
        <v>196</v>
      </c>
      <c r="C29" s="7" t="s">
        <v>68</v>
      </c>
      <c r="D29" s="7" t="s">
        <v>122</v>
      </c>
      <c r="E29" s="7" t="s">
        <v>91</v>
      </c>
      <c r="F29" s="7" t="s">
        <v>1455</v>
      </c>
      <c r="G29" s="7" t="s">
        <v>55</v>
      </c>
      <c r="H29" t="s">
        <v>197</v>
      </c>
      <c r="I29" t="s">
        <v>1617</v>
      </c>
      <c r="J29" s="14">
        <v>43411</v>
      </c>
      <c r="K29" s="15" t="s">
        <v>114</v>
      </c>
      <c r="L29" t="s">
        <v>2170</v>
      </c>
      <c r="M29" t="s">
        <v>1855</v>
      </c>
      <c r="N29">
        <v>2811.27</v>
      </c>
      <c r="O29" t="s">
        <v>1825</v>
      </c>
      <c r="P29" s="42">
        <v>166172</v>
      </c>
      <c r="Q29" t="s">
        <v>95</v>
      </c>
      <c r="R29">
        <v>14</v>
      </c>
      <c r="U29" s="27" t="s">
        <v>34</v>
      </c>
      <c r="V29" s="27" t="s">
        <v>2184</v>
      </c>
    </row>
    <row r="30" spans="1:29" x14ac:dyDescent="0.3">
      <c r="A30" s="7">
        <v>5120</v>
      </c>
      <c r="B30" t="s">
        <v>1481</v>
      </c>
      <c r="C30" s="7" t="s">
        <v>68</v>
      </c>
      <c r="D30" s="7" t="s">
        <v>53</v>
      </c>
      <c r="E30" s="7" t="s">
        <v>54</v>
      </c>
      <c r="F30" s="7" t="s">
        <v>1458</v>
      </c>
      <c r="G30" s="7" t="s">
        <v>175</v>
      </c>
      <c r="H30" t="s">
        <v>200</v>
      </c>
      <c r="I30" t="s">
        <v>1635</v>
      </c>
      <c r="J30" s="14">
        <v>45329</v>
      </c>
      <c r="K30" s="15" t="s">
        <v>1820</v>
      </c>
      <c r="L30" t="s">
        <v>2170</v>
      </c>
      <c r="M30" t="s">
        <v>1856</v>
      </c>
      <c r="N30">
        <v>893.7</v>
      </c>
      <c r="O30" t="s">
        <v>1825</v>
      </c>
      <c r="P30" s="42">
        <v>142576</v>
      </c>
      <c r="Q30" t="s">
        <v>51</v>
      </c>
      <c r="R30">
        <v>4</v>
      </c>
      <c r="U30" t="s">
        <v>2183</v>
      </c>
      <c r="V30">
        <f>COUNTIF(C:C,"Male")</f>
        <v>180</v>
      </c>
    </row>
    <row r="31" spans="1:29" x14ac:dyDescent="0.3">
      <c r="A31" s="7">
        <v>5080</v>
      </c>
      <c r="B31" t="s">
        <v>204</v>
      </c>
      <c r="C31" s="7" t="s">
        <v>61</v>
      </c>
      <c r="D31" s="7" t="s">
        <v>133</v>
      </c>
      <c r="E31" s="7" t="s">
        <v>69</v>
      </c>
      <c r="F31" s="7" t="s">
        <v>1457</v>
      </c>
      <c r="G31" s="7" t="s">
        <v>77</v>
      </c>
      <c r="H31" t="s">
        <v>205</v>
      </c>
      <c r="I31" t="s">
        <v>1636</v>
      </c>
      <c r="J31" s="14">
        <v>45399</v>
      </c>
      <c r="K31" s="15" t="s">
        <v>114</v>
      </c>
      <c r="L31" t="s">
        <v>2170</v>
      </c>
      <c r="M31" t="s">
        <v>1857</v>
      </c>
      <c r="N31">
        <v>822.82</v>
      </c>
      <c r="O31" t="s">
        <v>1825</v>
      </c>
      <c r="P31" s="42">
        <v>127646</v>
      </c>
      <c r="Q31" t="s">
        <v>89</v>
      </c>
      <c r="R31">
        <v>21</v>
      </c>
      <c r="U31" t="s">
        <v>61</v>
      </c>
      <c r="V31">
        <f>COUNTIF(C:C,"Female")</f>
        <v>163</v>
      </c>
    </row>
    <row r="32" spans="1:29" x14ac:dyDescent="0.3">
      <c r="A32" s="7">
        <v>5058</v>
      </c>
      <c r="B32" t="s">
        <v>1482</v>
      </c>
      <c r="C32" s="7" t="s">
        <v>61</v>
      </c>
      <c r="D32" s="7" t="s">
        <v>122</v>
      </c>
      <c r="E32" s="7" t="s">
        <v>91</v>
      </c>
      <c r="F32" s="7" t="s">
        <v>1455</v>
      </c>
      <c r="G32" s="7" t="s">
        <v>70</v>
      </c>
      <c r="H32" t="s">
        <v>209</v>
      </c>
      <c r="I32" t="s">
        <v>1637</v>
      </c>
      <c r="J32" s="14">
        <v>45023</v>
      </c>
      <c r="K32" s="15" t="s">
        <v>126</v>
      </c>
      <c r="L32" t="s">
        <v>2170</v>
      </c>
      <c r="M32" t="s">
        <v>1858</v>
      </c>
      <c r="N32">
        <v>1198.07</v>
      </c>
      <c r="O32" t="s">
        <v>1825</v>
      </c>
      <c r="P32" s="42">
        <v>105103</v>
      </c>
      <c r="Q32" t="s">
        <v>95</v>
      </c>
      <c r="R32">
        <v>6</v>
      </c>
    </row>
    <row r="33" spans="1:18" x14ac:dyDescent="0.3">
      <c r="A33" s="7">
        <v>5146</v>
      </c>
      <c r="B33" t="s">
        <v>213</v>
      </c>
      <c r="C33" s="7" t="s">
        <v>61</v>
      </c>
      <c r="D33" s="7" t="s">
        <v>151</v>
      </c>
      <c r="E33" s="7" t="s">
        <v>76</v>
      </c>
      <c r="F33" s="7" t="s">
        <v>1454</v>
      </c>
      <c r="G33" s="7" t="s">
        <v>70</v>
      </c>
      <c r="H33" t="s">
        <v>214</v>
      </c>
      <c r="I33" t="s">
        <v>1638</v>
      </c>
      <c r="J33" s="14">
        <v>44358</v>
      </c>
      <c r="K33" s="15" t="s">
        <v>1820</v>
      </c>
      <c r="L33" t="s">
        <v>2170</v>
      </c>
      <c r="M33" t="s">
        <v>1859</v>
      </c>
      <c r="N33">
        <v>1863.69</v>
      </c>
      <c r="O33" t="s">
        <v>1825</v>
      </c>
      <c r="P33" s="42">
        <v>65888</v>
      </c>
      <c r="Q33" t="s">
        <v>95</v>
      </c>
      <c r="R33">
        <v>7</v>
      </c>
    </row>
    <row r="34" spans="1:18" x14ac:dyDescent="0.3">
      <c r="A34" s="7">
        <v>5160</v>
      </c>
      <c r="B34" t="s">
        <v>325</v>
      </c>
      <c r="C34" s="7" t="s">
        <v>68</v>
      </c>
      <c r="D34" s="7" t="s">
        <v>219</v>
      </c>
      <c r="E34" s="7" t="s">
        <v>46</v>
      </c>
      <c r="F34" s="7" t="s">
        <v>1459</v>
      </c>
      <c r="G34" s="7" t="s">
        <v>62</v>
      </c>
      <c r="H34" t="s">
        <v>220</v>
      </c>
      <c r="I34" t="s">
        <v>221</v>
      </c>
      <c r="J34" s="14">
        <v>44702</v>
      </c>
      <c r="K34" s="15" t="s">
        <v>1820</v>
      </c>
      <c r="L34" t="s">
        <v>2170</v>
      </c>
      <c r="M34" t="s">
        <v>1860</v>
      </c>
      <c r="N34">
        <v>1518.44</v>
      </c>
      <c r="O34" t="s">
        <v>1825</v>
      </c>
      <c r="P34" s="42">
        <v>0</v>
      </c>
      <c r="Q34" t="s">
        <v>51</v>
      </c>
      <c r="R34" t="s">
        <v>1822</v>
      </c>
    </row>
    <row r="35" spans="1:18" x14ac:dyDescent="0.3">
      <c r="A35" s="7">
        <v>5302</v>
      </c>
      <c r="B35" t="s">
        <v>223</v>
      </c>
      <c r="C35" s="7" t="s">
        <v>68</v>
      </c>
      <c r="D35" s="7" t="s">
        <v>151</v>
      </c>
      <c r="E35" s="7" t="s">
        <v>76</v>
      </c>
      <c r="F35" s="7" t="s">
        <v>1454</v>
      </c>
      <c r="G35" s="7" t="s">
        <v>77</v>
      </c>
      <c r="H35" t="s">
        <v>224</v>
      </c>
      <c r="I35" t="s">
        <v>225</v>
      </c>
      <c r="J35" s="14">
        <v>44548</v>
      </c>
      <c r="K35" s="15" t="s">
        <v>126</v>
      </c>
      <c r="L35" t="s">
        <v>2170</v>
      </c>
      <c r="M35" t="s">
        <v>1861</v>
      </c>
      <c r="N35">
        <v>1674.08</v>
      </c>
      <c r="O35" t="s">
        <v>1825</v>
      </c>
      <c r="P35" s="42">
        <v>158915</v>
      </c>
      <c r="Q35" t="s">
        <v>51</v>
      </c>
      <c r="R35">
        <v>7</v>
      </c>
    </row>
    <row r="36" spans="1:18" x14ac:dyDescent="0.3">
      <c r="A36" s="7">
        <v>5278</v>
      </c>
      <c r="B36" t="s">
        <v>228</v>
      </c>
      <c r="C36" s="7" t="s">
        <v>68</v>
      </c>
      <c r="D36" s="7" t="s">
        <v>53</v>
      </c>
      <c r="E36" s="7" t="s">
        <v>54</v>
      </c>
      <c r="F36" s="7" t="s">
        <v>1458</v>
      </c>
      <c r="G36" s="7" t="s">
        <v>85</v>
      </c>
      <c r="H36" t="s">
        <v>1601</v>
      </c>
      <c r="I36" t="s">
        <v>1639</v>
      </c>
      <c r="J36" s="14">
        <v>44613</v>
      </c>
      <c r="K36" s="15" t="s">
        <v>126</v>
      </c>
      <c r="L36" t="s">
        <v>2170</v>
      </c>
      <c r="M36" t="s">
        <v>1862</v>
      </c>
      <c r="N36">
        <v>1609.76</v>
      </c>
      <c r="O36" t="s">
        <v>1825</v>
      </c>
      <c r="P36" s="42">
        <v>64163</v>
      </c>
      <c r="Q36" t="s">
        <v>1821</v>
      </c>
      <c r="R36">
        <v>24</v>
      </c>
    </row>
    <row r="37" spans="1:18" x14ac:dyDescent="0.3">
      <c r="A37" s="7">
        <v>5152</v>
      </c>
      <c r="B37" t="s">
        <v>231</v>
      </c>
      <c r="C37" s="7" t="s">
        <v>61</v>
      </c>
      <c r="D37" s="7" t="s">
        <v>389</v>
      </c>
      <c r="E37" s="7" t="s">
        <v>140</v>
      </c>
      <c r="F37" s="7" t="s">
        <v>1456</v>
      </c>
      <c r="G37" s="7" t="s">
        <v>175</v>
      </c>
      <c r="H37" t="s">
        <v>232</v>
      </c>
      <c r="I37" t="s">
        <v>1640</v>
      </c>
      <c r="J37" s="14">
        <v>43958</v>
      </c>
      <c r="K37" s="15" t="s">
        <v>114</v>
      </c>
      <c r="L37" t="s">
        <v>2170</v>
      </c>
      <c r="M37" t="s">
        <v>1863</v>
      </c>
      <c r="N37">
        <v>2263.38</v>
      </c>
      <c r="O37" t="s">
        <v>1825</v>
      </c>
      <c r="P37" s="42">
        <v>85616</v>
      </c>
      <c r="Q37" t="s">
        <v>1821</v>
      </c>
      <c r="R37">
        <v>22</v>
      </c>
    </row>
    <row r="38" spans="1:18" x14ac:dyDescent="0.3">
      <c r="A38" s="7">
        <v>5011</v>
      </c>
      <c r="B38" t="s">
        <v>236</v>
      </c>
      <c r="C38" s="7" t="s">
        <v>61</v>
      </c>
      <c r="D38" s="7" t="s">
        <v>122</v>
      </c>
      <c r="E38" s="7" t="s">
        <v>91</v>
      </c>
      <c r="F38" s="7" t="s">
        <v>1455</v>
      </c>
      <c r="G38" s="7" t="s">
        <v>110</v>
      </c>
      <c r="H38" t="s">
        <v>237</v>
      </c>
      <c r="I38" t="s">
        <v>1641</v>
      </c>
      <c r="J38" s="14">
        <v>45279</v>
      </c>
      <c r="K38" s="15" t="s">
        <v>114</v>
      </c>
      <c r="L38" t="s">
        <v>2170</v>
      </c>
      <c r="M38" t="s">
        <v>1864</v>
      </c>
      <c r="N38">
        <v>942.14</v>
      </c>
      <c r="O38" t="s">
        <v>1825</v>
      </c>
      <c r="P38" s="42">
        <v>150376</v>
      </c>
      <c r="Q38" t="s">
        <v>51</v>
      </c>
      <c r="R38" t="s">
        <v>1822</v>
      </c>
    </row>
    <row r="39" spans="1:18" x14ac:dyDescent="0.3">
      <c r="A39" s="7">
        <v>5047</v>
      </c>
      <c r="B39" t="s">
        <v>104</v>
      </c>
      <c r="C39" s="7" t="s">
        <v>68</v>
      </c>
      <c r="D39" s="7" t="s">
        <v>219</v>
      </c>
      <c r="E39" s="7" t="s">
        <v>46</v>
      </c>
      <c r="F39" s="7" t="s">
        <v>1459</v>
      </c>
      <c r="G39" s="7" t="s">
        <v>77</v>
      </c>
      <c r="H39" t="s">
        <v>242</v>
      </c>
      <c r="I39" t="s">
        <v>243</v>
      </c>
      <c r="J39" s="14">
        <v>44042</v>
      </c>
      <c r="K39" s="15" t="s">
        <v>126</v>
      </c>
      <c r="L39" t="s">
        <v>2170</v>
      </c>
      <c r="M39" t="s">
        <v>1865</v>
      </c>
      <c r="N39">
        <v>2179.09</v>
      </c>
      <c r="O39" t="s">
        <v>1825</v>
      </c>
      <c r="P39" s="42">
        <v>153992</v>
      </c>
      <c r="Q39" t="s">
        <v>1821</v>
      </c>
      <c r="R39">
        <v>18</v>
      </c>
    </row>
    <row r="40" spans="1:18" x14ac:dyDescent="0.3">
      <c r="A40" s="7">
        <v>5219</v>
      </c>
      <c r="B40" t="s">
        <v>1483</v>
      </c>
      <c r="C40" s="7" t="s">
        <v>68</v>
      </c>
      <c r="D40" s="7" t="s">
        <v>122</v>
      </c>
      <c r="E40" s="7" t="s">
        <v>91</v>
      </c>
      <c r="F40" s="7" t="s">
        <v>1455</v>
      </c>
      <c r="G40" s="7" t="s">
        <v>55</v>
      </c>
      <c r="H40" t="s">
        <v>246</v>
      </c>
      <c r="I40" t="s">
        <v>1642</v>
      </c>
      <c r="J40" s="14">
        <v>45265</v>
      </c>
      <c r="K40" s="15" t="s">
        <v>114</v>
      </c>
      <c r="L40" t="s">
        <v>2170</v>
      </c>
      <c r="M40" t="s">
        <v>1866</v>
      </c>
      <c r="N40">
        <v>956.58</v>
      </c>
      <c r="O40" t="s">
        <v>1825</v>
      </c>
      <c r="P40" s="42">
        <v>51124</v>
      </c>
      <c r="Q40" t="s">
        <v>95</v>
      </c>
      <c r="R40">
        <v>4</v>
      </c>
    </row>
    <row r="41" spans="1:18" x14ac:dyDescent="0.3">
      <c r="A41" s="7">
        <v>5338</v>
      </c>
      <c r="B41" t="s">
        <v>1484</v>
      </c>
      <c r="C41" s="7" t="s">
        <v>68</v>
      </c>
      <c r="D41" s="7" t="s">
        <v>122</v>
      </c>
      <c r="E41" s="7" t="s">
        <v>91</v>
      </c>
      <c r="F41" s="7" t="s">
        <v>1455</v>
      </c>
      <c r="G41" s="7" t="s">
        <v>175</v>
      </c>
      <c r="H41" t="s">
        <v>251</v>
      </c>
      <c r="I41" t="s">
        <v>1619</v>
      </c>
      <c r="J41" s="14">
        <v>44168</v>
      </c>
      <c r="K41" s="15" t="s">
        <v>126</v>
      </c>
      <c r="L41" t="s">
        <v>2170</v>
      </c>
      <c r="M41" t="s">
        <v>1867</v>
      </c>
      <c r="N41">
        <v>2054.33</v>
      </c>
      <c r="O41" t="s">
        <v>1825</v>
      </c>
      <c r="P41" s="42">
        <v>52464</v>
      </c>
      <c r="Q41" t="s">
        <v>127</v>
      </c>
      <c r="R41">
        <v>6</v>
      </c>
    </row>
    <row r="42" spans="1:18" x14ac:dyDescent="0.3">
      <c r="A42" s="7">
        <v>5015</v>
      </c>
      <c r="B42" t="s">
        <v>1485</v>
      </c>
      <c r="C42" s="7" t="s">
        <v>68</v>
      </c>
      <c r="D42" s="7" t="s">
        <v>389</v>
      </c>
      <c r="E42" s="7" t="s">
        <v>140</v>
      </c>
      <c r="F42" s="7" t="s">
        <v>1456</v>
      </c>
      <c r="G42" s="7" t="s">
        <v>77</v>
      </c>
      <c r="H42" t="s">
        <v>255</v>
      </c>
      <c r="I42" t="s">
        <v>256</v>
      </c>
      <c r="J42" s="14">
        <v>44007</v>
      </c>
      <c r="K42" s="15">
        <v>44706</v>
      </c>
      <c r="L42">
        <v>2022</v>
      </c>
      <c r="M42" t="s">
        <v>1868</v>
      </c>
      <c r="N42">
        <v>700.09</v>
      </c>
      <c r="O42" t="s">
        <v>1826</v>
      </c>
      <c r="P42" s="42">
        <v>59894</v>
      </c>
      <c r="Q42" t="s">
        <v>144</v>
      </c>
      <c r="R42">
        <v>1</v>
      </c>
    </row>
    <row r="43" spans="1:18" x14ac:dyDescent="0.3">
      <c r="A43" s="7">
        <v>5104</v>
      </c>
      <c r="B43" t="s">
        <v>254</v>
      </c>
      <c r="C43" s="7" t="s">
        <v>68</v>
      </c>
      <c r="D43" s="7" t="s">
        <v>219</v>
      </c>
      <c r="E43" s="7" t="s">
        <v>46</v>
      </c>
      <c r="F43" s="7" t="s">
        <v>1459</v>
      </c>
      <c r="G43" s="7" t="s">
        <v>110</v>
      </c>
      <c r="H43" t="s">
        <v>261</v>
      </c>
      <c r="I43" t="s">
        <v>1643</v>
      </c>
      <c r="J43" s="14">
        <v>45033</v>
      </c>
      <c r="K43" s="15" t="s">
        <v>114</v>
      </c>
      <c r="L43" t="s">
        <v>2170</v>
      </c>
      <c r="M43" t="s">
        <v>1869</v>
      </c>
      <c r="N43">
        <v>1188.07</v>
      </c>
      <c r="O43" t="s">
        <v>1825</v>
      </c>
      <c r="P43" s="42">
        <v>111579</v>
      </c>
      <c r="Q43" t="s">
        <v>95</v>
      </c>
      <c r="R43">
        <v>3</v>
      </c>
    </row>
    <row r="44" spans="1:18" x14ac:dyDescent="0.3">
      <c r="A44" s="7">
        <v>5253</v>
      </c>
      <c r="B44" t="s">
        <v>1486</v>
      </c>
      <c r="C44" s="7" t="s">
        <v>68</v>
      </c>
      <c r="D44" s="7" t="s">
        <v>389</v>
      </c>
      <c r="E44" s="7" t="s">
        <v>140</v>
      </c>
      <c r="F44" s="7" t="s">
        <v>1456</v>
      </c>
      <c r="G44" s="7" t="s">
        <v>175</v>
      </c>
      <c r="H44" t="s">
        <v>266</v>
      </c>
      <c r="I44" t="s">
        <v>267</v>
      </c>
      <c r="J44" s="14">
        <v>45437</v>
      </c>
      <c r="K44" s="15" t="s">
        <v>114</v>
      </c>
      <c r="L44" t="s">
        <v>2170</v>
      </c>
      <c r="M44" t="s">
        <v>1870</v>
      </c>
      <c r="N44">
        <v>783.94</v>
      </c>
      <c r="O44" t="s">
        <v>1825</v>
      </c>
      <c r="P44" s="42">
        <v>115357</v>
      </c>
      <c r="Q44" t="s">
        <v>51</v>
      </c>
      <c r="R44">
        <v>9</v>
      </c>
    </row>
    <row r="45" spans="1:18" x14ac:dyDescent="0.3">
      <c r="A45" s="7">
        <v>5124</v>
      </c>
      <c r="B45" t="s">
        <v>1487</v>
      </c>
      <c r="C45" s="7" t="s">
        <v>84</v>
      </c>
      <c r="D45" s="7" t="s">
        <v>122</v>
      </c>
      <c r="E45" s="7" t="s">
        <v>91</v>
      </c>
      <c r="F45" s="7" t="s">
        <v>1455</v>
      </c>
      <c r="G45" s="7" t="s">
        <v>70</v>
      </c>
      <c r="H45" t="s">
        <v>270</v>
      </c>
      <c r="I45" t="s">
        <v>1644</v>
      </c>
      <c r="J45" s="14">
        <v>44166</v>
      </c>
      <c r="K45" s="15" t="s">
        <v>1820</v>
      </c>
      <c r="L45" t="s">
        <v>2170</v>
      </c>
      <c r="M45" t="s">
        <v>1871</v>
      </c>
      <c r="N45">
        <v>2056.33</v>
      </c>
      <c r="O45" t="s">
        <v>1825</v>
      </c>
      <c r="P45" s="42">
        <v>0</v>
      </c>
      <c r="Q45" t="s">
        <v>51</v>
      </c>
      <c r="R45">
        <v>14</v>
      </c>
    </row>
    <row r="46" spans="1:18" x14ac:dyDescent="0.3">
      <c r="A46" s="7">
        <v>5025</v>
      </c>
      <c r="B46" t="s">
        <v>1488</v>
      </c>
      <c r="C46" s="7" t="s">
        <v>68</v>
      </c>
      <c r="D46" s="7" t="s">
        <v>219</v>
      </c>
      <c r="E46" s="7" t="s">
        <v>46</v>
      </c>
      <c r="F46" s="7" t="s">
        <v>1459</v>
      </c>
      <c r="G46" s="7" t="s">
        <v>77</v>
      </c>
      <c r="H46" t="s">
        <v>274</v>
      </c>
      <c r="I46" t="s">
        <v>1617</v>
      </c>
      <c r="J46" s="14">
        <v>43869</v>
      </c>
      <c r="K46" s="15" t="s">
        <v>1820</v>
      </c>
      <c r="L46" t="s">
        <v>2170</v>
      </c>
      <c r="M46" t="s">
        <v>1872</v>
      </c>
      <c r="N46">
        <v>2353.6999999999998</v>
      </c>
      <c r="O46" t="s">
        <v>1825</v>
      </c>
      <c r="P46" s="42">
        <v>35031</v>
      </c>
      <c r="Q46" t="s">
        <v>89</v>
      </c>
      <c r="R46">
        <v>4</v>
      </c>
    </row>
    <row r="47" spans="1:18" x14ac:dyDescent="0.3">
      <c r="A47" s="7">
        <v>5180</v>
      </c>
      <c r="B47" t="s">
        <v>1489</v>
      </c>
      <c r="C47" s="7" t="s">
        <v>61</v>
      </c>
      <c r="D47" s="7" t="s">
        <v>389</v>
      </c>
      <c r="E47" s="7" t="s">
        <v>140</v>
      </c>
      <c r="F47" s="7" t="s">
        <v>1456</v>
      </c>
      <c r="G47" s="7" t="s">
        <v>55</v>
      </c>
      <c r="H47" t="s">
        <v>1601</v>
      </c>
      <c r="I47" t="s">
        <v>1645</v>
      </c>
      <c r="J47" s="14">
        <v>45021</v>
      </c>
      <c r="K47" s="15" t="s">
        <v>1820</v>
      </c>
      <c r="L47" t="s">
        <v>2170</v>
      </c>
      <c r="M47" t="s">
        <v>1873</v>
      </c>
      <c r="N47">
        <v>1200.07</v>
      </c>
      <c r="O47" t="s">
        <v>1825</v>
      </c>
      <c r="P47" s="42">
        <v>43300</v>
      </c>
      <c r="Q47" t="s">
        <v>89</v>
      </c>
      <c r="R47" t="s">
        <v>1822</v>
      </c>
    </row>
    <row r="48" spans="1:18" x14ac:dyDescent="0.3">
      <c r="A48" s="7">
        <v>5306</v>
      </c>
      <c r="B48" t="s">
        <v>1490</v>
      </c>
      <c r="C48" s="7" t="s">
        <v>61</v>
      </c>
      <c r="D48" s="7" t="s">
        <v>133</v>
      </c>
      <c r="E48" s="7" t="s">
        <v>69</v>
      </c>
      <c r="F48" s="7" t="s">
        <v>1457</v>
      </c>
      <c r="G48" s="7" t="s">
        <v>47</v>
      </c>
      <c r="H48" t="s">
        <v>282</v>
      </c>
      <c r="I48" t="s">
        <v>283</v>
      </c>
      <c r="J48" s="14">
        <v>45227</v>
      </c>
      <c r="K48" s="15" t="s">
        <v>1820</v>
      </c>
      <c r="L48" t="s">
        <v>2170</v>
      </c>
      <c r="M48" t="s">
        <v>1874</v>
      </c>
      <c r="N48">
        <v>994.02</v>
      </c>
      <c r="O48" t="s">
        <v>1825</v>
      </c>
      <c r="P48" s="42">
        <v>63712</v>
      </c>
      <c r="Q48" t="s">
        <v>95</v>
      </c>
      <c r="R48">
        <v>4</v>
      </c>
    </row>
    <row r="49" spans="1:21" x14ac:dyDescent="0.3">
      <c r="A49" s="7">
        <v>5229</v>
      </c>
      <c r="B49" t="s">
        <v>281</v>
      </c>
      <c r="C49" s="7" t="s">
        <v>68</v>
      </c>
      <c r="D49" s="7" t="s">
        <v>219</v>
      </c>
      <c r="E49" s="7" t="s">
        <v>46</v>
      </c>
      <c r="F49" s="7" t="s">
        <v>1459</v>
      </c>
      <c r="G49" s="7" t="s">
        <v>85</v>
      </c>
      <c r="H49" t="s">
        <v>287</v>
      </c>
      <c r="I49" t="s">
        <v>1646</v>
      </c>
      <c r="J49" s="14">
        <v>44091</v>
      </c>
      <c r="K49" s="15" t="s">
        <v>1820</v>
      </c>
      <c r="L49" t="s">
        <v>2170</v>
      </c>
      <c r="M49" t="s">
        <v>1875</v>
      </c>
      <c r="N49">
        <v>2131.65</v>
      </c>
      <c r="O49" t="s">
        <v>1825</v>
      </c>
      <c r="P49" s="42">
        <v>157939</v>
      </c>
      <c r="Q49" t="s">
        <v>144</v>
      </c>
      <c r="R49">
        <v>4</v>
      </c>
    </row>
    <row r="50" spans="1:21" x14ac:dyDescent="0.3">
      <c r="A50" s="7">
        <v>5293</v>
      </c>
      <c r="B50" t="s">
        <v>1491</v>
      </c>
      <c r="C50" s="7" t="s">
        <v>84</v>
      </c>
      <c r="D50" s="7" t="s">
        <v>53</v>
      </c>
      <c r="E50" s="7" t="s">
        <v>54</v>
      </c>
      <c r="F50" s="7" t="s">
        <v>1458</v>
      </c>
      <c r="G50" s="7" t="s">
        <v>77</v>
      </c>
      <c r="H50" t="s">
        <v>291</v>
      </c>
      <c r="I50" t="s">
        <v>1647</v>
      </c>
      <c r="J50" s="14">
        <v>43773</v>
      </c>
      <c r="K50" s="15" t="s">
        <v>126</v>
      </c>
      <c r="L50" t="s">
        <v>2170</v>
      </c>
      <c r="M50" t="s">
        <v>1876</v>
      </c>
      <c r="N50">
        <v>2449.02</v>
      </c>
      <c r="O50" t="s">
        <v>1825</v>
      </c>
      <c r="P50" s="42">
        <v>0</v>
      </c>
      <c r="Q50" t="s">
        <v>95</v>
      </c>
      <c r="R50">
        <v>20</v>
      </c>
    </row>
    <row r="51" spans="1:21" x14ac:dyDescent="0.3">
      <c r="A51" s="7">
        <v>5198</v>
      </c>
      <c r="B51" t="s">
        <v>290</v>
      </c>
      <c r="C51" s="7" t="s">
        <v>84</v>
      </c>
      <c r="D51" s="7" t="s">
        <v>151</v>
      </c>
      <c r="E51" s="7" t="s">
        <v>76</v>
      </c>
      <c r="F51" s="7" t="s">
        <v>1454</v>
      </c>
      <c r="G51" s="7" t="s">
        <v>85</v>
      </c>
      <c r="H51" t="s">
        <v>295</v>
      </c>
      <c r="I51" t="s">
        <v>1619</v>
      </c>
      <c r="J51" s="14">
        <v>45236</v>
      </c>
      <c r="K51" s="15">
        <v>45838</v>
      </c>
      <c r="L51">
        <v>2025</v>
      </c>
      <c r="M51" t="s">
        <v>1877</v>
      </c>
      <c r="N51">
        <v>602.33000000000004</v>
      </c>
      <c r="O51" t="s">
        <v>1826</v>
      </c>
      <c r="P51" s="42">
        <v>0</v>
      </c>
      <c r="Q51" t="s">
        <v>51</v>
      </c>
      <c r="R51">
        <v>0</v>
      </c>
    </row>
    <row r="52" spans="1:21" x14ac:dyDescent="0.3">
      <c r="A52" s="7">
        <v>5190</v>
      </c>
      <c r="B52" t="s">
        <v>1492</v>
      </c>
      <c r="C52" s="7" t="s">
        <v>68</v>
      </c>
      <c r="D52" s="7" t="s">
        <v>219</v>
      </c>
      <c r="E52" s="7" t="s">
        <v>46</v>
      </c>
      <c r="F52" s="7" t="s">
        <v>1459</v>
      </c>
      <c r="G52" s="7" t="s">
        <v>70</v>
      </c>
      <c r="H52" t="s">
        <v>299</v>
      </c>
      <c r="I52" t="s">
        <v>1648</v>
      </c>
      <c r="J52" s="14">
        <v>45085</v>
      </c>
      <c r="K52" s="15" t="s">
        <v>1820</v>
      </c>
      <c r="L52" t="s">
        <v>2170</v>
      </c>
      <c r="M52" t="s">
        <v>1878</v>
      </c>
      <c r="N52">
        <v>1136.19</v>
      </c>
      <c r="O52" t="s">
        <v>1825</v>
      </c>
      <c r="P52" s="42">
        <v>90565</v>
      </c>
      <c r="Q52" t="s">
        <v>95</v>
      </c>
      <c r="R52">
        <v>13</v>
      </c>
    </row>
    <row r="53" spans="1:21" x14ac:dyDescent="0.3">
      <c r="A53" s="7">
        <v>5337</v>
      </c>
      <c r="B53" t="s">
        <v>1132</v>
      </c>
      <c r="C53" s="7" t="s">
        <v>84</v>
      </c>
      <c r="D53" s="7" t="s">
        <v>151</v>
      </c>
      <c r="E53" s="7" t="s">
        <v>76</v>
      </c>
      <c r="F53" s="7" t="s">
        <v>1454</v>
      </c>
      <c r="G53" s="7" t="s">
        <v>47</v>
      </c>
      <c r="H53" t="s">
        <v>303</v>
      </c>
      <c r="I53" t="s">
        <v>1649</v>
      </c>
      <c r="J53" s="14">
        <v>44644</v>
      </c>
      <c r="K53" s="15" t="s">
        <v>126</v>
      </c>
      <c r="L53" t="s">
        <v>2170</v>
      </c>
      <c r="M53" t="s">
        <v>1843</v>
      </c>
      <c r="N53">
        <v>1576.32</v>
      </c>
      <c r="O53" t="s">
        <v>1825</v>
      </c>
      <c r="P53" s="42">
        <v>65167</v>
      </c>
      <c r="Q53" t="s">
        <v>127</v>
      </c>
      <c r="R53">
        <v>21</v>
      </c>
    </row>
    <row r="54" spans="1:21" x14ac:dyDescent="0.3">
      <c r="A54" s="7">
        <v>5043</v>
      </c>
      <c r="B54" t="s">
        <v>1493</v>
      </c>
      <c r="C54" s="7" t="s">
        <v>68</v>
      </c>
      <c r="D54" s="7" t="s">
        <v>133</v>
      </c>
      <c r="E54" s="7" t="s">
        <v>69</v>
      </c>
      <c r="F54" s="7" t="s">
        <v>1457</v>
      </c>
      <c r="G54" s="7" t="s">
        <v>62</v>
      </c>
      <c r="H54" t="s">
        <v>307</v>
      </c>
      <c r="I54" t="s">
        <v>308</v>
      </c>
      <c r="J54" s="14">
        <v>44322</v>
      </c>
      <c r="K54" s="15">
        <v>45838</v>
      </c>
      <c r="L54">
        <v>2025</v>
      </c>
      <c r="M54" t="s">
        <v>1879</v>
      </c>
      <c r="N54">
        <v>1515.44</v>
      </c>
      <c r="O54" t="s">
        <v>1826</v>
      </c>
      <c r="P54" s="42">
        <v>154270</v>
      </c>
      <c r="Q54" t="s">
        <v>127</v>
      </c>
      <c r="R54">
        <v>8</v>
      </c>
      <c r="U54" t="b">
        <f>ISNUMBER(K4)</f>
        <v>1</v>
      </c>
    </row>
    <row r="55" spans="1:21" x14ac:dyDescent="0.3">
      <c r="A55" s="7">
        <v>5133</v>
      </c>
      <c r="B55" t="s">
        <v>306</v>
      </c>
      <c r="C55" s="7" t="s">
        <v>68</v>
      </c>
      <c r="D55" s="7" t="s">
        <v>133</v>
      </c>
      <c r="E55" s="7" t="s">
        <v>69</v>
      </c>
      <c r="F55" s="7" t="s">
        <v>1457</v>
      </c>
      <c r="G55" s="7" t="s">
        <v>55</v>
      </c>
      <c r="H55" t="s">
        <v>312</v>
      </c>
      <c r="I55" t="s">
        <v>1650</v>
      </c>
      <c r="J55" s="14">
        <v>43837</v>
      </c>
      <c r="K55" s="15">
        <v>45642</v>
      </c>
      <c r="L55">
        <v>2024</v>
      </c>
      <c r="M55" t="s">
        <v>1880</v>
      </c>
      <c r="N55">
        <v>1804.8400000000001</v>
      </c>
      <c r="O55" t="s">
        <v>1826</v>
      </c>
      <c r="P55" s="42">
        <v>50449</v>
      </c>
      <c r="Q55" t="s">
        <v>89</v>
      </c>
      <c r="R55">
        <v>22</v>
      </c>
    </row>
    <row r="56" spans="1:21" x14ac:dyDescent="0.3">
      <c r="A56" s="7">
        <v>5193</v>
      </c>
      <c r="B56" t="s">
        <v>311</v>
      </c>
      <c r="C56" s="7" t="s">
        <v>61</v>
      </c>
      <c r="D56" s="7" t="s">
        <v>122</v>
      </c>
      <c r="E56" s="7" t="s">
        <v>91</v>
      </c>
      <c r="F56" s="7" t="s">
        <v>1455</v>
      </c>
      <c r="G56" s="7" t="s">
        <v>110</v>
      </c>
      <c r="H56" t="s">
        <v>316</v>
      </c>
      <c r="I56" t="s">
        <v>1651</v>
      </c>
      <c r="J56" s="14">
        <v>45252</v>
      </c>
      <c r="K56" s="15" t="s">
        <v>1820</v>
      </c>
      <c r="L56" t="s">
        <v>2170</v>
      </c>
      <c r="M56" t="s">
        <v>1881</v>
      </c>
      <c r="N56">
        <v>969.58</v>
      </c>
      <c r="O56" t="s">
        <v>1825</v>
      </c>
      <c r="P56" s="42">
        <v>0</v>
      </c>
      <c r="Q56" t="s">
        <v>127</v>
      </c>
      <c r="R56">
        <v>5</v>
      </c>
    </row>
    <row r="57" spans="1:21" x14ac:dyDescent="0.3">
      <c r="A57" s="7">
        <v>5267</v>
      </c>
      <c r="B57" t="s">
        <v>1494</v>
      </c>
      <c r="C57" s="7" t="s">
        <v>61</v>
      </c>
      <c r="D57" s="7" t="s">
        <v>219</v>
      </c>
      <c r="E57" s="7" t="s">
        <v>91</v>
      </c>
      <c r="F57" s="7" t="s">
        <v>1455</v>
      </c>
      <c r="G57" s="7" t="s">
        <v>70</v>
      </c>
      <c r="H57" t="s">
        <v>152</v>
      </c>
      <c r="I57" t="s">
        <v>319</v>
      </c>
      <c r="J57" s="14">
        <v>43829</v>
      </c>
      <c r="K57" s="15" t="s">
        <v>1820</v>
      </c>
      <c r="L57" t="s">
        <v>2170</v>
      </c>
      <c r="M57" t="s">
        <v>1882</v>
      </c>
      <c r="N57">
        <v>2951</v>
      </c>
      <c r="O57" t="s">
        <v>1825</v>
      </c>
      <c r="P57" s="42">
        <v>138489</v>
      </c>
      <c r="Q57" t="s">
        <v>95</v>
      </c>
      <c r="R57">
        <v>24</v>
      </c>
    </row>
    <row r="58" spans="1:21" x14ac:dyDescent="0.3">
      <c r="A58" s="7">
        <v>5161</v>
      </c>
      <c r="B58" t="s">
        <v>150</v>
      </c>
      <c r="C58" s="7" t="s">
        <v>84</v>
      </c>
      <c r="D58" s="7" t="s">
        <v>133</v>
      </c>
      <c r="E58" s="7" t="s">
        <v>46</v>
      </c>
      <c r="F58" s="7" t="s">
        <v>1459</v>
      </c>
      <c r="G58" s="7" t="s">
        <v>62</v>
      </c>
      <c r="H58" t="s">
        <v>1602</v>
      </c>
      <c r="I58" t="s">
        <v>1652</v>
      </c>
      <c r="J58" s="14">
        <v>43270</v>
      </c>
      <c r="K58" s="15" t="s">
        <v>1820</v>
      </c>
      <c r="L58" t="s">
        <v>2170</v>
      </c>
      <c r="M58" t="s">
        <v>1883</v>
      </c>
      <c r="N58">
        <v>2570.75</v>
      </c>
      <c r="O58" t="s">
        <v>1825</v>
      </c>
      <c r="P58" s="42">
        <v>62214</v>
      </c>
      <c r="Q58" t="s">
        <v>51</v>
      </c>
      <c r="R58">
        <v>16</v>
      </c>
    </row>
    <row r="59" spans="1:21" x14ac:dyDescent="0.3">
      <c r="A59" s="7">
        <v>5155</v>
      </c>
      <c r="B59" t="s">
        <v>320</v>
      </c>
      <c r="C59" s="7" t="s">
        <v>84</v>
      </c>
      <c r="D59" s="7" t="s">
        <v>122</v>
      </c>
      <c r="E59" s="7" t="s">
        <v>69</v>
      </c>
      <c r="F59" s="7" t="s">
        <v>1457</v>
      </c>
      <c r="G59" s="7" t="s">
        <v>47</v>
      </c>
      <c r="H59" t="s">
        <v>220</v>
      </c>
      <c r="I59" t="s">
        <v>1617</v>
      </c>
      <c r="J59" s="14">
        <v>43650</v>
      </c>
      <c r="K59" s="15" t="s">
        <v>114</v>
      </c>
      <c r="L59" t="s">
        <v>2170</v>
      </c>
      <c r="M59" t="s">
        <v>1884</v>
      </c>
      <c r="N59">
        <v>2210.5</v>
      </c>
      <c r="O59" t="s">
        <v>1825</v>
      </c>
      <c r="P59" s="42">
        <v>0</v>
      </c>
      <c r="Q59" t="s">
        <v>95</v>
      </c>
      <c r="R59">
        <v>7</v>
      </c>
    </row>
    <row r="60" spans="1:21" x14ac:dyDescent="0.3">
      <c r="A60" s="7">
        <v>5158</v>
      </c>
      <c r="B60" t="s">
        <v>325</v>
      </c>
      <c r="C60" s="7" t="s">
        <v>61</v>
      </c>
      <c r="D60" s="7" t="s">
        <v>133</v>
      </c>
      <c r="E60" s="7" t="s">
        <v>91</v>
      </c>
      <c r="F60" s="7" t="s">
        <v>1455</v>
      </c>
      <c r="G60" s="7" t="s">
        <v>77</v>
      </c>
      <c r="H60" t="s">
        <v>328</v>
      </c>
      <c r="I60" t="s">
        <v>1653</v>
      </c>
      <c r="J60" s="14">
        <v>44011</v>
      </c>
      <c r="K60" s="15" t="s">
        <v>1820</v>
      </c>
      <c r="L60" t="s">
        <v>2170</v>
      </c>
      <c r="M60" t="s">
        <v>1885</v>
      </c>
      <c r="N60">
        <v>2685.51</v>
      </c>
      <c r="O60" t="s">
        <v>1825</v>
      </c>
      <c r="P60" s="42">
        <v>50147</v>
      </c>
      <c r="Q60" t="s">
        <v>144</v>
      </c>
      <c r="R60" t="s">
        <v>1822</v>
      </c>
    </row>
    <row r="61" spans="1:21" x14ac:dyDescent="0.3">
      <c r="A61" s="7">
        <v>5184</v>
      </c>
      <c r="B61" t="s">
        <v>327</v>
      </c>
      <c r="C61" s="7" t="s">
        <v>84</v>
      </c>
      <c r="D61" s="7" t="s">
        <v>53</v>
      </c>
      <c r="E61" s="7" t="s">
        <v>69</v>
      </c>
      <c r="F61" s="7" t="s">
        <v>1457</v>
      </c>
      <c r="G61" s="7" t="s">
        <v>47</v>
      </c>
      <c r="H61" t="s">
        <v>332</v>
      </c>
      <c r="I61" t="s">
        <v>1654</v>
      </c>
      <c r="J61" s="14">
        <v>43535</v>
      </c>
      <c r="K61" s="15" t="s">
        <v>126</v>
      </c>
      <c r="L61" t="s">
        <v>2170</v>
      </c>
      <c r="M61" t="s">
        <v>1886</v>
      </c>
      <c r="N61">
        <v>1815.8400000000001</v>
      </c>
      <c r="O61" t="s">
        <v>1825</v>
      </c>
      <c r="P61" s="42">
        <v>78506</v>
      </c>
      <c r="Q61" t="s">
        <v>127</v>
      </c>
      <c r="R61">
        <v>18</v>
      </c>
    </row>
    <row r="62" spans="1:21" x14ac:dyDescent="0.3">
      <c r="A62" s="7">
        <v>5205</v>
      </c>
      <c r="B62" t="s">
        <v>1495</v>
      </c>
      <c r="C62" s="7" t="s">
        <v>68</v>
      </c>
      <c r="D62" s="7" t="s">
        <v>389</v>
      </c>
      <c r="E62" s="7" t="s">
        <v>54</v>
      </c>
      <c r="F62" s="7" t="s">
        <v>1458</v>
      </c>
      <c r="G62" s="7" t="s">
        <v>70</v>
      </c>
      <c r="H62" t="s">
        <v>337</v>
      </c>
      <c r="I62" t="s">
        <v>1655</v>
      </c>
      <c r="J62" s="14">
        <v>44405</v>
      </c>
      <c r="K62" s="15">
        <v>44935</v>
      </c>
      <c r="L62">
        <v>2023</v>
      </c>
      <c r="M62" t="s">
        <v>1887</v>
      </c>
      <c r="N62">
        <v>297.96000000000004</v>
      </c>
      <c r="O62" t="s">
        <v>1826</v>
      </c>
      <c r="P62" s="42">
        <v>57580</v>
      </c>
      <c r="Q62" t="s">
        <v>127</v>
      </c>
      <c r="R62">
        <v>18</v>
      </c>
    </row>
    <row r="63" spans="1:21" x14ac:dyDescent="0.3">
      <c r="A63" s="7">
        <v>5096</v>
      </c>
      <c r="B63" t="s">
        <v>336</v>
      </c>
      <c r="C63" s="7" t="s">
        <v>61</v>
      </c>
      <c r="D63" s="7" t="s">
        <v>122</v>
      </c>
      <c r="E63" s="7" t="s">
        <v>140</v>
      </c>
      <c r="F63" s="7" t="s">
        <v>1456</v>
      </c>
      <c r="G63" s="7" t="s">
        <v>77</v>
      </c>
      <c r="H63" t="s">
        <v>341</v>
      </c>
      <c r="I63" t="s">
        <v>1656</v>
      </c>
      <c r="J63" s="14">
        <v>44636</v>
      </c>
      <c r="K63" s="15" t="s">
        <v>1820</v>
      </c>
      <c r="L63" t="s">
        <v>2170</v>
      </c>
      <c r="M63" t="s">
        <v>1888</v>
      </c>
      <c r="N63">
        <v>2665.07</v>
      </c>
      <c r="O63" t="s">
        <v>1825</v>
      </c>
      <c r="P63" s="42">
        <v>133735</v>
      </c>
      <c r="Q63" t="s">
        <v>144</v>
      </c>
      <c r="R63">
        <v>16</v>
      </c>
    </row>
    <row r="64" spans="1:21" x14ac:dyDescent="0.3">
      <c r="A64" s="7">
        <v>5217</v>
      </c>
      <c r="B64" t="s">
        <v>1496</v>
      </c>
      <c r="C64" s="7" t="s">
        <v>68</v>
      </c>
      <c r="D64" s="7" t="s">
        <v>151</v>
      </c>
      <c r="E64" s="7" t="s">
        <v>91</v>
      </c>
      <c r="F64" s="7" t="s">
        <v>1455</v>
      </c>
      <c r="G64" s="7" t="s">
        <v>77</v>
      </c>
      <c r="H64" t="s">
        <v>346</v>
      </c>
      <c r="I64" t="s">
        <v>1657</v>
      </c>
      <c r="J64" s="14">
        <v>43556</v>
      </c>
      <c r="K64" s="15" t="s">
        <v>114</v>
      </c>
      <c r="L64" t="s">
        <v>2170</v>
      </c>
      <c r="M64" t="s">
        <v>1889</v>
      </c>
      <c r="N64">
        <v>2149.65</v>
      </c>
      <c r="O64" t="s">
        <v>1825</v>
      </c>
      <c r="P64" s="42">
        <v>0</v>
      </c>
      <c r="Q64" t="s">
        <v>51</v>
      </c>
      <c r="R64">
        <v>13</v>
      </c>
    </row>
    <row r="65" spans="1:18" x14ac:dyDescent="0.3">
      <c r="A65" s="7">
        <v>5218</v>
      </c>
      <c r="B65" t="s">
        <v>1497</v>
      </c>
      <c r="C65" s="7" t="s">
        <v>68</v>
      </c>
      <c r="D65" s="7" t="s">
        <v>122</v>
      </c>
      <c r="E65" s="7" t="s">
        <v>76</v>
      </c>
      <c r="F65" s="7" t="s">
        <v>1454</v>
      </c>
      <c r="G65" s="7" t="s">
        <v>77</v>
      </c>
      <c r="H65" t="s">
        <v>350</v>
      </c>
      <c r="I65" t="s">
        <v>1658</v>
      </c>
      <c r="J65" s="14">
        <v>44072</v>
      </c>
      <c r="K65" s="15" t="s">
        <v>1820</v>
      </c>
      <c r="L65" t="s">
        <v>2170</v>
      </c>
      <c r="M65" t="s">
        <v>1890</v>
      </c>
      <c r="N65">
        <v>2679.51</v>
      </c>
      <c r="O65" t="s">
        <v>1825</v>
      </c>
      <c r="P65" s="42">
        <v>61400</v>
      </c>
      <c r="Q65" t="s">
        <v>51</v>
      </c>
      <c r="R65">
        <v>2</v>
      </c>
    </row>
    <row r="66" spans="1:18" x14ac:dyDescent="0.3">
      <c r="A66" s="7">
        <v>5201</v>
      </c>
      <c r="B66" t="s">
        <v>1498</v>
      </c>
      <c r="C66" s="7" t="s">
        <v>68</v>
      </c>
      <c r="D66" s="7" t="s">
        <v>389</v>
      </c>
      <c r="E66" s="7" t="s">
        <v>91</v>
      </c>
      <c r="F66" s="7" t="s">
        <v>1455</v>
      </c>
      <c r="G66" s="7" t="s">
        <v>85</v>
      </c>
      <c r="H66" t="s">
        <v>355</v>
      </c>
      <c r="I66" t="s">
        <v>1659</v>
      </c>
      <c r="J66" s="14">
        <v>43541</v>
      </c>
      <c r="K66" s="15">
        <v>45838</v>
      </c>
      <c r="L66">
        <v>2025</v>
      </c>
      <c r="M66" t="s">
        <v>1891</v>
      </c>
      <c r="N66">
        <v>1922.57</v>
      </c>
      <c r="O66" t="s">
        <v>1826</v>
      </c>
      <c r="P66" s="42">
        <v>64644</v>
      </c>
      <c r="Q66" t="s">
        <v>144</v>
      </c>
      <c r="R66">
        <v>0</v>
      </c>
    </row>
    <row r="67" spans="1:18" x14ac:dyDescent="0.3">
      <c r="A67" s="7">
        <v>5282</v>
      </c>
      <c r="B67" t="s">
        <v>1499</v>
      </c>
      <c r="C67" s="7" t="s">
        <v>61</v>
      </c>
      <c r="D67" s="7" t="s">
        <v>151</v>
      </c>
      <c r="E67" s="7" t="s">
        <v>140</v>
      </c>
      <c r="F67" s="7" t="s">
        <v>1456</v>
      </c>
      <c r="G67" s="7" t="s">
        <v>175</v>
      </c>
      <c r="H67" t="s">
        <v>359</v>
      </c>
      <c r="I67" t="s">
        <v>1660</v>
      </c>
      <c r="J67" s="14">
        <v>43915</v>
      </c>
      <c r="K67" s="15" t="s">
        <v>1820</v>
      </c>
      <c r="L67" t="s">
        <v>2170</v>
      </c>
      <c r="M67" t="s">
        <v>1892</v>
      </c>
      <c r="N67">
        <v>1713.52</v>
      </c>
      <c r="O67" t="s">
        <v>1825</v>
      </c>
      <c r="P67" s="42">
        <v>119922</v>
      </c>
      <c r="Q67" t="s">
        <v>127</v>
      </c>
      <c r="R67">
        <v>18</v>
      </c>
    </row>
    <row r="68" spans="1:18" x14ac:dyDescent="0.3">
      <c r="A68" s="7">
        <v>5269</v>
      </c>
      <c r="B68" t="s">
        <v>358</v>
      </c>
      <c r="C68" s="7" t="s">
        <v>68</v>
      </c>
      <c r="D68" s="7" t="s">
        <v>122</v>
      </c>
      <c r="E68" s="7" t="s">
        <v>76</v>
      </c>
      <c r="F68" s="7" t="s">
        <v>1454</v>
      </c>
      <c r="G68" s="7" t="s">
        <v>47</v>
      </c>
      <c r="H68" t="s">
        <v>363</v>
      </c>
      <c r="I68" t="s">
        <v>1661</v>
      </c>
      <c r="J68" s="14">
        <v>44509</v>
      </c>
      <c r="K68" s="15" t="s">
        <v>114</v>
      </c>
      <c r="L68" t="s">
        <v>2170</v>
      </c>
      <c r="M68" t="s">
        <v>1893</v>
      </c>
      <c r="N68">
        <v>2508.9</v>
      </c>
      <c r="O68" t="s">
        <v>1825</v>
      </c>
      <c r="P68" s="42">
        <v>121854</v>
      </c>
      <c r="Q68" t="s">
        <v>95</v>
      </c>
      <c r="R68">
        <v>21</v>
      </c>
    </row>
    <row r="69" spans="1:18" x14ac:dyDescent="0.3">
      <c r="A69" s="7">
        <v>5023</v>
      </c>
      <c r="B69" t="s">
        <v>1500</v>
      </c>
      <c r="C69" s="7" t="s">
        <v>61</v>
      </c>
      <c r="D69" s="7" t="s">
        <v>53</v>
      </c>
      <c r="E69" s="7" t="s">
        <v>91</v>
      </c>
      <c r="F69" s="7" t="s">
        <v>1455</v>
      </c>
      <c r="G69" s="7" t="s">
        <v>47</v>
      </c>
      <c r="H69" t="s">
        <v>367</v>
      </c>
      <c r="I69" t="s">
        <v>1662</v>
      </c>
      <c r="J69" s="14">
        <v>43713</v>
      </c>
      <c r="K69" s="15" t="s">
        <v>126</v>
      </c>
      <c r="L69" t="s">
        <v>2170</v>
      </c>
      <c r="M69" t="s">
        <v>1894</v>
      </c>
      <c r="N69">
        <v>1514.44</v>
      </c>
      <c r="O69" t="s">
        <v>1825</v>
      </c>
      <c r="P69" s="42">
        <v>0</v>
      </c>
      <c r="Q69" t="s">
        <v>1821</v>
      </c>
      <c r="R69">
        <v>0</v>
      </c>
    </row>
    <row r="70" spans="1:18" x14ac:dyDescent="0.3">
      <c r="A70" s="7">
        <v>5019</v>
      </c>
      <c r="B70" t="s">
        <v>1501</v>
      </c>
      <c r="C70" s="7" t="s">
        <v>68</v>
      </c>
      <c r="D70" s="7" t="s">
        <v>151</v>
      </c>
      <c r="E70" s="7" t="s">
        <v>54</v>
      </c>
      <c r="F70" s="7" t="s">
        <v>1458</v>
      </c>
      <c r="G70" s="7" t="s">
        <v>55</v>
      </c>
      <c r="H70" t="s">
        <v>371</v>
      </c>
      <c r="I70" t="s">
        <v>372</v>
      </c>
      <c r="J70" s="14">
        <v>44706</v>
      </c>
      <c r="K70" s="15" t="s">
        <v>1820</v>
      </c>
      <c r="L70" t="s">
        <v>2170</v>
      </c>
      <c r="M70" t="s">
        <v>1895</v>
      </c>
      <c r="N70">
        <v>2124.21</v>
      </c>
      <c r="O70" t="s">
        <v>1825</v>
      </c>
      <c r="P70" s="42">
        <v>85238</v>
      </c>
      <c r="Q70" t="s">
        <v>127</v>
      </c>
      <c r="R70">
        <v>25</v>
      </c>
    </row>
    <row r="71" spans="1:18" x14ac:dyDescent="0.3">
      <c r="A71" s="7">
        <v>5105</v>
      </c>
      <c r="B71" t="s">
        <v>370</v>
      </c>
      <c r="C71" s="7" t="s">
        <v>68</v>
      </c>
      <c r="D71" s="7" t="s">
        <v>133</v>
      </c>
      <c r="E71" s="7" t="s">
        <v>76</v>
      </c>
      <c r="F71" s="7" t="s">
        <v>1454</v>
      </c>
      <c r="G71" s="7" t="s">
        <v>175</v>
      </c>
      <c r="H71" t="s">
        <v>376</v>
      </c>
      <c r="I71" t="s">
        <v>1663</v>
      </c>
      <c r="J71" s="14">
        <v>44098</v>
      </c>
      <c r="K71" s="15" t="s">
        <v>1820</v>
      </c>
      <c r="L71" t="s">
        <v>2170</v>
      </c>
      <c r="M71" t="s">
        <v>1896</v>
      </c>
      <c r="N71">
        <v>1195.07</v>
      </c>
      <c r="O71" t="s">
        <v>1825</v>
      </c>
      <c r="P71" s="42">
        <v>44951</v>
      </c>
      <c r="Q71" t="s">
        <v>51</v>
      </c>
      <c r="R71">
        <v>2</v>
      </c>
    </row>
    <row r="72" spans="1:18" x14ac:dyDescent="0.3">
      <c r="A72" s="7">
        <v>5214</v>
      </c>
      <c r="B72" t="s">
        <v>375</v>
      </c>
      <c r="C72" s="7" t="s">
        <v>68</v>
      </c>
      <c r="D72" s="7" t="s">
        <v>122</v>
      </c>
      <c r="E72" s="7" t="s">
        <v>69</v>
      </c>
      <c r="F72" s="7" t="s">
        <v>1457</v>
      </c>
      <c r="G72" s="7" t="s">
        <v>55</v>
      </c>
      <c r="H72" t="s">
        <v>380</v>
      </c>
      <c r="I72" t="s">
        <v>1664</v>
      </c>
      <c r="J72" s="14">
        <v>45026</v>
      </c>
      <c r="K72" s="15" t="s">
        <v>1820</v>
      </c>
      <c r="L72" t="s">
        <v>2170</v>
      </c>
      <c r="M72" t="s">
        <v>1897</v>
      </c>
      <c r="N72">
        <v>953.58</v>
      </c>
      <c r="O72" t="s">
        <v>1825</v>
      </c>
      <c r="P72" s="42">
        <v>35500</v>
      </c>
      <c r="Q72" t="s">
        <v>144</v>
      </c>
      <c r="R72">
        <v>2</v>
      </c>
    </row>
    <row r="73" spans="1:18" x14ac:dyDescent="0.3">
      <c r="A73" s="7">
        <v>5009</v>
      </c>
      <c r="B73" t="s">
        <v>1502</v>
      </c>
      <c r="C73" s="7" t="s">
        <v>61</v>
      </c>
      <c r="D73" s="7" t="s">
        <v>53</v>
      </c>
      <c r="E73" s="7" t="s">
        <v>91</v>
      </c>
      <c r="F73" s="7" t="s">
        <v>1455</v>
      </c>
      <c r="G73" s="7" t="s">
        <v>70</v>
      </c>
      <c r="H73" t="s">
        <v>350</v>
      </c>
      <c r="I73" t="s">
        <v>1617</v>
      </c>
      <c r="J73" s="14">
        <v>45268</v>
      </c>
      <c r="K73" s="15" t="s">
        <v>1820</v>
      </c>
      <c r="L73" t="s">
        <v>2170</v>
      </c>
      <c r="M73" t="s">
        <v>1898</v>
      </c>
      <c r="N73">
        <v>2522.9</v>
      </c>
      <c r="O73" t="s">
        <v>1825</v>
      </c>
      <c r="P73" s="42">
        <v>53364</v>
      </c>
      <c r="Q73" t="s">
        <v>89</v>
      </c>
      <c r="R73">
        <v>5</v>
      </c>
    </row>
    <row r="74" spans="1:18" x14ac:dyDescent="0.3">
      <c r="A74" s="7">
        <v>5177</v>
      </c>
      <c r="B74" t="s">
        <v>1498</v>
      </c>
      <c r="C74" s="7" t="s">
        <v>61</v>
      </c>
      <c r="D74" s="7" t="s">
        <v>389</v>
      </c>
      <c r="E74" s="7" t="s">
        <v>54</v>
      </c>
      <c r="F74" s="7" t="s">
        <v>1458</v>
      </c>
      <c r="G74" s="7" t="s">
        <v>175</v>
      </c>
      <c r="H74" t="s">
        <v>1601</v>
      </c>
      <c r="I74" t="s">
        <v>1665</v>
      </c>
      <c r="J74" s="14">
        <v>43698</v>
      </c>
      <c r="K74" s="15" t="s">
        <v>114</v>
      </c>
      <c r="L74" t="s">
        <v>2170</v>
      </c>
      <c r="M74" t="s">
        <v>1899</v>
      </c>
      <c r="N74">
        <v>1648.64</v>
      </c>
      <c r="O74" t="s">
        <v>1825</v>
      </c>
      <c r="P74" s="42">
        <v>135776</v>
      </c>
      <c r="Q74" t="s">
        <v>144</v>
      </c>
      <c r="R74">
        <v>6</v>
      </c>
    </row>
    <row r="75" spans="1:18" x14ac:dyDescent="0.3">
      <c r="A75" s="7">
        <v>5109</v>
      </c>
      <c r="B75" t="s">
        <v>1503</v>
      </c>
      <c r="C75" s="7" t="s">
        <v>61</v>
      </c>
      <c r="D75" s="7" t="s">
        <v>389</v>
      </c>
      <c r="E75" s="7" t="s">
        <v>140</v>
      </c>
      <c r="F75" s="7" t="s">
        <v>1456</v>
      </c>
      <c r="G75" s="7" t="s">
        <v>85</v>
      </c>
      <c r="H75" t="s">
        <v>390</v>
      </c>
      <c r="I75" t="s">
        <v>1619</v>
      </c>
      <c r="J75" s="14">
        <v>44574</v>
      </c>
      <c r="K75" s="15" t="s">
        <v>126</v>
      </c>
      <c r="L75" t="s">
        <v>2170</v>
      </c>
      <c r="M75" t="s">
        <v>1900</v>
      </c>
      <c r="N75">
        <v>1952.01</v>
      </c>
      <c r="O75" t="s">
        <v>1825</v>
      </c>
      <c r="P75" s="42">
        <v>0</v>
      </c>
      <c r="Q75" t="s">
        <v>144</v>
      </c>
      <c r="R75">
        <v>6</v>
      </c>
    </row>
    <row r="76" spans="1:18" x14ac:dyDescent="0.3">
      <c r="A76" s="7">
        <v>5148</v>
      </c>
      <c r="B76" t="s">
        <v>1504</v>
      </c>
      <c r="C76" s="7" t="s">
        <v>68</v>
      </c>
      <c r="D76" s="7" t="s">
        <v>389</v>
      </c>
      <c r="E76" s="7" t="s">
        <v>76</v>
      </c>
      <c r="F76" s="7" t="s">
        <v>1454</v>
      </c>
      <c r="G76" s="7" t="s">
        <v>47</v>
      </c>
      <c r="H76" t="s">
        <v>394</v>
      </c>
      <c r="I76" t="s">
        <v>1617</v>
      </c>
      <c r="J76" s="14">
        <v>45065</v>
      </c>
      <c r="K76" s="15" t="s">
        <v>1820</v>
      </c>
      <c r="L76" t="s">
        <v>2170</v>
      </c>
      <c r="M76" t="s">
        <v>1901</v>
      </c>
      <c r="N76">
        <v>1519.44</v>
      </c>
      <c r="O76" t="s">
        <v>1825</v>
      </c>
      <c r="P76" s="42">
        <v>150413</v>
      </c>
      <c r="Q76" t="s">
        <v>144</v>
      </c>
      <c r="R76">
        <v>24</v>
      </c>
    </row>
    <row r="77" spans="1:18" x14ac:dyDescent="0.3">
      <c r="A77" s="7">
        <v>5164</v>
      </c>
      <c r="B77" t="s">
        <v>1505</v>
      </c>
      <c r="C77" s="7" t="s">
        <v>68</v>
      </c>
      <c r="D77" s="7" t="s">
        <v>122</v>
      </c>
      <c r="E77" s="7" t="s">
        <v>140</v>
      </c>
      <c r="F77" s="7" t="s">
        <v>1456</v>
      </c>
      <c r="G77" s="7" t="s">
        <v>77</v>
      </c>
      <c r="H77" t="s">
        <v>396</v>
      </c>
      <c r="I77" t="s">
        <v>1666</v>
      </c>
      <c r="J77" s="14">
        <v>44269</v>
      </c>
      <c r="K77" s="15" t="s">
        <v>114</v>
      </c>
      <c r="L77" t="s">
        <v>2170</v>
      </c>
      <c r="M77" t="s">
        <v>1902</v>
      </c>
      <c r="N77">
        <v>2862.15</v>
      </c>
      <c r="O77" t="s">
        <v>1825</v>
      </c>
      <c r="P77" s="42">
        <v>42887</v>
      </c>
      <c r="Q77" t="s">
        <v>1821</v>
      </c>
      <c r="R77">
        <v>0</v>
      </c>
    </row>
    <row r="78" spans="1:18" x14ac:dyDescent="0.3">
      <c r="A78" s="7">
        <v>5163</v>
      </c>
      <c r="B78" t="s">
        <v>395</v>
      </c>
      <c r="C78" s="7" t="s">
        <v>61</v>
      </c>
      <c r="D78" s="7" t="s">
        <v>122</v>
      </c>
      <c r="E78" s="7" t="s">
        <v>140</v>
      </c>
      <c r="F78" s="7" t="s">
        <v>1456</v>
      </c>
      <c r="G78" s="7" t="s">
        <v>70</v>
      </c>
      <c r="H78" t="s">
        <v>401</v>
      </c>
      <c r="I78" t="s">
        <v>1667</v>
      </c>
      <c r="J78" s="14">
        <v>44701</v>
      </c>
      <c r="K78" s="15" t="s">
        <v>1820</v>
      </c>
      <c r="L78" t="s">
        <v>2170</v>
      </c>
      <c r="M78" t="s">
        <v>1903</v>
      </c>
      <c r="N78">
        <v>2406.58</v>
      </c>
      <c r="O78" t="s">
        <v>1825</v>
      </c>
      <c r="P78" s="42">
        <v>0</v>
      </c>
      <c r="Q78" t="s">
        <v>127</v>
      </c>
      <c r="R78">
        <v>16</v>
      </c>
    </row>
    <row r="79" spans="1:18" x14ac:dyDescent="0.3">
      <c r="A79" s="7">
        <v>5038</v>
      </c>
      <c r="B79" t="s">
        <v>400</v>
      </c>
      <c r="C79" s="7" t="s">
        <v>61</v>
      </c>
      <c r="D79" s="7" t="s">
        <v>53</v>
      </c>
      <c r="E79" s="7" t="s">
        <v>91</v>
      </c>
      <c r="F79" s="7" t="s">
        <v>1455</v>
      </c>
      <c r="G79" s="7" t="s">
        <v>77</v>
      </c>
      <c r="H79" t="s">
        <v>405</v>
      </c>
      <c r="I79" t="s">
        <v>1619</v>
      </c>
      <c r="J79" s="14">
        <v>43360</v>
      </c>
      <c r="K79" s="15" t="s">
        <v>126</v>
      </c>
      <c r="L79" t="s">
        <v>2170</v>
      </c>
      <c r="M79" t="s">
        <v>1904</v>
      </c>
      <c r="N79">
        <v>1840.25</v>
      </c>
      <c r="O79" t="s">
        <v>1825</v>
      </c>
      <c r="P79" s="42">
        <v>167527</v>
      </c>
      <c r="Q79" t="s">
        <v>95</v>
      </c>
      <c r="R79">
        <v>4</v>
      </c>
    </row>
    <row r="80" spans="1:18" x14ac:dyDescent="0.3">
      <c r="A80" s="7">
        <v>5012</v>
      </c>
      <c r="B80" t="s">
        <v>404</v>
      </c>
      <c r="C80" s="7" t="s">
        <v>84</v>
      </c>
      <c r="D80" s="7" t="s">
        <v>151</v>
      </c>
      <c r="E80" s="7" t="s">
        <v>91</v>
      </c>
      <c r="F80" s="7" t="s">
        <v>1455</v>
      </c>
      <c r="G80" s="7" t="s">
        <v>62</v>
      </c>
      <c r="H80" t="s">
        <v>410</v>
      </c>
      <c r="I80" t="s">
        <v>1668</v>
      </c>
      <c r="J80" s="14">
        <v>43815</v>
      </c>
      <c r="K80" s="15" t="s">
        <v>126</v>
      </c>
      <c r="L80" t="s">
        <v>2170</v>
      </c>
      <c r="M80" t="s">
        <v>1905</v>
      </c>
      <c r="N80">
        <v>1432.5900000000001</v>
      </c>
      <c r="O80" t="s">
        <v>1825</v>
      </c>
      <c r="P80" s="42">
        <v>0</v>
      </c>
      <c r="Q80" t="s">
        <v>95</v>
      </c>
      <c r="R80" t="s">
        <v>1822</v>
      </c>
    </row>
    <row r="81" spans="1:18" x14ac:dyDescent="0.3">
      <c r="A81" s="7">
        <v>5113</v>
      </c>
      <c r="B81" t="s">
        <v>409</v>
      </c>
      <c r="C81" s="7" t="s">
        <v>68</v>
      </c>
      <c r="D81" s="7" t="s">
        <v>151</v>
      </c>
      <c r="E81" s="7" t="s">
        <v>54</v>
      </c>
      <c r="F81" s="7" t="s">
        <v>1458</v>
      </c>
      <c r="G81" s="7" t="s">
        <v>55</v>
      </c>
      <c r="H81" t="s">
        <v>1601</v>
      </c>
      <c r="I81" t="s">
        <v>1669</v>
      </c>
      <c r="J81" s="14">
        <v>44381</v>
      </c>
      <c r="K81" s="15">
        <v>45571</v>
      </c>
      <c r="L81">
        <v>2024</v>
      </c>
      <c r="M81" t="s">
        <v>1906</v>
      </c>
      <c r="N81">
        <v>888.7</v>
      </c>
      <c r="O81" t="s">
        <v>1826</v>
      </c>
      <c r="P81" s="42">
        <v>174475</v>
      </c>
      <c r="Q81" t="s">
        <v>144</v>
      </c>
      <c r="R81">
        <v>9</v>
      </c>
    </row>
    <row r="82" spans="1:18" x14ac:dyDescent="0.3">
      <c r="A82" s="7">
        <v>5286</v>
      </c>
      <c r="B82" t="s">
        <v>1506</v>
      </c>
      <c r="C82" s="7" t="s">
        <v>84</v>
      </c>
      <c r="D82" s="7" t="s">
        <v>53</v>
      </c>
      <c r="E82" s="7" t="s">
        <v>76</v>
      </c>
      <c r="F82" s="7" t="s">
        <v>1454</v>
      </c>
      <c r="G82" s="7" t="s">
        <v>110</v>
      </c>
      <c r="H82" t="s">
        <v>417</v>
      </c>
      <c r="I82" t="s">
        <v>418</v>
      </c>
      <c r="J82" s="14">
        <v>44789</v>
      </c>
      <c r="K82" s="15">
        <v>45243</v>
      </c>
      <c r="L82">
        <v>2023</v>
      </c>
      <c r="M82" t="s">
        <v>1907</v>
      </c>
      <c r="N82">
        <v>1683.08</v>
      </c>
      <c r="O82" t="s">
        <v>1826</v>
      </c>
      <c r="P82" s="42">
        <v>36368</v>
      </c>
      <c r="Q82" t="s">
        <v>1821</v>
      </c>
      <c r="R82">
        <v>23</v>
      </c>
    </row>
    <row r="83" spans="1:18" x14ac:dyDescent="0.3">
      <c r="A83" s="7">
        <v>5296</v>
      </c>
      <c r="B83" t="s">
        <v>1507</v>
      </c>
      <c r="C83" s="7" t="s">
        <v>84</v>
      </c>
      <c r="D83" s="7" t="s">
        <v>133</v>
      </c>
      <c r="E83" s="7" t="s">
        <v>76</v>
      </c>
      <c r="F83" s="7" t="s">
        <v>1454</v>
      </c>
      <c r="G83" s="7" t="s">
        <v>85</v>
      </c>
      <c r="H83" t="s">
        <v>1603</v>
      </c>
      <c r="I83" t="s">
        <v>423</v>
      </c>
      <c r="J83" s="14">
        <v>44681</v>
      </c>
      <c r="K83" s="15" t="s">
        <v>1820</v>
      </c>
      <c r="L83" t="s">
        <v>2170</v>
      </c>
      <c r="M83" t="s">
        <v>1908</v>
      </c>
      <c r="N83">
        <v>1320.83</v>
      </c>
      <c r="O83" t="s">
        <v>1825</v>
      </c>
      <c r="P83" s="42">
        <v>156030</v>
      </c>
      <c r="Q83" t="s">
        <v>89</v>
      </c>
      <c r="R83">
        <v>24</v>
      </c>
    </row>
    <row r="84" spans="1:18" x14ac:dyDescent="0.3">
      <c r="A84" s="7">
        <v>5004</v>
      </c>
      <c r="B84" t="s">
        <v>421</v>
      </c>
      <c r="C84" s="7" t="s">
        <v>68</v>
      </c>
      <c r="D84" s="7" t="s">
        <v>219</v>
      </c>
      <c r="E84" s="7" t="s">
        <v>54</v>
      </c>
      <c r="F84" s="7" t="s">
        <v>1458</v>
      </c>
      <c r="G84" s="7" t="s">
        <v>47</v>
      </c>
      <c r="H84" t="s">
        <v>1604</v>
      </c>
      <c r="I84" t="s">
        <v>429</v>
      </c>
      <c r="J84" s="14">
        <v>43559</v>
      </c>
      <c r="K84" s="15" t="s">
        <v>1820</v>
      </c>
      <c r="L84" t="s">
        <v>2170</v>
      </c>
      <c r="M84" t="s">
        <v>1909</v>
      </c>
      <c r="N84">
        <v>2722.95</v>
      </c>
      <c r="O84" t="s">
        <v>1825</v>
      </c>
      <c r="P84" s="42">
        <v>0</v>
      </c>
      <c r="Q84" t="s">
        <v>95</v>
      </c>
      <c r="R84" t="s">
        <v>1822</v>
      </c>
    </row>
    <row r="85" spans="1:18" x14ac:dyDescent="0.3">
      <c r="A85" s="7">
        <v>5290</v>
      </c>
      <c r="B85" t="s">
        <v>427</v>
      </c>
      <c r="C85" s="7" t="s">
        <v>61</v>
      </c>
      <c r="D85" s="7" t="s">
        <v>389</v>
      </c>
      <c r="E85" s="7" t="s">
        <v>69</v>
      </c>
      <c r="F85" s="7" t="s">
        <v>1457</v>
      </c>
      <c r="G85" s="7" t="s">
        <v>47</v>
      </c>
      <c r="H85" t="s">
        <v>1605</v>
      </c>
      <c r="I85" t="s">
        <v>1670</v>
      </c>
      <c r="J85" s="14">
        <v>44901</v>
      </c>
      <c r="K85" s="15" t="s">
        <v>1820</v>
      </c>
      <c r="L85" t="s">
        <v>2170</v>
      </c>
      <c r="M85" t="s">
        <v>1910</v>
      </c>
      <c r="N85">
        <v>2110.21</v>
      </c>
      <c r="O85" t="s">
        <v>1825</v>
      </c>
      <c r="P85" s="42">
        <v>93431</v>
      </c>
      <c r="Q85" t="s">
        <v>144</v>
      </c>
      <c r="R85">
        <v>6</v>
      </c>
    </row>
    <row r="86" spans="1:18" x14ac:dyDescent="0.3">
      <c r="A86" s="7">
        <v>5090</v>
      </c>
      <c r="B86" t="s">
        <v>1508</v>
      </c>
      <c r="C86" s="7" t="s">
        <v>68</v>
      </c>
      <c r="D86" s="7" t="s">
        <v>151</v>
      </c>
      <c r="E86" s="7" t="s">
        <v>46</v>
      </c>
      <c r="F86" s="7" t="s">
        <v>1459</v>
      </c>
      <c r="G86" s="7" t="s">
        <v>47</v>
      </c>
      <c r="H86" t="s">
        <v>438</v>
      </c>
      <c r="I86" t="s">
        <v>439</v>
      </c>
      <c r="J86" s="14">
        <v>43500</v>
      </c>
      <c r="K86" s="15" t="s">
        <v>1820</v>
      </c>
      <c r="L86" t="s">
        <v>2170</v>
      </c>
      <c r="M86" t="s">
        <v>1911</v>
      </c>
      <c r="N86">
        <v>1162.6300000000001</v>
      </c>
      <c r="O86" t="s">
        <v>1825</v>
      </c>
      <c r="P86" s="42">
        <v>141821</v>
      </c>
      <c r="Q86" t="s">
        <v>127</v>
      </c>
      <c r="R86">
        <v>22</v>
      </c>
    </row>
    <row r="87" spans="1:18" x14ac:dyDescent="0.3">
      <c r="A87" s="7">
        <v>5272</v>
      </c>
      <c r="B87" t="s">
        <v>1509</v>
      </c>
      <c r="C87" s="7" t="s">
        <v>61</v>
      </c>
      <c r="D87" s="7" t="s">
        <v>122</v>
      </c>
      <c r="E87" s="7" t="s">
        <v>140</v>
      </c>
      <c r="F87" s="7" t="s">
        <v>1456</v>
      </c>
      <c r="G87" s="7" t="s">
        <v>47</v>
      </c>
      <c r="H87" t="s">
        <v>442</v>
      </c>
      <c r="I87" t="s">
        <v>443</v>
      </c>
      <c r="J87" s="14">
        <v>44112</v>
      </c>
      <c r="K87" s="15" t="s">
        <v>114</v>
      </c>
      <c r="L87" t="s">
        <v>2170</v>
      </c>
      <c r="M87" t="s">
        <v>1912</v>
      </c>
      <c r="N87">
        <v>1640.2</v>
      </c>
      <c r="O87" t="s">
        <v>1825</v>
      </c>
      <c r="P87" s="42">
        <v>0</v>
      </c>
      <c r="Q87" t="s">
        <v>89</v>
      </c>
      <c r="R87">
        <v>17</v>
      </c>
    </row>
    <row r="88" spans="1:18" x14ac:dyDescent="0.3">
      <c r="A88" s="7">
        <v>5340</v>
      </c>
      <c r="B88" t="s">
        <v>771</v>
      </c>
      <c r="C88" s="7" t="s">
        <v>61</v>
      </c>
      <c r="D88" s="7" t="s">
        <v>133</v>
      </c>
      <c r="E88" s="7" t="s">
        <v>76</v>
      </c>
      <c r="F88" s="7" t="s">
        <v>1454</v>
      </c>
      <c r="G88" s="7" t="s">
        <v>77</v>
      </c>
      <c r="H88" t="s">
        <v>446</v>
      </c>
      <c r="I88" t="s">
        <v>447</v>
      </c>
      <c r="J88" s="14">
        <v>45058</v>
      </c>
      <c r="K88" s="15" t="s">
        <v>126</v>
      </c>
      <c r="L88" t="s">
        <v>2170</v>
      </c>
      <c r="M88" t="s">
        <v>1913</v>
      </c>
      <c r="N88">
        <v>2041.33</v>
      </c>
      <c r="O88" t="s">
        <v>1825</v>
      </c>
      <c r="P88" s="42">
        <v>154184</v>
      </c>
      <c r="Q88" t="s">
        <v>95</v>
      </c>
      <c r="R88" t="s">
        <v>1822</v>
      </c>
    </row>
    <row r="89" spans="1:18" x14ac:dyDescent="0.3">
      <c r="A89" s="7">
        <v>5150</v>
      </c>
      <c r="B89" t="s">
        <v>445</v>
      </c>
      <c r="C89" s="7" t="s">
        <v>68</v>
      </c>
      <c r="D89" s="7" t="s">
        <v>389</v>
      </c>
      <c r="E89" s="7" t="s">
        <v>91</v>
      </c>
      <c r="F89" s="7" t="s">
        <v>1455</v>
      </c>
      <c r="G89" s="7" t="s">
        <v>85</v>
      </c>
      <c r="H89" t="s">
        <v>450</v>
      </c>
      <c r="I89" t="s">
        <v>1671</v>
      </c>
      <c r="J89" s="14">
        <v>44582</v>
      </c>
      <c r="K89" s="15" t="s">
        <v>114</v>
      </c>
      <c r="L89" t="s">
        <v>2170</v>
      </c>
      <c r="M89" t="s">
        <v>1914</v>
      </c>
      <c r="N89">
        <v>1891.13</v>
      </c>
      <c r="O89" t="s">
        <v>1825</v>
      </c>
      <c r="P89" s="42">
        <v>75215</v>
      </c>
      <c r="Q89" t="s">
        <v>51</v>
      </c>
      <c r="R89">
        <v>0</v>
      </c>
    </row>
    <row r="90" spans="1:18" x14ac:dyDescent="0.3">
      <c r="A90" s="7">
        <v>5114</v>
      </c>
      <c r="B90" t="s">
        <v>449</v>
      </c>
      <c r="C90" s="7" t="s">
        <v>68</v>
      </c>
      <c r="D90" s="7" t="s">
        <v>151</v>
      </c>
      <c r="E90" s="7" t="s">
        <v>69</v>
      </c>
      <c r="F90" s="7" t="s">
        <v>1457</v>
      </c>
      <c r="G90" s="7" t="s">
        <v>62</v>
      </c>
      <c r="H90" t="s">
        <v>454</v>
      </c>
      <c r="I90" t="s">
        <v>1617</v>
      </c>
      <c r="J90" s="14">
        <v>44181</v>
      </c>
      <c r="K90" s="15" t="s">
        <v>126</v>
      </c>
      <c r="L90" t="s">
        <v>2170</v>
      </c>
      <c r="M90" t="s">
        <v>1915</v>
      </c>
      <c r="N90">
        <v>2291.8200000000002</v>
      </c>
      <c r="O90" t="s">
        <v>1825</v>
      </c>
      <c r="P90" s="42">
        <v>0</v>
      </c>
      <c r="Q90" t="s">
        <v>95</v>
      </c>
      <c r="R90">
        <v>16</v>
      </c>
    </row>
    <row r="91" spans="1:18" x14ac:dyDescent="0.3">
      <c r="A91" s="7">
        <v>5020</v>
      </c>
      <c r="B91" t="s">
        <v>453</v>
      </c>
      <c r="C91" s="7" t="s">
        <v>61</v>
      </c>
      <c r="D91" s="7" t="s">
        <v>151</v>
      </c>
      <c r="E91" s="7" t="s">
        <v>140</v>
      </c>
      <c r="F91" s="7" t="s">
        <v>1456</v>
      </c>
      <c r="G91" s="7" t="s">
        <v>110</v>
      </c>
      <c r="H91" t="s">
        <v>457</v>
      </c>
      <c r="I91" t="s">
        <v>1672</v>
      </c>
      <c r="J91" s="14">
        <v>44330</v>
      </c>
      <c r="K91" s="15" t="s">
        <v>126</v>
      </c>
      <c r="L91" t="s">
        <v>2170</v>
      </c>
      <c r="M91" t="s">
        <v>1916</v>
      </c>
      <c r="N91">
        <v>2620.63</v>
      </c>
      <c r="O91" t="s">
        <v>1825</v>
      </c>
      <c r="P91" s="42">
        <v>0</v>
      </c>
      <c r="Q91" t="s">
        <v>95</v>
      </c>
      <c r="R91">
        <v>0</v>
      </c>
    </row>
    <row r="92" spans="1:18" x14ac:dyDescent="0.3">
      <c r="A92" s="7">
        <v>5227</v>
      </c>
      <c r="B92" t="s">
        <v>456</v>
      </c>
      <c r="C92" s="7" t="s">
        <v>61</v>
      </c>
      <c r="D92" s="7" t="s">
        <v>122</v>
      </c>
      <c r="E92" s="7" t="s">
        <v>76</v>
      </c>
      <c r="F92" s="7" t="s">
        <v>1454</v>
      </c>
      <c r="G92" s="7" t="s">
        <v>62</v>
      </c>
      <c r="H92" t="s">
        <v>332</v>
      </c>
      <c r="I92" t="s">
        <v>1673</v>
      </c>
      <c r="J92" s="14">
        <v>43930</v>
      </c>
      <c r="K92" s="15">
        <v>45838</v>
      </c>
      <c r="L92">
        <v>2025</v>
      </c>
      <c r="M92" t="s">
        <v>1917</v>
      </c>
      <c r="N92">
        <v>653.21</v>
      </c>
      <c r="O92" t="s">
        <v>1826</v>
      </c>
      <c r="P92" s="42">
        <v>170729</v>
      </c>
      <c r="Q92" t="s">
        <v>51</v>
      </c>
      <c r="R92">
        <v>24</v>
      </c>
    </row>
    <row r="93" spans="1:18" x14ac:dyDescent="0.3">
      <c r="A93" s="7">
        <v>5084</v>
      </c>
      <c r="B93" t="s">
        <v>1495</v>
      </c>
      <c r="C93" s="7" t="s">
        <v>61</v>
      </c>
      <c r="D93" s="7" t="s">
        <v>151</v>
      </c>
      <c r="E93" s="7" t="s">
        <v>76</v>
      </c>
      <c r="F93" s="7" t="s">
        <v>1454</v>
      </c>
      <c r="G93" s="7" t="s">
        <v>77</v>
      </c>
      <c r="H93" t="s">
        <v>465</v>
      </c>
      <c r="I93" t="s">
        <v>466</v>
      </c>
      <c r="J93" s="14">
        <v>43600</v>
      </c>
      <c r="K93" s="15" t="s">
        <v>1820</v>
      </c>
      <c r="L93" t="s">
        <v>2170</v>
      </c>
      <c r="M93" t="s">
        <v>1918</v>
      </c>
      <c r="N93">
        <v>1334.83</v>
      </c>
      <c r="O93" t="s">
        <v>1825</v>
      </c>
      <c r="P93" s="42">
        <v>0</v>
      </c>
      <c r="Q93" t="s">
        <v>144</v>
      </c>
      <c r="R93">
        <v>7</v>
      </c>
    </row>
    <row r="94" spans="1:18" x14ac:dyDescent="0.3">
      <c r="A94" s="7">
        <v>5079</v>
      </c>
      <c r="B94" t="s">
        <v>1510</v>
      </c>
      <c r="C94" s="7" t="s">
        <v>84</v>
      </c>
      <c r="D94" s="7" t="s">
        <v>53</v>
      </c>
      <c r="E94" s="7" t="s">
        <v>91</v>
      </c>
      <c r="F94" s="7" t="s">
        <v>1455</v>
      </c>
      <c r="G94" s="7" t="s">
        <v>70</v>
      </c>
      <c r="H94" t="s">
        <v>469</v>
      </c>
      <c r="I94" t="s">
        <v>1674</v>
      </c>
      <c r="J94" s="14">
        <v>45185</v>
      </c>
      <c r="K94" s="15">
        <v>44545</v>
      </c>
      <c r="L94">
        <v>2021</v>
      </c>
      <c r="M94" t="s">
        <v>1919</v>
      </c>
      <c r="N94">
        <v>1115.75</v>
      </c>
      <c r="O94" t="s">
        <v>1826</v>
      </c>
      <c r="P94" s="42">
        <v>0</v>
      </c>
      <c r="Q94" t="s">
        <v>127</v>
      </c>
      <c r="R94">
        <v>9</v>
      </c>
    </row>
    <row r="95" spans="1:18" x14ac:dyDescent="0.3">
      <c r="A95" s="7">
        <v>5110</v>
      </c>
      <c r="B95" t="s">
        <v>1511</v>
      </c>
      <c r="C95" s="7" t="s">
        <v>61</v>
      </c>
      <c r="D95" s="7" t="s">
        <v>389</v>
      </c>
      <c r="E95" s="7" t="s">
        <v>76</v>
      </c>
      <c r="F95" s="7" t="s">
        <v>1454</v>
      </c>
      <c r="G95" s="7" t="s">
        <v>47</v>
      </c>
      <c r="H95" t="s">
        <v>473</v>
      </c>
      <c r="I95" t="s">
        <v>1617</v>
      </c>
      <c r="J95" s="14">
        <v>44887</v>
      </c>
      <c r="K95" s="15" t="s">
        <v>126</v>
      </c>
      <c r="L95" t="s">
        <v>2170</v>
      </c>
      <c r="M95" t="s">
        <v>1920</v>
      </c>
      <c r="N95">
        <v>2492.46</v>
      </c>
      <c r="O95" t="s">
        <v>1825</v>
      </c>
      <c r="P95" s="42">
        <v>49146</v>
      </c>
      <c r="Q95" t="s">
        <v>127</v>
      </c>
      <c r="R95">
        <v>17</v>
      </c>
    </row>
    <row r="96" spans="1:18" x14ac:dyDescent="0.3">
      <c r="A96" s="7">
        <v>5051</v>
      </c>
      <c r="B96" t="s">
        <v>1512</v>
      </c>
      <c r="C96" s="7" t="s">
        <v>68</v>
      </c>
      <c r="D96" s="7" t="s">
        <v>151</v>
      </c>
      <c r="E96" s="7" t="s">
        <v>54</v>
      </c>
      <c r="F96" s="7" t="s">
        <v>1458</v>
      </c>
      <c r="G96" s="7" t="s">
        <v>55</v>
      </c>
      <c r="H96" t="s">
        <v>476</v>
      </c>
      <c r="I96" t="s">
        <v>477</v>
      </c>
      <c r="J96" s="14">
        <v>43429</v>
      </c>
      <c r="K96" s="15" t="s">
        <v>126</v>
      </c>
      <c r="L96" t="s">
        <v>2170</v>
      </c>
      <c r="M96" t="s">
        <v>1921</v>
      </c>
      <c r="N96">
        <v>1284.3900000000001</v>
      </c>
      <c r="O96" t="s">
        <v>1825</v>
      </c>
      <c r="P96" s="42">
        <v>88825</v>
      </c>
      <c r="Q96" t="s">
        <v>127</v>
      </c>
      <c r="R96">
        <v>18</v>
      </c>
    </row>
    <row r="97" spans="1:18" x14ac:dyDescent="0.3">
      <c r="A97" s="7">
        <v>5291</v>
      </c>
      <c r="B97" t="s">
        <v>1513</v>
      </c>
      <c r="C97" s="7" t="s">
        <v>68</v>
      </c>
      <c r="D97" s="7" t="s">
        <v>219</v>
      </c>
      <c r="E97" s="7" t="s">
        <v>140</v>
      </c>
      <c r="F97" s="7" t="s">
        <v>1456</v>
      </c>
      <c r="G97" s="7" t="s">
        <v>85</v>
      </c>
      <c r="H97" t="s">
        <v>1601</v>
      </c>
      <c r="I97" t="s">
        <v>481</v>
      </c>
      <c r="J97" s="14">
        <v>43729</v>
      </c>
      <c r="K97" s="15" t="s">
        <v>1820</v>
      </c>
      <c r="L97" t="s">
        <v>2170</v>
      </c>
      <c r="M97" t="s">
        <v>1922</v>
      </c>
      <c r="N97">
        <v>1339.27</v>
      </c>
      <c r="O97" t="s">
        <v>1825</v>
      </c>
      <c r="P97" s="42">
        <v>84348</v>
      </c>
      <c r="Q97" t="s">
        <v>89</v>
      </c>
      <c r="R97" t="s">
        <v>1822</v>
      </c>
    </row>
    <row r="98" spans="1:18" x14ac:dyDescent="0.3">
      <c r="A98" s="7">
        <v>5035</v>
      </c>
      <c r="B98" t="s">
        <v>1514</v>
      </c>
      <c r="C98" s="7" t="s">
        <v>61</v>
      </c>
      <c r="D98" s="7" t="s">
        <v>133</v>
      </c>
      <c r="E98" s="7" t="s">
        <v>76</v>
      </c>
      <c r="F98" s="7" t="s">
        <v>1454</v>
      </c>
      <c r="G98" s="7" t="s">
        <v>62</v>
      </c>
      <c r="H98" t="s">
        <v>484</v>
      </c>
      <c r="I98" t="s">
        <v>1619</v>
      </c>
      <c r="J98" s="14">
        <v>44938</v>
      </c>
      <c r="K98" s="15" t="s">
        <v>126</v>
      </c>
      <c r="L98" t="s">
        <v>2170</v>
      </c>
      <c r="M98" t="s">
        <v>1923</v>
      </c>
      <c r="N98">
        <v>1628.2</v>
      </c>
      <c r="O98" t="s">
        <v>1825</v>
      </c>
      <c r="P98" s="42">
        <v>170527</v>
      </c>
      <c r="Q98" t="s">
        <v>95</v>
      </c>
      <c r="R98">
        <v>7</v>
      </c>
    </row>
    <row r="99" spans="1:18" x14ac:dyDescent="0.3">
      <c r="A99" s="7">
        <v>5108</v>
      </c>
      <c r="B99" t="s">
        <v>1515</v>
      </c>
      <c r="C99" s="7" t="s">
        <v>68</v>
      </c>
      <c r="D99" s="7" t="s">
        <v>389</v>
      </c>
      <c r="E99" s="7" t="s">
        <v>46</v>
      </c>
      <c r="F99" s="7" t="s">
        <v>1459</v>
      </c>
      <c r="G99" s="7" t="s">
        <v>175</v>
      </c>
      <c r="H99" t="s">
        <v>282</v>
      </c>
      <c r="I99" t="s">
        <v>1675</v>
      </c>
      <c r="J99" s="14">
        <v>44883</v>
      </c>
      <c r="K99" s="15" t="s">
        <v>114</v>
      </c>
      <c r="L99" t="s">
        <v>2170</v>
      </c>
      <c r="M99" t="s">
        <v>1924</v>
      </c>
      <c r="N99">
        <v>2862.15</v>
      </c>
      <c r="O99" t="s">
        <v>1825</v>
      </c>
      <c r="P99" s="42">
        <v>48820</v>
      </c>
      <c r="Q99" t="s">
        <v>89</v>
      </c>
      <c r="R99">
        <v>17</v>
      </c>
    </row>
    <row r="100" spans="1:18" x14ac:dyDescent="0.3">
      <c r="A100" s="7">
        <v>5062</v>
      </c>
      <c r="B100" t="s">
        <v>281</v>
      </c>
      <c r="C100" s="7" t="s">
        <v>61</v>
      </c>
      <c r="D100" s="7" t="s">
        <v>389</v>
      </c>
      <c r="E100" s="7" t="s">
        <v>69</v>
      </c>
      <c r="F100" s="7" t="s">
        <v>1457</v>
      </c>
      <c r="G100" s="7" t="s">
        <v>175</v>
      </c>
      <c r="H100" t="s">
        <v>492</v>
      </c>
      <c r="I100" t="s">
        <v>1617</v>
      </c>
      <c r="J100" s="14">
        <v>44595</v>
      </c>
      <c r="K100" s="15">
        <v>45838</v>
      </c>
      <c r="L100">
        <v>2025</v>
      </c>
      <c r="M100" t="s">
        <v>1925</v>
      </c>
      <c r="N100">
        <v>471.57</v>
      </c>
      <c r="O100" t="s">
        <v>1826</v>
      </c>
      <c r="P100" s="42">
        <v>171669</v>
      </c>
      <c r="Q100" t="s">
        <v>144</v>
      </c>
      <c r="R100">
        <v>16</v>
      </c>
    </row>
    <row r="101" spans="1:18" x14ac:dyDescent="0.3">
      <c r="A101" s="7">
        <v>5123</v>
      </c>
      <c r="B101" t="s">
        <v>491</v>
      </c>
      <c r="C101" s="7" t="s">
        <v>61</v>
      </c>
      <c r="D101" s="7" t="s">
        <v>122</v>
      </c>
      <c r="E101" s="7" t="s">
        <v>140</v>
      </c>
      <c r="F101" s="7" t="s">
        <v>1456</v>
      </c>
      <c r="G101" s="7" t="s">
        <v>110</v>
      </c>
      <c r="H101" t="s">
        <v>495</v>
      </c>
      <c r="I101" t="s">
        <v>1676</v>
      </c>
      <c r="J101" s="14">
        <v>43360</v>
      </c>
      <c r="K101" s="15">
        <v>45639</v>
      </c>
      <c r="L101">
        <v>2024</v>
      </c>
      <c r="M101" t="s">
        <v>1904</v>
      </c>
      <c r="N101">
        <v>1707.52</v>
      </c>
      <c r="O101" t="s">
        <v>1826</v>
      </c>
      <c r="P101" s="42">
        <v>103930</v>
      </c>
      <c r="Q101" t="s">
        <v>89</v>
      </c>
      <c r="R101" t="s">
        <v>1822</v>
      </c>
    </row>
    <row r="102" spans="1:18" x14ac:dyDescent="0.3">
      <c r="A102" s="7">
        <v>5174</v>
      </c>
      <c r="B102" t="s">
        <v>1516</v>
      </c>
      <c r="C102" s="7" t="s">
        <v>84</v>
      </c>
      <c r="D102" s="7" t="s">
        <v>389</v>
      </c>
      <c r="E102" s="7" t="s">
        <v>140</v>
      </c>
      <c r="F102" s="7" t="s">
        <v>1456</v>
      </c>
      <c r="G102" s="7" t="s">
        <v>77</v>
      </c>
      <c r="H102" t="s">
        <v>499</v>
      </c>
      <c r="I102" t="s">
        <v>1677</v>
      </c>
      <c r="J102" s="14">
        <v>45366</v>
      </c>
      <c r="K102" s="15" t="s">
        <v>114</v>
      </c>
      <c r="L102" t="s">
        <v>2170</v>
      </c>
      <c r="M102" t="s">
        <v>1926</v>
      </c>
      <c r="N102">
        <v>2699.51</v>
      </c>
      <c r="O102" t="s">
        <v>1825</v>
      </c>
      <c r="P102" s="42">
        <v>110055</v>
      </c>
      <c r="Q102" t="s">
        <v>89</v>
      </c>
      <c r="R102">
        <v>20</v>
      </c>
    </row>
    <row r="103" spans="1:18" x14ac:dyDescent="0.3">
      <c r="A103" s="7">
        <v>5220</v>
      </c>
      <c r="B103" t="s">
        <v>498</v>
      </c>
      <c r="C103" s="7" t="s">
        <v>61</v>
      </c>
      <c r="D103" s="7" t="s">
        <v>389</v>
      </c>
      <c r="E103" s="7" t="s">
        <v>91</v>
      </c>
      <c r="F103" s="7" t="s">
        <v>1455</v>
      </c>
      <c r="G103" s="7" t="s">
        <v>70</v>
      </c>
      <c r="H103" t="s">
        <v>504</v>
      </c>
      <c r="I103" t="s">
        <v>505</v>
      </c>
      <c r="J103" s="14">
        <v>43931</v>
      </c>
      <c r="K103" s="15" t="s">
        <v>126</v>
      </c>
      <c r="L103" t="s">
        <v>2170</v>
      </c>
      <c r="M103" t="s">
        <v>1927</v>
      </c>
      <c r="N103">
        <v>2603.19</v>
      </c>
      <c r="O103" t="s">
        <v>1825</v>
      </c>
      <c r="P103" s="42">
        <v>85315</v>
      </c>
      <c r="Q103" t="s">
        <v>144</v>
      </c>
      <c r="R103">
        <v>2</v>
      </c>
    </row>
    <row r="104" spans="1:18" x14ac:dyDescent="0.3">
      <c r="A104" s="7">
        <v>5048</v>
      </c>
      <c r="B104" t="s">
        <v>1517</v>
      </c>
      <c r="C104" s="7" t="s">
        <v>61</v>
      </c>
      <c r="D104" s="7" t="s">
        <v>133</v>
      </c>
      <c r="E104" s="7" t="s">
        <v>140</v>
      </c>
      <c r="F104" s="7" t="s">
        <v>1456</v>
      </c>
      <c r="G104" s="7" t="s">
        <v>62</v>
      </c>
      <c r="H104" t="s">
        <v>509</v>
      </c>
      <c r="I104" t="s">
        <v>1617</v>
      </c>
      <c r="J104" s="14">
        <v>43523</v>
      </c>
      <c r="K104" s="15">
        <v>45838</v>
      </c>
      <c r="L104">
        <v>2025</v>
      </c>
      <c r="M104" t="s">
        <v>1928</v>
      </c>
      <c r="N104">
        <v>433.13</v>
      </c>
      <c r="O104" t="s">
        <v>1826</v>
      </c>
      <c r="P104" s="42">
        <v>132621</v>
      </c>
      <c r="Q104" t="s">
        <v>127</v>
      </c>
      <c r="R104">
        <v>4</v>
      </c>
    </row>
    <row r="105" spans="1:18" x14ac:dyDescent="0.3">
      <c r="A105" s="7">
        <v>5002</v>
      </c>
      <c r="B105" t="s">
        <v>1313</v>
      </c>
      <c r="C105" s="7" t="s">
        <v>68</v>
      </c>
      <c r="D105" s="7" t="s">
        <v>53</v>
      </c>
      <c r="E105" s="7" t="s">
        <v>140</v>
      </c>
      <c r="F105" s="7" t="s">
        <v>1456</v>
      </c>
      <c r="G105" s="7" t="s">
        <v>175</v>
      </c>
      <c r="H105" t="s">
        <v>513</v>
      </c>
      <c r="I105" t="s">
        <v>1617</v>
      </c>
      <c r="J105" s="14">
        <v>43618</v>
      </c>
      <c r="K105" s="15" t="s">
        <v>1820</v>
      </c>
      <c r="L105" t="s">
        <v>2170</v>
      </c>
      <c r="M105" t="s">
        <v>1929</v>
      </c>
      <c r="N105">
        <v>2089.77</v>
      </c>
      <c r="O105" t="s">
        <v>1825</v>
      </c>
      <c r="P105" s="42">
        <v>0</v>
      </c>
      <c r="Q105" t="s">
        <v>51</v>
      </c>
      <c r="R105">
        <v>12</v>
      </c>
    </row>
    <row r="106" spans="1:18" x14ac:dyDescent="0.3">
      <c r="A106" s="7">
        <v>5259</v>
      </c>
      <c r="B106" t="s">
        <v>512</v>
      </c>
      <c r="C106" s="7" t="s">
        <v>68</v>
      </c>
      <c r="D106" s="7" t="s">
        <v>122</v>
      </c>
      <c r="E106" s="7" t="s">
        <v>69</v>
      </c>
      <c r="F106" s="7" t="s">
        <v>1457</v>
      </c>
      <c r="G106" s="7" t="s">
        <v>110</v>
      </c>
      <c r="H106" t="s">
        <v>516</v>
      </c>
      <c r="I106" t="s">
        <v>1619</v>
      </c>
      <c r="J106" s="14">
        <v>45405</v>
      </c>
      <c r="K106" s="15" t="s">
        <v>1820</v>
      </c>
      <c r="L106" t="s">
        <v>2170</v>
      </c>
      <c r="M106" t="s">
        <v>1930</v>
      </c>
      <c r="N106">
        <v>2212.5</v>
      </c>
      <c r="O106" t="s">
        <v>1825</v>
      </c>
      <c r="P106" s="42">
        <v>159128</v>
      </c>
      <c r="Q106" t="s">
        <v>95</v>
      </c>
      <c r="R106">
        <v>19</v>
      </c>
    </row>
    <row r="107" spans="1:18" x14ac:dyDescent="0.3">
      <c r="A107" s="7">
        <v>5207</v>
      </c>
      <c r="B107" t="s">
        <v>771</v>
      </c>
      <c r="C107" s="7" t="s">
        <v>61</v>
      </c>
      <c r="D107" s="7" t="s">
        <v>151</v>
      </c>
      <c r="E107" s="7" t="s">
        <v>54</v>
      </c>
      <c r="F107" s="7" t="s">
        <v>1458</v>
      </c>
      <c r="G107" s="7" t="s">
        <v>62</v>
      </c>
      <c r="H107" t="s">
        <v>521</v>
      </c>
      <c r="I107" t="s">
        <v>1678</v>
      </c>
      <c r="J107" s="14">
        <v>44132</v>
      </c>
      <c r="K107" s="15" t="s">
        <v>1820</v>
      </c>
      <c r="L107" t="s">
        <v>2170</v>
      </c>
      <c r="M107" t="s">
        <v>1931</v>
      </c>
      <c r="N107">
        <v>1181.6300000000001</v>
      </c>
      <c r="O107" t="s">
        <v>1825</v>
      </c>
      <c r="P107" s="42">
        <v>47296</v>
      </c>
      <c r="Q107" t="s">
        <v>127</v>
      </c>
      <c r="R107">
        <v>15</v>
      </c>
    </row>
    <row r="108" spans="1:18" x14ac:dyDescent="0.3">
      <c r="A108" s="7">
        <v>5231</v>
      </c>
      <c r="B108" t="s">
        <v>520</v>
      </c>
      <c r="C108" s="7" t="s">
        <v>68</v>
      </c>
      <c r="D108" s="7" t="s">
        <v>389</v>
      </c>
      <c r="E108" s="7" t="s">
        <v>91</v>
      </c>
      <c r="F108" s="7" t="s">
        <v>1455</v>
      </c>
      <c r="G108" s="7" t="s">
        <v>47</v>
      </c>
      <c r="H108" t="s">
        <v>1601</v>
      </c>
      <c r="I108" t="s">
        <v>1679</v>
      </c>
      <c r="J108" s="14">
        <v>44009</v>
      </c>
      <c r="K108" s="15" t="s">
        <v>1820</v>
      </c>
      <c r="L108" t="s">
        <v>2170</v>
      </c>
      <c r="M108" t="s">
        <v>1932</v>
      </c>
      <c r="N108">
        <v>2308.8200000000002</v>
      </c>
      <c r="O108" t="s">
        <v>1825</v>
      </c>
      <c r="P108" s="42">
        <v>110083</v>
      </c>
      <c r="Q108" t="s">
        <v>144</v>
      </c>
      <c r="R108">
        <v>17</v>
      </c>
    </row>
    <row r="109" spans="1:18" x14ac:dyDescent="0.3">
      <c r="A109" s="7">
        <v>5277</v>
      </c>
      <c r="B109" t="s">
        <v>524</v>
      </c>
      <c r="C109" s="7" t="s">
        <v>61</v>
      </c>
      <c r="D109" s="7" t="s">
        <v>53</v>
      </c>
      <c r="E109" s="7" t="s">
        <v>76</v>
      </c>
      <c r="F109" s="7" t="s">
        <v>1454</v>
      </c>
      <c r="G109" s="7" t="s">
        <v>70</v>
      </c>
      <c r="H109" t="s">
        <v>529</v>
      </c>
      <c r="I109" t="s">
        <v>1680</v>
      </c>
      <c r="J109" s="14">
        <v>45039</v>
      </c>
      <c r="K109" s="15" t="s">
        <v>114</v>
      </c>
      <c r="L109" t="s">
        <v>2170</v>
      </c>
      <c r="M109" t="s">
        <v>1933</v>
      </c>
      <c r="N109">
        <v>2356.6999999999998</v>
      </c>
      <c r="O109" t="s">
        <v>1825</v>
      </c>
      <c r="P109" s="42">
        <v>128998</v>
      </c>
      <c r="Q109" t="s">
        <v>89</v>
      </c>
      <c r="R109">
        <v>0</v>
      </c>
    </row>
    <row r="110" spans="1:18" x14ac:dyDescent="0.3">
      <c r="A110" s="7">
        <v>5041</v>
      </c>
      <c r="B110" t="s">
        <v>1518</v>
      </c>
      <c r="C110" s="7" t="s">
        <v>68</v>
      </c>
      <c r="D110" s="7" t="s">
        <v>219</v>
      </c>
      <c r="E110" s="7" t="s">
        <v>140</v>
      </c>
      <c r="F110" s="7" t="s">
        <v>1456</v>
      </c>
      <c r="G110" s="7" t="s">
        <v>175</v>
      </c>
      <c r="H110" t="s">
        <v>337</v>
      </c>
      <c r="I110" t="s">
        <v>1681</v>
      </c>
      <c r="J110" s="14">
        <v>43912</v>
      </c>
      <c r="K110" s="15" t="s">
        <v>1820</v>
      </c>
      <c r="L110" t="s">
        <v>2170</v>
      </c>
      <c r="M110" t="s">
        <v>1934</v>
      </c>
      <c r="N110">
        <v>899.7</v>
      </c>
      <c r="O110" t="s">
        <v>1825</v>
      </c>
      <c r="P110" s="42">
        <v>0</v>
      </c>
      <c r="Q110" t="s">
        <v>95</v>
      </c>
      <c r="R110">
        <v>25</v>
      </c>
    </row>
    <row r="111" spans="1:18" x14ac:dyDescent="0.3">
      <c r="A111" s="7">
        <v>5095</v>
      </c>
      <c r="B111" t="s">
        <v>336</v>
      </c>
      <c r="C111" s="7" t="s">
        <v>61</v>
      </c>
      <c r="D111" s="7" t="s">
        <v>53</v>
      </c>
      <c r="E111" s="7" t="s">
        <v>54</v>
      </c>
      <c r="F111" s="7" t="s">
        <v>1458</v>
      </c>
      <c r="G111" s="7" t="s">
        <v>55</v>
      </c>
      <c r="H111" t="s">
        <v>536</v>
      </c>
      <c r="I111" t="s">
        <v>1682</v>
      </c>
      <c r="J111" s="14">
        <v>43866</v>
      </c>
      <c r="K111" s="15" t="s">
        <v>114</v>
      </c>
      <c r="L111" t="s">
        <v>2170</v>
      </c>
      <c r="M111" t="s">
        <v>1935</v>
      </c>
      <c r="N111">
        <v>2483.46</v>
      </c>
      <c r="O111" t="s">
        <v>1825</v>
      </c>
      <c r="P111" s="42">
        <v>64236</v>
      </c>
      <c r="Q111" t="s">
        <v>89</v>
      </c>
      <c r="R111">
        <v>24</v>
      </c>
    </row>
    <row r="112" spans="1:18" x14ac:dyDescent="0.3">
      <c r="A112" s="7">
        <v>5324</v>
      </c>
      <c r="B112" t="s">
        <v>1519</v>
      </c>
      <c r="C112" s="7" t="s">
        <v>61</v>
      </c>
      <c r="D112" s="7" t="s">
        <v>122</v>
      </c>
      <c r="E112" s="7" t="s">
        <v>46</v>
      </c>
      <c r="F112" s="7" t="s">
        <v>1459</v>
      </c>
      <c r="G112" s="7" t="s">
        <v>55</v>
      </c>
      <c r="H112" t="s">
        <v>1606</v>
      </c>
      <c r="I112" t="s">
        <v>1683</v>
      </c>
      <c r="J112" s="14">
        <v>45323</v>
      </c>
      <c r="K112" s="15">
        <v>45838</v>
      </c>
      <c r="L112">
        <v>2025</v>
      </c>
      <c r="M112" t="s">
        <v>1936</v>
      </c>
      <c r="N112">
        <v>765.94</v>
      </c>
      <c r="O112" t="s">
        <v>1826</v>
      </c>
      <c r="P112" s="42">
        <v>70073</v>
      </c>
      <c r="Q112" t="s">
        <v>95</v>
      </c>
      <c r="R112">
        <v>11</v>
      </c>
    </row>
    <row r="113" spans="1:18" x14ac:dyDescent="0.3">
      <c r="A113" s="7">
        <v>5271</v>
      </c>
      <c r="B113" t="s">
        <v>540</v>
      </c>
      <c r="C113" s="7" t="s">
        <v>61</v>
      </c>
      <c r="D113" s="7" t="s">
        <v>219</v>
      </c>
      <c r="E113" s="7" t="s">
        <v>54</v>
      </c>
      <c r="F113" s="7" t="s">
        <v>1458</v>
      </c>
      <c r="G113" s="7" t="s">
        <v>85</v>
      </c>
      <c r="H113" t="s">
        <v>545</v>
      </c>
      <c r="I113" t="s">
        <v>546</v>
      </c>
      <c r="J113" s="14">
        <v>43738</v>
      </c>
      <c r="K113" s="15" t="s">
        <v>114</v>
      </c>
      <c r="L113" t="s">
        <v>2170</v>
      </c>
      <c r="M113" t="s">
        <v>1937</v>
      </c>
      <c r="N113">
        <v>1802.8400000000001</v>
      </c>
      <c r="O113" t="s">
        <v>1825</v>
      </c>
      <c r="P113" s="42">
        <v>112739</v>
      </c>
      <c r="Q113" t="s">
        <v>95</v>
      </c>
      <c r="R113">
        <v>8</v>
      </c>
    </row>
    <row r="114" spans="1:18" x14ac:dyDescent="0.3">
      <c r="A114" s="7">
        <v>5074</v>
      </c>
      <c r="B114" t="s">
        <v>1506</v>
      </c>
      <c r="C114" s="7" t="s">
        <v>68</v>
      </c>
      <c r="D114" s="7" t="s">
        <v>151</v>
      </c>
      <c r="E114" s="7" t="s">
        <v>91</v>
      </c>
      <c r="F114" s="7" t="s">
        <v>1455</v>
      </c>
      <c r="G114" s="7" t="s">
        <v>62</v>
      </c>
      <c r="H114" t="s">
        <v>550</v>
      </c>
      <c r="I114" t="s">
        <v>1684</v>
      </c>
      <c r="J114" s="14">
        <v>45071</v>
      </c>
      <c r="K114" s="15">
        <v>45838</v>
      </c>
      <c r="L114">
        <v>2025</v>
      </c>
      <c r="M114" t="s">
        <v>1938</v>
      </c>
      <c r="N114">
        <v>625.77</v>
      </c>
      <c r="O114" t="s">
        <v>1826</v>
      </c>
      <c r="P114" s="42">
        <v>133593</v>
      </c>
      <c r="Q114" t="s">
        <v>144</v>
      </c>
      <c r="R114">
        <v>16</v>
      </c>
    </row>
    <row r="115" spans="1:18" x14ac:dyDescent="0.3">
      <c r="A115" s="7">
        <v>5247</v>
      </c>
      <c r="B115" t="s">
        <v>1520</v>
      </c>
      <c r="C115" s="7" t="s">
        <v>68</v>
      </c>
      <c r="D115" s="7" t="s">
        <v>219</v>
      </c>
      <c r="E115" s="7" t="s">
        <v>46</v>
      </c>
      <c r="F115" s="7" t="s">
        <v>1459</v>
      </c>
      <c r="G115" s="7" t="s">
        <v>55</v>
      </c>
      <c r="H115" t="s">
        <v>554</v>
      </c>
      <c r="I115" t="s">
        <v>1685</v>
      </c>
      <c r="J115" s="14">
        <v>44419</v>
      </c>
      <c r="K115" s="15" t="s">
        <v>1820</v>
      </c>
      <c r="L115" t="s">
        <v>2170</v>
      </c>
      <c r="M115" t="s">
        <v>1939</v>
      </c>
      <c r="N115">
        <v>1188.07</v>
      </c>
      <c r="O115" t="s">
        <v>1825</v>
      </c>
      <c r="P115" s="42">
        <v>55491</v>
      </c>
      <c r="Q115" t="s">
        <v>51</v>
      </c>
      <c r="R115">
        <v>19</v>
      </c>
    </row>
    <row r="116" spans="1:18" x14ac:dyDescent="0.3">
      <c r="A116" s="7">
        <v>5276</v>
      </c>
      <c r="B116" t="s">
        <v>1475</v>
      </c>
      <c r="C116" s="7" t="s">
        <v>68</v>
      </c>
      <c r="D116" s="7" t="s">
        <v>122</v>
      </c>
      <c r="E116" s="7" t="s">
        <v>76</v>
      </c>
      <c r="F116" s="7" t="s">
        <v>1454</v>
      </c>
      <c r="G116" s="7" t="s">
        <v>47</v>
      </c>
      <c r="H116" t="s">
        <v>1601</v>
      </c>
      <c r="I116" t="s">
        <v>1686</v>
      </c>
      <c r="J116" s="14">
        <v>45212</v>
      </c>
      <c r="K116" s="15">
        <v>44374</v>
      </c>
      <c r="L116">
        <v>2021</v>
      </c>
      <c r="M116" t="s">
        <v>1940</v>
      </c>
      <c r="N116">
        <v>630.77</v>
      </c>
      <c r="O116" t="s">
        <v>1826</v>
      </c>
      <c r="P116" s="42">
        <v>141186</v>
      </c>
      <c r="Q116" t="s">
        <v>127</v>
      </c>
      <c r="R116">
        <v>20</v>
      </c>
    </row>
    <row r="117" spans="1:18" x14ac:dyDescent="0.3">
      <c r="A117" s="7">
        <v>5202</v>
      </c>
      <c r="B117" t="s">
        <v>1521</v>
      </c>
      <c r="C117" s="7" t="s">
        <v>68</v>
      </c>
      <c r="D117" s="7" t="s">
        <v>53</v>
      </c>
      <c r="E117" s="7" t="s">
        <v>46</v>
      </c>
      <c r="F117" s="7" t="s">
        <v>1459</v>
      </c>
      <c r="G117" s="7" t="s">
        <v>70</v>
      </c>
      <c r="H117" t="s">
        <v>1601</v>
      </c>
      <c r="I117" t="s">
        <v>561</v>
      </c>
      <c r="J117" s="14">
        <v>45033</v>
      </c>
      <c r="K117" s="15" t="s">
        <v>114</v>
      </c>
      <c r="L117" t="s">
        <v>2170</v>
      </c>
      <c r="M117" t="s">
        <v>1869</v>
      </c>
      <c r="N117">
        <v>1938.57</v>
      </c>
      <c r="O117" t="s">
        <v>1825</v>
      </c>
      <c r="P117" s="42">
        <v>0</v>
      </c>
      <c r="Q117" t="s">
        <v>1821</v>
      </c>
      <c r="R117">
        <v>4</v>
      </c>
    </row>
    <row r="118" spans="1:18" x14ac:dyDescent="0.3">
      <c r="A118" s="7">
        <v>5154</v>
      </c>
      <c r="B118" t="s">
        <v>228</v>
      </c>
      <c r="C118" s="7" t="s">
        <v>68</v>
      </c>
      <c r="D118" s="7" t="s">
        <v>219</v>
      </c>
      <c r="E118" s="7" t="s">
        <v>91</v>
      </c>
      <c r="F118" s="7" t="s">
        <v>1455</v>
      </c>
      <c r="G118" s="7" t="s">
        <v>110</v>
      </c>
      <c r="H118" t="s">
        <v>563</v>
      </c>
      <c r="I118" t="s">
        <v>1687</v>
      </c>
      <c r="J118" s="14">
        <v>43743</v>
      </c>
      <c r="K118" s="15" t="s">
        <v>1820</v>
      </c>
      <c r="L118" t="s">
        <v>2170</v>
      </c>
      <c r="M118" t="s">
        <v>1941</v>
      </c>
      <c r="N118">
        <v>836.82</v>
      </c>
      <c r="O118" t="s">
        <v>1825</v>
      </c>
      <c r="P118" s="42">
        <v>0</v>
      </c>
      <c r="Q118" t="s">
        <v>51</v>
      </c>
      <c r="R118">
        <v>11</v>
      </c>
    </row>
    <row r="119" spans="1:18" x14ac:dyDescent="0.3">
      <c r="A119" s="7">
        <v>5073</v>
      </c>
      <c r="B119" t="s">
        <v>1522</v>
      </c>
      <c r="C119" s="7" t="s">
        <v>68</v>
      </c>
      <c r="D119" s="7" t="s">
        <v>151</v>
      </c>
      <c r="E119" s="7" t="s">
        <v>54</v>
      </c>
      <c r="F119" s="7" t="s">
        <v>1458</v>
      </c>
      <c r="G119" s="7" t="s">
        <v>85</v>
      </c>
      <c r="H119" t="s">
        <v>513</v>
      </c>
      <c r="I119" t="s">
        <v>1688</v>
      </c>
      <c r="J119" s="14">
        <v>44282</v>
      </c>
      <c r="K119" s="15" t="s">
        <v>114</v>
      </c>
      <c r="L119" t="s">
        <v>2170</v>
      </c>
      <c r="M119" t="s">
        <v>1942</v>
      </c>
      <c r="N119">
        <v>2445.02</v>
      </c>
      <c r="O119" t="s">
        <v>1825</v>
      </c>
      <c r="P119" s="42">
        <v>109020</v>
      </c>
      <c r="Q119" t="s">
        <v>51</v>
      </c>
      <c r="R119">
        <v>0</v>
      </c>
    </row>
    <row r="120" spans="1:18" x14ac:dyDescent="0.3">
      <c r="A120" s="7">
        <v>5094</v>
      </c>
      <c r="B120" t="s">
        <v>512</v>
      </c>
      <c r="C120" s="7" t="s">
        <v>68</v>
      </c>
      <c r="D120" s="7" t="s">
        <v>122</v>
      </c>
      <c r="E120" s="7" t="s">
        <v>46</v>
      </c>
      <c r="F120" s="7" t="s">
        <v>1459</v>
      </c>
      <c r="G120" s="7" t="s">
        <v>85</v>
      </c>
      <c r="H120" t="s">
        <v>570</v>
      </c>
      <c r="I120" t="s">
        <v>1617</v>
      </c>
      <c r="J120" s="14">
        <v>45385</v>
      </c>
      <c r="K120" s="15" t="s">
        <v>114</v>
      </c>
      <c r="L120" t="s">
        <v>2170</v>
      </c>
      <c r="M120" t="s">
        <v>1943</v>
      </c>
      <c r="N120">
        <v>2362.6999999999998</v>
      </c>
      <c r="O120" t="s">
        <v>1825</v>
      </c>
      <c r="P120" s="42">
        <v>117753</v>
      </c>
      <c r="Q120" t="s">
        <v>51</v>
      </c>
      <c r="R120">
        <v>22</v>
      </c>
    </row>
    <row r="121" spans="1:18" x14ac:dyDescent="0.3">
      <c r="A121" s="7">
        <v>5151</v>
      </c>
      <c r="B121" t="s">
        <v>1523</v>
      </c>
      <c r="C121" s="7" t="s">
        <v>84</v>
      </c>
      <c r="D121" s="7" t="s">
        <v>219</v>
      </c>
      <c r="E121" s="7" t="s">
        <v>76</v>
      </c>
      <c r="F121" s="7" t="s">
        <v>1454</v>
      </c>
      <c r="G121" s="7" t="s">
        <v>62</v>
      </c>
      <c r="H121" t="s">
        <v>573</v>
      </c>
      <c r="I121" t="s">
        <v>1689</v>
      </c>
      <c r="J121" s="14">
        <v>43777</v>
      </c>
      <c r="K121" s="15">
        <v>45411</v>
      </c>
      <c r="L121">
        <v>2024</v>
      </c>
      <c r="M121" t="s">
        <v>1944</v>
      </c>
      <c r="N121">
        <v>646.21</v>
      </c>
      <c r="O121" t="s">
        <v>1826</v>
      </c>
      <c r="P121" s="42">
        <v>92967</v>
      </c>
      <c r="Q121" t="s">
        <v>144</v>
      </c>
      <c r="R121">
        <v>8</v>
      </c>
    </row>
    <row r="122" spans="1:18" x14ac:dyDescent="0.3">
      <c r="A122" s="7">
        <v>5042</v>
      </c>
      <c r="B122" t="s">
        <v>572</v>
      </c>
      <c r="C122" s="7" t="s">
        <v>61</v>
      </c>
      <c r="D122" s="7" t="s">
        <v>53</v>
      </c>
      <c r="E122" s="7" t="s">
        <v>91</v>
      </c>
      <c r="F122" s="7" t="s">
        <v>1455</v>
      </c>
      <c r="G122" s="7" t="s">
        <v>55</v>
      </c>
      <c r="H122" t="s">
        <v>578</v>
      </c>
      <c r="I122" t="s">
        <v>579</v>
      </c>
      <c r="J122" s="14">
        <v>43859</v>
      </c>
      <c r="K122" s="15">
        <v>45838</v>
      </c>
      <c r="L122">
        <v>2025</v>
      </c>
      <c r="M122" t="s">
        <v>1945</v>
      </c>
      <c r="N122">
        <v>1720.52</v>
      </c>
      <c r="O122" t="s">
        <v>1826</v>
      </c>
      <c r="P122" s="42">
        <v>73081</v>
      </c>
      <c r="Q122" t="s">
        <v>95</v>
      </c>
      <c r="R122">
        <v>20</v>
      </c>
    </row>
    <row r="123" spans="1:18" x14ac:dyDescent="0.3">
      <c r="A123" s="7">
        <v>5244</v>
      </c>
      <c r="B123" t="s">
        <v>577</v>
      </c>
      <c r="C123" s="7" t="s">
        <v>61</v>
      </c>
      <c r="D123" s="7" t="s">
        <v>53</v>
      </c>
      <c r="E123" s="7" t="s">
        <v>46</v>
      </c>
      <c r="F123" s="7" t="s">
        <v>1459</v>
      </c>
      <c r="G123" s="7" t="s">
        <v>70</v>
      </c>
      <c r="H123" t="s">
        <v>582</v>
      </c>
      <c r="I123" t="s">
        <v>1617</v>
      </c>
      <c r="J123" s="14">
        <v>44764</v>
      </c>
      <c r="K123" s="15" t="s">
        <v>1820</v>
      </c>
      <c r="L123" t="s">
        <v>2170</v>
      </c>
      <c r="M123" t="s">
        <v>1946</v>
      </c>
      <c r="N123">
        <v>2181.09</v>
      </c>
      <c r="O123" t="s">
        <v>1825</v>
      </c>
      <c r="P123" s="42">
        <v>0</v>
      </c>
      <c r="Q123" t="s">
        <v>144</v>
      </c>
      <c r="R123">
        <v>24</v>
      </c>
    </row>
    <row r="124" spans="1:18" x14ac:dyDescent="0.3">
      <c r="A124" s="7">
        <v>5139</v>
      </c>
      <c r="B124" t="s">
        <v>581</v>
      </c>
      <c r="C124" s="7" t="s">
        <v>84</v>
      </c>
      <c r="D124" s="7" t="s">
        <v>53</v>
      </c>
      <c r="E124" s="7" t="s">
        <v>54</v>
      </c>
      <c r="F124" s="7" t="s">
        <v>1458</v>
      </c>
      <c r="G124" s="7" t="s">
        <v>175</v>
      </c>
      <c r="H124" t="s">
        <v>586</v>
      </c>
      <c r="I124" t="s">
        <v>587</v>
      </c>
      <c r="J124" s="14">
        <v>44118</v>
      </c>
      <c r="K124" s="15" t="s">
        <v>1820</v>
      </c>
      <c r="L124" t="s">
        <v>2170</v>
      </c>
      <c r="M124" t="s">
        <v>1947</v>
      </c>
      <c r="N124">
        <v>2520.9</v>
      </c>
      <c r="O124" t="s">
        <v>1825</v>
      </c>
      <c r="P124" s="42">
        <v>176452</v>
      </c>
      <c r="Q124" t="s">
        <v>144</v>
      </c>
      <c r="R124" t="s">
        <v>1822</v>
      </c>
    </row>
    <row r="125" spans="1:18" x14ac:dyDescent="0.3">
      <c r="A125" s="7">
        <v>5128</v>
      </c>
      <c r="B125" t="s">
        <v>585</v>
      </c>
      <c r="C125" s="7" t="s">
        <v>84</v>
      </c>
      <c r="D125" s="7" t="s">
        <v>219</v>
      </c>
      <c r="E125" s="7" t="s">
        <v>54</v>
      </c>
      <c r="F125" s="7" t="s">
        <v>1458</v>
      </c>
      <c r="G125" s="7" t="s">
        <v>55</v>
      </c>
      <c r="H125" t="s">
        <v>591</v>
      </c>
      <c r="I125" t="s">
        <v>592</v>
      </c>
      <c r="J125" s="14">
        <v>44040</v>
      </c>
      <c r="K125" s="15" t="s">
        <v>126</v>
      </c>
      <c r="L125" t="s">
        <v>2170</v>
      </c>
      <c r="M125" t="s">
        <v>1948</v>
      </c>
      <c r="N125">
        <v>2208.5</v>
      </c>
      <c r="O125" t="s">
        <v>1825</v>
      </c>
      <c r="P125" s="42">
        <v>83764</v>
      </c>
      <c r="Q125" t="s">
        <v>89</v>
      </c>
      <c r="R125" t="s">
        <v>1822</v>
      </c>
    </row>
    <row r="126" spans="1:18" x14ac:dyDescent="0.3">
      <c r="A126" s="7">
        <v>5211</v>
      </c>
      <c r="B126" t="s">
        <v>1290</v>
      </c>
      <c r="C126" s="7" t="s">
        <v>68</v>
      </c>
      <c r="D126" s="7" t="s">
        <v>53</v>
      </c>
      <c r="E126" s="7" t="s">
        <v>54</v>
      </c>
      <c r="F126" s="7" t="s">
        <v>1458</v>
      </c>
      <c r="G126" s="7" t="s">
        <v>70</v>
      </c>
      <c r="H126" t="s">
        <v>1601</v>
      </c>
      <c r="I126" t="s">
        <v>1690</v>
      </c>
      <c r="J126" s="14">
        <v>43700</v>
      </c>
      <c r="K126" s="15" t="s">
        <v>114</v>
      </c>
      <c r="L126" t="s">
        <v>2170</v>
      </c>
      <c r="M126" t="s">
        <v>1949</v>
      </c>
      <c r="N126">
        <v>2020.89</v>
      </c>
      <c r="O126" t="s">
        <v>1825</v>
      </c>
      <c r="P126" s="42">
        <v>141476</v>
      </c>
      <c r="Q126" t="s">
        <v>144</v>
      </c>
      <c r="R126" t="s">
        <v>1822</v>
      </c>
    </row>
    <row r="127" spans="1:18" x14ac:dyDescent="0.3">
      <c r="A127" s="7">
        <v>5315</v>
      </c>
      <c r="B127" t="s">
        <v>577</v>
      </c>
      <c r="C127" s="7" t="s">
        <v>68</v>
      </c>
      <c r="D127" s="7" t="s">
        <v>219</v>
      </c>
      <c r="E127" s="7" t="s">
        <v>46</v>
      </c>
      <c r="F127" s="7" t="s">
        <v>1459</v>
      </c>
      <c r="G127" s="7" t="s">
        <v>77</v>
      </c>
      <c r="H127" t="s">
        <v>598</v>
      </c>
      <c r="I127" t="s">
        <v>1691</v>
      </c>
      <c r="J127" s="14">
        <v>44013</v>
      </c>
      <c r="K127" s="15" t="s">
        <v>1820</v>
      </c>
      <c r="L127" t="s">
        <v>2170</v>
      </c>
      <c r="M127" t="s">
        <v>1950</v>
      </c>
      <c r="N127">
        <v>2667.07</v>
      </c>
      <c r="O127" t="s">
        <v>1825</v>
      </c>
      <c r="P127" s="42">
        <v>121419</v>
      </c>
      <c r="Q127" t="s">
        <v>127</v>
      </c>
      <c r="R127">
        <v>8</v>
      </c>
    </row>
    <row r="128" spans="1:18" x14ac:dyDescent="0.3">
      <c r="A128" s="7">
        <v>5008</v>
      </c>
      <c r="B128" t="s">
        <v>1524</v>
      </c>
      <c r="C128" s="7" t="s">
        <v>61</v>
      </c>
      <c r="D128" s="7" t="s">
        <v>122</v>
      </c>
      <c r="E128" s="7" t="s">
        <v>54</v>
      </c>
      <c r="F128" s="7" t="s">
        <v>1458</v>
      </c>
      <c r="G128" s="7" t="s">
        <v>55</v>
      </c>
      <c r="H128" t="s">
        <v>602</v>
      </c>
      <c r="I128" t="s">
        <v>603</v>
      </c>
      <c r="J128" s="14">
        <v>44202</v>
      </c>
      <c r="K128" s="15" t="s">
        <v>1820</v>
      </c>
      <c r="L128" t="s">
        <v>2170</v>
      </c>
      <c r="M128" t="s">
        <v>1951</v>
      </c>
      <c r="N128">
        <v>1631.2</v>
      </c>
      <c r="O128" t="s">
        <v>1825</v>
      </c>
      <c r="P128" s="42">
        <v>123992</v>
      </c>
      <c r="Q128" t="s">
        <v>51</v>
      </c>
      <c r="R128">
        <v>22</v>
      </c>
    </row>
    <row r="129" spans="1:18" x14ac:dyDescent="0.3">
      <c r="A129" s="7">
        <v>5289</v>
      </c>
      <c r="B129" t="s">
        <v>1525</v>
      </c>
      <c r="C129" s="7" t="s">
        <v>68</v>
      </c>
      <c r="D129" s="7" t="s">
        <v>53</v>
      </c>
      <c r="E129" s="7" t="s">
        <v>46</v>
      </c>
      <c r="F129" s="7" t="s">
        <v>1459</v>
      </c>
      <c r="G129" s="7" t="s">
        <v>175</v>
      </c>
      <c r="H129" t="s">
        <v>606</v>
      </c>
      <c r="I129" t="s">
        <v>1692</v>
      </c>
      <c r="J129" s="14">
        <v>43553</v>
      </c>
      <c r="K129" s="15" t="s">
        <v>1820</v>
      </c>
      <c r="L129" t="s">
        <v>2170</v>
      </c>
      <c r="M129" t="s">
        <v>1952</v>
      </c>
      <c r="N129">
        <v>756.5</v>
      </c>
      <c r="O129" t="s">
        <v>1825</v>
      </c>
      <c r="P129" s="42">
        <v>74385</v>
      </c>
      <c r="Q129" t="s">
        <v>51</v>
      </c>
      <c r="R129" t="s">
        <v>1822</v>
      </c>
    </row>
    <row r="130" spans="1:18" x14ac:dyDescent="0.3">
      <c r="A130" s="7">
        <v>5107</v>
      </c>
      <c r="B130" t="s">
        <v>1526</v>
      </c>
      <c r="C130" s="7" t="s">
        <v>61</v>
      </c>
      <c r="D130" s="7" t="s">
        <v>122</v>
      </c>
      <c r="E130" s="7" t="s">
        <v>91</v>
      </c>
      <c r="F130" s="7" t="s">
        <v>1455</v>
      </c>
      <c r="G130" s="7" t="s">
        <v>110</v>
      </c>
      <c r="H130" t="s">
        <v>611</v>
      </c>
      <c r="I130" t="s">
        <v>1693</v>
      </c>
      <c r="J130" s="14">
        <v>44591</v>
      </c>
      <c r="K130" s="15" t="s">
        <v>1820</v>
      </c>
      <c r="L130" t="s">
        <v>2170</v>
      </c>
      <c r="M130" t="s">
        <v>1953</v>
      </c>
      <c r="N130">
        <v>1465</v>
      </c>
      <c r="O130" t="s">
        <v>1825</v>
      </c>
      <c r="P130" s="42">
        <v>153133</v>
      </c>
      <c r="Q130" t="s">
        <v>95</v>
      </c>
      <c r="R130" t="s">
        <v>1822</v>
      </c>
    </row>
    <row r="131" spans="1:18" x14ac:dyDescent="0.3">
      <c r="A131" s="7">
        <v>5275</v>
      </c>
      <c r="B131" t="s">
        <v>1527</v>
      </c>
      <c r="C131" s="7" t="s">
        <v>61</v>
      </c>
      <c r="D131" s="7" t="s">
        <v>53</v>
      </c>
      <c r="E131" s="7" t="s">
        <v>54</v>
      </c>
      <c r="F131" s="7" t="s">
        <v>1458</v>
      </c>
      <c r="G131" s="7" t="s">
        <v>175</v>
      </c>
      <c r="H131" t="s">
        <v>615</v>
      </c>
      <c r="I131" t="s">
        <v>1694</v>
      </c>
      <c r="J131" s="14">
        <v>45465</v>
      </c>
      <c r="K131" s="15" t="s">
        <v>1820</v>
      </c>
      <c r="L131" t="s">
        <v>2170</v>
      </c>
      <c r="M131" t="s">
        <v>1954</v>
      </c>
      <c r="N131">
        <v>1037.9000000000001</v>
      </c>
      <c r="O131" t="s">
        <v>1825</v>
      </c>
      <c r="P131" s="42">
        <v>58028</v>
      </c>
      <c r="Q131" t="s">
        <v>144</v>
      </c>
      <c r="R131">
        <v>4</v>
      </c>
    </row>
    <row r="132" spans="1:18" x14ac:dyDescent="0.3">
      <c r="A132" s="7">
        <v>5082</v>
      </c>
      <c r="B132" t="s">
        <v>1528</v>
      </c>
      <c r="C132" s="7" t="s">
        <v>61</v>
      </c>
      <c r="D132" s="7" t="s">
        <v>389</v>
      </c>
      <c r="E132" s="7" t="s">
        <v>91</v>
      </c>
      <c r="F132" s="7" t="s">
        <v>1455</v>
      </c>
      <c r="G132" s="7" t="s">
        <v>62</v>
      </c>
      <c r="H132" t="s">
        <v>224</v>
      </c>
      <c r="I132" t="s">
        <v>619</v>
      </c>
      <c r="J132" s="14">
        <v>44756</v>
      </c>
      <c r="K132" s="15" t="s">
        <v>114</v>
      </c>
      <c r="L132" t="s">
        <v>2170</v>
      </c>
      <c r="M132" t="s">
        <v>1955</v>
      </c>
      <c r="N132">
        <v>1134.19</v>
      </c>
      <c r="O132" t="s">
        <v>1825</v>
      </c>
      <c r="P132" s="42">
        <v>67188</v>
      </c>
      <c r="Q132" t="s">
        <v>144</v>
      </c>
      <c r="R132">
        <v>8</v>
      </c>
    </row>
    <row r="133" spans="1:18" x14ac:dyDescent="0.3">
      <c r="A133" s="7">
        <v>5093</v>
      </c>
      <c r="B133" t="s">
        <v>223</v>
      </c>
      <c r="C133" s="7" t="s">
        <v>68</v>
      </c>
      <c r="D133" s="7" t="s">
        <v>151</v>
      </c>
      <c r="E133" s="7" t="s">
        <v>54</v>
      </c>
      <c r="F133" s="7" t="s">
        <v>1458</v>
      </c>
      <c r="G133" s="7" t="s">
        <v>62</v>
      </c>
      <c r="H133" t="s">
        <v>623</v>
      </c>
      <c r="I133" t="s">
        <v>1695</v>
      </c>
      <c r="J133" s="14">
        <v>45184</v>
      </c>
      <c r="K133" s="15" t="s">
        <v>1820</v>
      </c>
      <c r="L133" t="s">
        <v>2170</v>
      </c>
      <c r="M133" t="s">
        <v>1956</v>
      </c>
      <c r="N133">
        <v>2070.77</v>
      </c>
      <c r="O133" t="s">
        <v>1825</v>
      </c>
      <c r="P133" s="42">
        <v>67044</v>
      </c>
      <c r="Q133" t="s">
        <v>95</v>
      </c>
      <c r="R133">
        <v>22</v>
      </c>
    </row>
    <row r="134" spans="1:18" x14ac:dyDescent="0.3">
      <c r="A134" s="7">
        <v>5336</v>
      </c>
      <c r="B134" t="s">
        <v>831</v>
      </c>
      <c r="C134" s="7" t="s">
        <v>68</v>
      </c>
      <c r="D134" s="7" t="s">
        <v>122</v>
      </c>
      <c r="E134" s="7" t="s">
        <v>140</v>
      </c>
      <c r="F134" s="7" t="s">
        <v>1456</v>
      </c>
      <c r="G134" s="7" t="s">
        <v>70</v>
      </c>
      <c r="H134" t="s">
        <v>1601</v>
      </c>
      <c r="I134" t="s">
        <v>1617</v>
      </c>
      <c r="J134" s="14">
        <v>45087</v>
      </c>
      <c r="K134" s="15" t="s">
        <v>1820</v>
      </c>
      <c r="L134" t="s">
        <v>2170</v>
      </c>
      <c r="M134" t="s">
        <v>1957</v>
      </c>
      <c r="N134">
        <v>1321.83</v>
      </c>
      <c r="O134" t="s">
        <v>1825</v>
      </c>
      <c r="P134" s="42">
        <v>73373</v>
      </c>
      <c r="Q134" t="s">
        <v>95</v>
      </c>
      <c r="R134">
        <v>17</v>
      </c>
    </row>
    <row r="135" spans="1:18" x14ac:dyDescent="0.3">
      <c r="A135" s="7">
        <v>5030</v>
      </c>
      <c r="B135" t="s">
        <v>1529</v>
      </c>
      <c r="C135" s="7" t="s">
        <v>61</v>
      </c>
      <c r="D135" s="7" t="s">
        <v>389</v>
      </c>
      <c r="E135" s="7" t="s">
        <v>76</v>
      </c>
      <c r="F135" s="7" t="s">
        <v>1454</v>
      </c>
      <c r="G135" s="7" t="s">
        <v>62</v>
      </c>
      <c r="H135" t="s">
        <v>1601</v>
      </c>
      <c r="I135" t="s">
        <v>1696</v>
      </c>
      <c r="J135" s="14">
        <v>44152</v>
      </c>
      <c r="K135" s="15" t="s">
        <v>126</v>
      </c>
      <c r="L135" t="s">
        <v>2170</v>
      </c>
      <c r="M135" t="s">
        <v>1958</v>
      </c>
      <c r="N135">
        <v>1484</v>
      </c>
      <c r="O135" t="s">
        <v>1825</v>
      </c>
      <c r="P135" s="42">
        <v>131561</v>
      </c>
      <c r="Q135" t="s">
        <v>95</v>
      </c>
      <c r="R135">
        <v>24</v>
      </c>
    </row>
    <row r="136" spans="1:18" x14ac:dyDescent="0.3">
      <c r="A136" s="7">
        <v>5196</v>
      </c>
      <c r="B136" t="s">
        <v>629</v>
      </c>
      <c r="C136" s="7" t="s">
        <v>68</v>
      </c>
      <c r="D136" s="7" t="s">
        <v>151</v>
      </c>
      <c r="E136" s="7" t="s">
        <v>91</v>
      </c>
      <c r="F136" s="7" t="s">
        <v>1455</v>
      </c>
      <c r="G136" s="7" t="s">
        <v>70</v>
      </c>
      <c r="H136" t="s">
        <v>1607</v>
      </c>
      <c r="I136" t="s">
        <v>1697</v>
      </c>
      <c r="J136" s="14">
        <v>44900</v>
      </c>
      <c r="K136" s="15">
        <v>45589</v>
      </c>
      <c r="L136">
        <v>2024</v>
      </c>
      <c r="M136" t="s">
        <v>1959</v>
      </c>
      <c r="N136">
        <v>1129.19</v>
      </c>
      <c r="O136" t="s">
        <v>1826</v>
      </c>
      <c r="P136" s="42">
        <v>112568</v>
      </c>
      <c r="Q136" t="s">
        <v>51</v>
      </c>
      <c r="R136">
        <v>4</v>
      </c>
    </row>
    <row r="137" spans="1:18" x14ac:dyDescent="0.3">
      <c r="A137" s="7">
        <v>5281</v>
      </c>
      <c r="B137" t="s">
        <v>1530</v>
      </c>
      <c r="C137" s="7" t="s">
        <v>68</v>
      </c>
      <c r="D137" s="7" t="s">
        <v>151</v>
      </c>
      <c r="E137" s="7" t="s">
        <v>140</v>
      </c>
      <c r="F137" s="7" t="s">
        <v>1456</v>
      </c>
      <c r="G137" s="7" t="s">
        <v>175</v>
      </c>
      <c r="H137" t="s">
        <v>237</v>
      </c>
      <c r="I137" t="s">
        <v>1619</v>
      </c>
      <c r="J137" s="14">
        <v>44737</v>
      </c>
      <c r="K137" s="15" t="s">
        <v>114</v>
      </c>
      <c r="L137" t="s">
        <v>2170</v>
      </c>
      <c r="M137" t="s">
        <v>1960</v>
      </c>
      <c r="N137">
        <v>1828.25</v>
      </c>
      <c r="O137" t="s">
        <v>1825</v>
      </c>
      <c r="P137" s="42">
        <v>132811</v>
      </c>
      <c r="Q137" t="s">
        <v>1821</v>
      </c>
      <c r="R137">
        <v>8</v>
      </c>
    </row>
    <row r="138" spans="1:18" x14ac:dyDescent="0.3">
      <c r="A138" s="7">
        <v>5318</v>
      </c>
      <c r="B138" t="s">
        <v>236</v>
      </c>
      <c r="C138" s="7" t="s">
        <v>61</v>
      </c>
      <c r="D138" s="7" t="s">
        <v>53</v>
      </c>
      <c r="E138" s="7" t="s">
        <v>76</v>
      </c>
      <c r="F138" s="7" t="s">
        <v>1454</v>
      </c>
      <c r="G138" s="7" t="s">
        <v>77</v>
      </c>
      <c r="H138" t="s">
        <v>156</v>
      </c>
      <c r="I138" t="s">
        <v>1698</v>
      </c>
      <c r="J138" s="14">
        <v>44460</v>
      </c>
      <c r="K138" s="15" t="s">
        <v>126</v>
      </c>
      <c r="L138" t="s">
        <v>2170</v>
      </c>
      <c r="M138" t="s">
        <v>1961</v>
      </c>
      <c r="N138">
        <v>806.38</v>
      </c>
      <c r="O138" t="s">
        <v>1825</v>
      </c>
      <c r="P138" s="42">
        <v>47111</v>
      </c>
      <c r="Q138" t="s">
        <v>144</v>
      </c>
      <c r="R138">
        <v>18</v>
      </c>
    </row>
    <row r="139" spans="1:18" x14ac:dyDescent="0.3">
      <c r="A139" s="7">
        <v>5308</v>
      </c>
      <c r="B139" t="s">
        <v>155</v>
      </c>
      <c r="C139" s="7" t="s">
        <v>68</v>
      </c>
      <c r="D139" s="7" t="s">
        <v>53</v>
      </c>
      <c r="E139" s="7" t="s">
        <v>76</v>
      </c>
      <c r="F139" s="7" t="s">
        <v>1454</v>
      </c>
      <c r="G139" s="7" t="s">
        <v>70</v>
      </c>
      <c r="H139" t="s">
        <v>545</v>
      </c>
      <c r="I139" t="s">
        <v>1699</v>
      </c>
      <c r="J139" s="14">
        <v>44393</v>
      </c>
      <c r="K139" s="15" t="s">
        <v>1820</v>
      </c>
      <c r="L139" t="s">
        <v>2170</v>
      </c>
      <c r="M139" t="s">
        <v>1962</v>
      </c>
      <c r="N139">
        <v>1660.64</v>
      </c>
      <c r="O139" t="s">
        <v>1825</v>
      </c>
      <c r="P139" s="42">
        <v>48692</v>
      </c>
      <c r="Q139" t="s">
        <v>95</v>
      </c>
      <c r="R139" t="s">
        <v>1822</v>
      </c>
    </row>
    <row r="140" spans="1:18" x14ac:dyDescent="0.3">
      <c r="A140" s="7">
        <v>5334</v>
      </c>
      <c r="B140" t="s">
        <v>1506</v>
      </c>
      <c r="C140" s="7" t="s">
        <v>84</v>
      </c>
      <c r="D140" s="7" t="s">
        <v>219</v>
      </c>
      <c r="E140" s="7" t="s">
        <v>54</v>
      </c>
      <c r="F140" s="7" t="s">
        <v>1458</v>
      </c>
      <c r="G140" s="7" t="s">
        <v>110</v>
      </c>
      <c r="H140" t="s">
        <v>647</v>
      </c>
      <c r="I140" t="s">
        <v>1700</v>
      </c>
      <c r="J140" s="14">
        <v>45415</v>
      </c>
      <c r="K140" s="15" t="s">
        <v>126</v>
      </c>
      <c r="L140" t="s">
        <v>2170</v>
      </c>
      <c r="M140" t="s">
        <v>1963</v>
      </c>
      <c r="N140">
        <v>1384.71</v>
      </c>
      <c r="O140" t="s">
        <v>1825</v>
      </c>
      <c r="P140" s="42">
        <v>161021</v>
      </c>
      <c r="Q140" t="s">
        <v>127</v>
      </c>
      <c r="R140">
        <v>9</v>
      </c>
    </row>
    <row r="141" spans="1:18" x14ac:dyDescent="0.3">
      <c r="A141" s="7">
        <v>5103</v>
      </c>
      <c r="B141" t="s">
        <v>646</v>
      </c>
      <c r="C141" s="7" t="s">
        <v>61</v>
      </c>
      <c r="D141" s="7" t="s">
        <v>219</v>
      </c>
      <c r="E141" s="7" t="s">
        <v>54</v>
      </c>
      <c r="F141" s="7" t="s">
        <v>1458</v>
      </c>
      <c r="G141" s="7" t="s">
        <v>55</v>
      </c>
      <c r="H141" t="s">
        <v>651</v>
      </c>
      <c r="I141" t="s">
        <v>1701</v>
      </c>
      <c r="J141" s="14">
        <v>44561</v>
      </c>
      <c r="K141" s="15" t="s">
        <v>1820</v>
      </c>
      <c r="L141" t="s">
        <v>2170</v>
      </c>
      <c r="M141" t="s">
        <v>1964</v>
      </c>
      <c r="N141">
        <v>1082.3400000000001</v>
      </c>
      <c r="O141" t="s">
        <v>1825</v>
      </c>
      <c r="P141" s="42">
        <v>56991</v>
      </c>
      <c r="Q141" t="s">
        <v>127</v>
      </c>
      <c r="R141">
        <v>13</v>
      </c>
    </row>
    <row r="142" spans="1:18" x14ac:dyDescent="0.3">
      <c r="A142" s="7">
        <v>5018</v>
      </c>
      <c r="B142" t="s">
        <v>650</v>
      </c>
      <c r="C142" s="7" t="s">
        <v>68</v>
      </c>
      <c r="D142" s="7" t="s">
        <v>53</v>
      </c>
      <c r="E142" s="7" t="s">
        <v>46</v>
      </c>
      <c r="F142" s="7" t="s">
        <v>1459</v>
      </c>
      <c r="G142" s="7" t="s">
        <v>62</v>
      </c>
      <c r="H142" t="s">
        <v>656</v>
      </c>
      <c r="I142" t="s">
        <v>657</v>
      </c>
      <c r="J142" s="14">
        <v>44837</v>
      </c>
      <c r="K142" s="15">
        <v>45672</v>
      </c>
      <c r="L142">
        <v>2025</v>
      </c>
      <c r="M142" t="s">
        <v>1965</v>
      </c>
      <c r="N142">
        <v>563.89</v>
      </c>
      <c r="O142" t="s">
        <v>1826</v>
      </c>
      <c r="P142" s="42">
        <v>133211</v>
      </c>
      <c r="Q142" t="s">
        <v>95</v>
      </c>
      <c r="R142">
        <v>18</v>
      </c>
    </row>
    <row r="143" spans="1:18" x14ac:dyDescent="0.3">
      <c r="A143" s="7">
        <v>5212</v>
      </c>
      <c r="B143" t="s">
        <v>655</v>
      </c>
      <c r="C143" s="7" t="s">
        <v>68</v>
      </c>
      <c r="D143" s="7" t="s">
        <v>389</v>
      </c>
      <c r="E143" s="7" t="s">
        <v>46</v>
      </c>
      <c r="F143" s="7" t="s">
        <v>1459</v>
      </c>
      <c r="G143" s="7" t="s">
        <v>110</v>
      </c>
      <c r="H143" t="s">
        <v>660</v>
      </c>
      <c r="I143" t="s">
        <v>1702</v>
      </c>
      <c r="J143" s="14">
        <v>45138</v>
      </c>
      <c r="K143" s="15">
        <v>43957</v>
      </c>
      <c r="L143">
        <v>2020</v>
      </c>
      <c r="M143" t="s">
        <v>1966</v>
      </c>
      <c r="N143">
        <v>618.77</v>
      </c>
      <c r="O143" t="s">
        <v>1826</v>
      </c>
      <c r="P143" s="42">
        <v>158245</v>
      </c>
      <c r="Q143" t="s">
        <v>127</v>
      </c>
      <c r="R143">
        <v>11</v>
      </c>
    </row>
    <row r="144" spans="1:18" x14ac:dyDescent="0.3">
      <c r="A144" s="7">
        <v>5295</v>
      </c>
      <c r="B144" t="s">
        <v>659</v>
      </c>
      <c r="C144" s="7" t="s">
        <v>61</v>
      </c>
      <c r="D144" s="7" t="s">
        <v>53</v>
      </c>
      <c r="E144" s="7" t="s">
        <v>54</v>
      </c>
      <c r="F144" s="7" t="s">
        <v>1458</v>
      </c>
      <c r="G144" s="7" t="s">
        <v>70</v>
      </c>
      <c r="H144" t="s">
        <v>504</v>
      </c>
      <c r="I144" t="s">
        <v>1703</v>
      </c>
      <c r="J144" s="14">
        <v>45107</v>
      </c>
      <c r="K144" s="15" t="s">
        <v>126</v>
      </c>
      <c r="L144" t="s">
        <v>2170</v>
      </c>
      <c r="M144" t="s">
        <v>1967</v>
      </c>
      <c r="N144">
        <v>825.82</v>
      </c>
      <c r="O144" t="s">
        <v>1825</v>
      </c>
      <c r="P144" s="42">
        <v>165088</v>
      </c>
      <c r="Q144" t="s">
        <v>89</v>
      </c>
      <c r="R144">
        <v>19</v>
      </c>
    </row>
    <row r="145" spans="1:18" x14ac:dyDescent="0.3">
      <c r="A145" s="7">
        <v>5343</v>
      </c>
      <c r="B145" t="s">
        <v>1517</v>
      </c>
      <c r="C145" s="7" t="s">
        <v>68</v>
      </c>
      <c r="D145" s="7" t="s">
        <v>151</v>
      </c>
      <c r="E145" s="7" t="s">
        <v>140</v>
      </c>
      <c r="F145" s="7" t="s">
        <v>1456</v>
      </c>
      <c r="G145" s="7" t="s">
        <v>70</v>
      </c>
      <c r="H145" t="s">
        <v>669</v>
      </c>
      <c r="I145" t="s">
        <v>670</v>
      </c>
      <c r="J145" s="14">
        <v>43338</v>
      </c>
      <c r="K145" s="15" t="s">
        <v>1820</v>
      </c>
      <c r="L145" t="s">
        <v>2170</v>
      </c>
      <c r="M145" t="s">
        <v>1968</v>
      </c>
      <c r="N145">
        <v>1077.3400000000001</v>
      </c>
      <c r="O145" t="s">
        <v>1825</v>
      </c>
      <c r="P145" s="42">
        <v>57530</v>
      </c>
      <c r="Q145" t="s">
        <v>144</v>
      </c>
      <c r="R145">
        <v>1</v>
      </c>
    </row>
    <row r="146" spans="1:18" x14ac:dyDescent="0.3">
      <c r="A146" s="7">
        <v>5001</v>
      </c>
      <c r="B146" t="s">
        <v>1531</v>
      </c>
      <c r="C146" s="7" t="s">
        <v>61</v>
      </c>
      <c r="D146" s="7" t="s">
        <v>53</v>
      </c>
      <c r="E146" s="7" t="s">
        <v>54</v>
      </c>
      <c r="F146" s="7" t="s">
        <v>1458</v>
      </c>
      <c r="G146" s="7" t="s">
        <v>47</v>
      </c>
      <c r="H146" t="s">
        <v>346</v>
      </c>
      <c r="I146" t="s">
        <v>1704</v>
      </c>
      <c r="J146" s="14">
        <v>45396</v>
      </c>
      <c r="K146" s="15" t="s">
        <v>114</v>
      </c>
      <c r="L146" t="s">
        <v>2170</v>
      </c>
      <c r="M146" t="s">
        <v>1969</v>
      </c>
      <c r="N146">
        <v>2471.46</v>
      </c>
      <c r="O146" t="s">
        <v>1825</v>
      </c>
      <c r="P146" s="42">
        <v>77535</v>
      </c>
      <c r="Q146" t="s">
        <v>95</v>
      </c>
      <c r="R146">
        <v>10</v>
      </c>
    </row>
    <row r="147" spans="1:18" x14ac:dyDescent="0.3">
      <c r="A147" s="7">
        <v>5294</v>
      </c>
      <c r="B147" t="s">
        <v>1497</v>
      </c>
      <c r="C147" s="7" t="s">
        <v>68</v>
      </c>
      <c r="D147" s="7" t="s">
        <v>151</v>
      </c>
      <c r="E147" s="7" t="s">
        <v>76</v>
      </c>
      <c r="F147" s="7" t="s">
        <v>1454</v>
      </c>
      <c r="G147" s="7" t="s">
        <v>110</v>
      </c>
      <c r="H147" t="s">
        <v>679</v>
      </c>
      <c r="I147" t="s">
        <v>1705</v>
      </c>
      <c r="J147" s="14">
        <v>45144</v>
      </c>
      <c r="K147" s="15" t="s">
        <v>114</v>
      </c>
      <c r="L147" t="s">
        <v>2170</v>
      </c>
      <c r="M147" t="s">
        <v>1970</v>
      </c>
      <c r="N147">
        <v>1007.46</v>
      </c>
      <c r="O147" t="s">
        <v>1825</v>
      </c>
      <c r="P147" s="42">
        <v>130548</v>
      </c>
      <c r="Q147" t="s">
        <v>1821</v>
      </c>
      <c r="R147">
        <v>1</v>
      </c>
    </row>
    <row r="148" spans="1:18" x14ac:dyDescent="0.3">
      <c r="A148" s="7">
        <v>5166</v>
      </c>
      <c r="B148" t="s">
        <v>678</v>
      </c>
      <c r="C148" s="7" t="s">
        <v>84</v>
      </c>
      <c r="D148" s="7" t="s">
        <v>122</v>
      </c>
      <c r="E148" s="7" t="s">
        <v>54</v>
      </c>
      <c r="F148" s="7" t="s">
        <v>1458</v>
      </c>
      <c r="G148" s="7" t="s">
        <v>62</v>
      </c>
      <c r="H148" t="s">
        <v>684</v>
      </c>
      <c r="I148" t="s">
        <v>1706</v>
      </c>
      <c r="J148" s="14">
        <v>43750</v>
      </c>
      <c r="K148" s="15" t="s">
        <v>126</v>
      </c>
      <c r="L148" t="s">
        <v>2170</v>
      </c>
      <c r="M148" t="s">
        <v>1971</v>
      </c>
      <c r="N148">
        <v>2646.63</v>
      </c>
      <c r="O148" t="s">
        <v>1825</v>
      </c>
      <c r="P148" s="42">
        <v>107118</v>
      </c>
      <c r="Q148" t="s">
        <v>1821</v>
      </c>
      <c r="R148">
        <v>1</v>
      </c>
    </row>
    <row r="149" spans="1:18" x14ac:dyDescent="0.3">
      <c r="A149" s="7">
        <v>5195</v>
      </c>
      <c r="B149" t="s">
        <v>1532</v>
      </c>
      <c r="C149" s="7" t="s">
        <v>68</v>
      </c>
      <c r="D149" s="7" t="s">
        <v>133</v>
      </c>
      <c r="E149" s="7" t="s">
        <v>76</v>
      </c>
      <c r="F149" s="7" t="s">
        <v>1454</v>
      </c>
      <c r="G149" s="7" t="s">
        <v>47</v>
      </c>
      <c r="H149" t="s">
        <v>255</v>
      </c>
      <c r="I149" t="s">
        <v>687</v>
      </c>
      <c r="J149" s="14">
        <v>45214</v>
      </c>
      <c r="K149" s="15" t="s">
        <v>1820</v>
      </c>
      <c r="L149" t="s">
        <v>2170</v>
      </c>
      <c r="M149" t="s">
        <v>1972</v>
      </c>
      <c r="N149">
        <v>2481.46</v>
      </c>
      <c r="O149" t="s">
        <v>1825</v>
      </c>
      <c r="P149" s="42">
        <v>116959</v>
      </c>
      <c r="Q149" t="s">
        <v>1821</v>
      </c>
      <c r="R149">
        <v>15</v>
      </c>
    </row>
    <row r="150" spans="1:18" x14ac:dyDescent="0.3">
      <c r="A150" s="7">
        <v>5044</v>
      </c>
      <c r="B150" t="s">
        <v>254</v>
      </c>
      <c r="C150" s="7" t="s">
        <v>68</v>
      </c>
      <c r="D150" s="7" t="s">
        <v>219</v>
      </c>
      <c r="E150" s="7" t="s">
        <v>91</v>
      </c>
      <c r="F150" s="7" t="s">
        <v>1455</v>
      </c>
      <c r="G150" s="7" t="s">
        <v>175</v>
      </c>
      <c r="H150" t="s">
        <v>401</v>
      </c>
      <c r="I150" t="s">
        <v>1707</v>
      </c>
      <c r="J150" s="14">
        <v>43574</v>
      </c>
      <c r="K150" s="15" t="s">
        <v>1820</v>
      </c>
      <c r="L150" t="s">
        <v>2170</v>
      </c>
      <c r="M150" t="s">
        <v>1973</v>
      </c>
      <c r="N150">
        <v>1632.2</v>
      </c>
      <c r="O150" t="s">
        <v>1825</v>
      </c>
      <c r="P150" s="42">
        <v>65001</v>
      </c>
      <c r="Q150" t="s">
        <v>51</v>
      </c>
      <c r="R150" t="s">
        <v>1822</v>
      </c>
    </row>
    <row r="151" spans="1:18" x14ac:dyDescent="0.3">
      <c r="A151" s="7">
        <v>5346</v>
      </c>
      <c r="B151" t="s">
        <v>400</v>
      </c>
      <c r="C151" s="7" t="s">
        <v>61</v>
      </c>
      <c r="D151" s="7" t="s">
        <v>219</v>
      </c>
      <c r="E151" s="7" t="s">
        <v>69</v>
      </c>
      <c r="F151" s="7" t="s">
        <v>1457</v>
      </c>
      <c r="G151" s="7" t="s">
        <v>47</v>
      </c>
      <c r="H151" t="s">
        <v>694</v>
      </c>
      <c r="I151" t="s">
        <v>695</v>
      </c>
      <c r="J151" s="14">
        <v>43740</v>
      </c>
      <c r="K151" s="15" t="s">
        <v>1820</v>
      </c>
      <c r="L151" t="s">
        <v>2170</v>
      </c>
      <c r="M151" t="s">
        <v>1974</v>
      </c>
      <c r="N151">
        <v>2364.6999999999998</v>
      </c>
      <c r="O151" t="s">
        <v>1825</v>
      </c>
      <c r="P151" s="42">
        <v>108543</v>
      </c>
      <c r="Q151" t="s">
        <v>89</v>
      </c>
      <c r="R151" t="s">
        <v>1822</v>
      </c>
    </row>
    <row r="152" spans="1:18" x14ac:dyDescent="0.3">
      <c r="A152" s="7">
        <v>5070</v>
      </c>
      <c r="B152" t="s">
        <v>1533</v>
      </c>
      <c r="C152" s="7" t="s">
        <v>61</v>
      </c>
      <c r="D152" s="7" t="s">
        <v>151</v>
      </c>
      <c r="E152" s="7" t="s">
        <v>46</v>
      </c>
      <c r="F152" s="7" t="s">
        <v>1459</v>
      </c>
      <c r="G152" s="7" t="s">
        <v>70</v>
      </c>
      <c r="H152" t="s">
        <v>698</v>
      </c>
      <c r="I152" t="s">
        <v>1708</v>
      </c>
      <c r="J152" s="14">
        <v>44590</v>
      </c>
      <c r="K152" s="15" t="s">
        <v>126</v>
      </c>
      <c r="L152" t="s">
        <v>2170</v>
      </c>
      <c r="M152" t="s">
        <v>1975</v>
      </c>
      <c r="N152">
        <v>1096.75</v>
      </c>
      <c r="O152" t="s">
        <v>1825</v>
      </c>
      <c r="P152" s="42">
        <v>66209</v>
      </c>
      <c r="Q152" t="s">
        <v>51</v>
      </c>
      <c r="R152">
        <v>0</v>
      </c>
    </row>
    <row r="153" spans="1:18" x14ac:dyDescent="0.3">
      <c r="A153" s="7">
        <v>5142</v>
      </c>
      <c r="B153" t="s">
        <v>697</v>
      </c>
      <c r="C153" s="7" t="s">
        <v>84</v>
      </c>
      <c r="D153" s="7" t="s">
        <v>389</v>
      </c>
      <c r="E153" s="7" t="s">
        <v>46</v>
      </c>
      <c r="F153" s="7" t="s">
        <v>1459</v>
      </c>
      <c r="G153" s="7" t="s">
        <v>47</v>
      </c>
      <c r="H153" t="s">
        <v>703</v>
      </c>
      <c r="I153" t="s">
        <v>1619</v>
      </c>
      <c r="J153" s="14">
        <v>43857</v>
      </c>
      <c r="K153" s="15" t="s">
        <v>1820</v>
      </c>
      <c r="L153" t="s">
        <v>2170</v>
      </c>
      <c r="M153" t="s">
        <v>1976</v>
      </c>
      <c r="N153">
        <v>1746.96</v>
      </c>
      <c r="O153" t="s">
        <v>1825</v>
      </c>
      <c r="P153" s="42">
        <v>147898</v>
      </c>
      <c r="Q153" t="s">
        <v>89</v>
      </c>
      <c r="R153">
        <v>10</v>
      </c>
    </row>
    <row r="154" spans="1:18" x14ac:dyDescent="0.3">
      <c r="A154" s="7">
        <v>5064</v>
      </c>
      <c r="B154" t="s">
        <v>702</v>
      </c>
      <c r="C154" s="7" t="s">
        <v>61</v>
      </c>
      <c r="D154" s="7" t="s">
        <v>219</v>
      </c>
      <c r="E154" s="7" t="s">
        <v>76</v>
      </c>
      <c r="F154" s="7" t="s">
        <v>1454</v>
      </c>
      <c r="G154" s="7" t="s">
        <v>47</v>
      </c>
      <c r="H154" t="s">
        <v>1601</v>
      </c>
      <c r="I154" t="s">
        <v>1617</v>
      </c>
      <c r="J154" s="14">
        <v>45124</v>
      </c>
      <c r="K154" s="15" t="s">
        <v>114</v>
      </c>
      <c r="L154" t="s">
        <v>2170</v>
      </c>
      <c r="M154" t="s">
        <v>1977</v>
      </c>
      <c r="N154">
        <v>1650.64</v>
      </c>
      <c r="O154" t="s">
        <v>1825</v>
      </c>
      <c r="P154" s="42">
        <v>85338</v>
      </c>
      <c r="Q154" t="s">
        <v>144</v>
      </c>
      <c r="R154">
        <v>1</v>
      </c>
    </row>
    <row r="155" spans="1:18" x14ac:dyDescent="0.3">
      <c r="A155" s="7">
        <v>5157</v>
      </c>
      <c r="B155" t="s">
        <v>1534</v>
      </c>
      <c r="C155" s="7" t="s">
        <v>61</v>
      </c>
      <c r="D155" s="7" t="s">
        <v>53</v>
      </c>
      <c r="E155" s="7" t="s">
        <v>140</v>
      </c>
      <c r="F155" s="7" t="s">
        <v>1456</v>
      </c>
      <c r="G155" s="7" t="s">
        <v>55</v>
      </c>
      <c r="H155" t="s">
        <v>709</v>
      </c>
      <c r="I155" t="s">
        <v>710</v>
      </c>
      <c r="J155" s="14">
        <v>44475</v>
      </c>
      <c r="K155" s="15" t="s">
        <v>1820</v>
      </c>
      <c r="L155" t="s">
        <v>2170</v>
      </c>
      <c r="M155" t="s">
        <v>1978</v>
      </c>
      <c r="N155">
        <v>2502.9</v>
      </c>
      <c r="O155" t="s">
        <v>1825</v>
      </c>
      <c r="P155" s="42">
        <v>47831</v>
      </c>
      <c r="Q155" t="s">
        <v>95</v>
      </c>
      <c r="R155">
        <v>21</v>
      </c>
    </row>
    <row r="156" spans="1:18" x14ac:dyDescent="0.3">
      <c r="A156" s="7">
        <v>5204</v>
      </c>
      <c r="B156" t="s">
        <v>708</v>
      </c>
      <c r="C156" s="7" t="s">
        <v>68</v>
      </c>
      <c r="D156" s="7" t="s">
        <v>219</v>
      </c>
      <c r="E156" s="7" t="s">
        <v>46</v>
      </c>
      <c r="F156" s="7" t="s">
        <v>1459</v>
      </c>
      <c r="G156" s="7" t="s">
        <v>55</v>
      </c>
      <c r="H156" t="s">
        <v>224</v>
      </c>
      <c r="I156" t="s">
        <v>1709</v>
      </c>
      <c r="J156" s="14">
        <v>44572</v>
      </c>
      <c r="K156" s="15" t="s">
        <v>114</v>
      </c>
      <c r="L156" t="s">
        <v>2170</v>
      </c>
      <c r="M156" t="s">
        <v>1979</v>
      </c>
      <c r="N156">
        <v>2570.75</v>
      </c>
      <c r="O156" t="s">
        <v>1825</v>
      </c>
      <c r="P156" s="42">
        <v>67020</v>
      </c>
      <c r="Q156" t="s">
        <v>95</v>
      </c>
      <c r="R156">
        <v>7</v>
      </c>
    </row>
    <row r="157" spans="1:18" x14ac:dyDescent="0.3">
      <c r="A157" s="7">
        <v>5312</v>
      </c>
      <c r="B157" t="s">
        <v>223</v>
      </c>
      <c r="C157" s="7" t="s">
        <v>61</v>
      </c>
      <c r="D157" s="7" t="s">
        <v>133</v>
      </c>
      <c r="E157" s="7" t="s">
        <v>54</v>
      </c>
      <c r="F157" s="7" t="s">
        <v>1458</v>
      </c>
      <c r="G157" s="7" t="s">
        <v>47</v>
      </c>
      <c r="H157" t="s">
        <v>717</v>
      </c>
      <c r="I157" t="s">
        <v>1710</v>
      </c>
      <c r="J157" s="14">
        <v>43719</v>
      </c>
      <c r="K157" s="15" t="s">
        <v>126</v>
      </c>
      <c r="L157" t="s">
        <v>2170</v>
      </c>
      <c r="M157" t="s">
        <v>1980</v>
      </c>
      <c r="N157">
        <v>2359.6999999999998</v>
      </c>
      <c r="O157" t="s">
        <v>1825</v>
      </c>
      <c r="P157" s="42">
        <v>96167</v>
      </c>
      <c r="Q157" t="s">
        <v>51</v>
      </c>
      <c r="R157">
        <v>17</v>
      </c>
    </row>
    <row r="158" spans="1:18" x14ac:dyDescent="0.3">
      <c r="A158" s="7">
        <v>5005</v>
      </c>
      <c r="B158" t="s">
        <v>716</v>
      </c>
      <c r="C158" s="7" t="s">
        <v>68</v>
      </c>
      <c r="D158" s="7" t="s">
        <v>389</v>
      </c>
      <c r="E158" s="7" t="s">
        <v>46</v>
      </c>
      <c r="F158" s="7" t="s">
        <v>1459</v>
      </c>
      <c r="G158" s="7" t="s">
        <v>110</v>
      </c>
      <c r="H158" t="s">
        <v>721</v>
      </c>
      <c r="I158" t="s">
        <v>1711</v>
      </c>
      <c r="J158" s="14">
        <v>43650</v>
      </c>
      <c r="K158" s="15">
        <v>45195</v>
      </c>
      <c r="L158">
        <v>2023</v>
      </c>
      <c r="M158" t="s">
        <v>1884</v>
      </c>
      <c r="N158">
        <v>1073.3400000000001</v>
      </c>
      <c r="O158" t="s">
        <v>1826</v>
      </c>
      <c r="P158" s="42">
        <v>88723</v>
      </c>
      <c r="Q158" t="s">
        <v>89</v>
      </c>
      <c r="R158">
        <v>7</v>
      </c>
    </row>
    <row r="159" spans="1:18" x14ac:dyDescent="0.3">
      <c r="A159" s="7">
        <v>5115</v>
      </c>
      <c r="B159" t="s">
        <v>1535</v>
      </c>
      <c r="C159" s="7" t="s">
        <v>68</v>
      </c>
      <c r="D159" s="7" t="s">
        <v>133</v>
      </c>
      <c r="E159" s="7" t="s">
        <v>69</v>
      </c>
      <c r="F159" s="7" t="s">
        <v>1457</v>
      </c>
      <c r="G159" s="7" t="s">
        <v>62</v>
      </c>
      <c r="H159" t="s">
        <v>623</v>
      </c>
      <c r="I159" t="s">
        <v>1712</v>
      </c>
      <c r="J159" s="14">
        <v>43863</v>
      </c>
      <c r="K159" s="15" t="s">
        <v>1820</v>
      </c>
      <c r="L159" t="s">
        <v>2170</v>
      </c>
      <c r="M159" t="s">
        <v>1981</v>
      </c>
      <c r="N159">
        <v>1928.57</v>
      </c>
      <c r="O159" t="s">
        <v>1825</v>
      </c>
      <c r="P159" s="42">
        <v>0</v>
      </c>
      <c r="Q159" t="s">
        <v>144</v>
      </c>
      <c r="R159">
        <v>4</v>
      </c>
    </row>
    <row r="160" spans="1:18" x14ac:dyDescent="0.3">
      <c r="A160" s="7">
        <v>5264</v>
      </c>
      <c r="B160" t="s">
        <v>831</v>
      </c>
      <c r="C160" s="7" t="s">
        <v>61</v>
      </c>
      <c r="D160" s="7" t="s">
        <v>389</v>
      </c>
      <c r="E160" s="7" t="s">
        <v>140</v>
      </c>
      <c r="F160" s="7" t="s">
        <v>1456</v>
      </c>
      <c r="G160" s="7" t="s">
        <v>77</v>
      </c>
      <c r="H160" t="s">
        <v>727</v>
      </c>
      <c r="I160" t="s">
        <v>1713</v>
      </c>
      <c r="J160" s="14">
        <v>44122</v>
      </c>
      <c r="K160" s="15" t="s">
        <v>1820</v>
      </c>
      <c r="L160" t="s">
        <v>2170</v>
      </c>
      <c r="M160" t="s">
        <v>1982</v>
      </c>
      <c r="N160">
        <v>2473.46</v>
      </c>
      <c r="O160" t="s">
        <v>1825</v>
      </c>
      <c r="P160" s="42">
        <v>117733</v>
      </c>
      <c r="Q160" t="s">
        <v>95</v>
      </c>
      <c r="R160">
        <v>14</v>
      </c>
    </row>
    <row r="161" spans="1:18" x14ac:dyDescent="0.3">
      <c r="A161" s="7">
        <v>5024</v>
      </c>
      <c r="B161" t="s">
        <v>629</v>
      </c>
      <c r="C161" s="7" t="s">
        <v>61</v>
      </c>
      <c r="D161" s="7" t="s">
        <v>53</v>
      </c>
      <c r="E161" s="7" t="s">
        <v>69</v>
      </c>
      <c r="F161" s="7" t="s">
        <v>1457</v>
      </c>
      <c r="G161" s="7" t="s">
        <v>70</v>
      </c>
      <c r="H161" t="s">
        <v>732</v>
      </c>
      <c r="I161" t="s">
        <v>1714</v>
      </c>
      <c r="J161" s="14">
        <v>44293</v>
      </c>
      <c r="K161" s="15" t="s">
        <v>1820</v>
      </c>
      <c r="L161" t="s">
        <v>2170</v>
      </c>
      <c r="M161" t="s">
        <v>1983</v>
      </c>
      <c r="N161">
        <v>2230.94</v>
      </c>
      <c r="O161" t="s">
        <v>1825</v>
      </c>
      <c r="P161" s="42">
        <v>178709</v>
      </c>
      <c r="Q161" t="s">
        <v>144</v>
      </c>
      <c r="R161" t="s">
        <v>1822</v>
      </c>
    </row>
    <row r="162" spans="1:18" x14ac:dyDescent="0.3">
      <c r="A162" s="7">
        <v>5143</v>
      </c>
      <c r="B162" t="s">
        <v>731</v>
      </c>
      <c r="C162" s="7" t="s">
        <v>68</v>
      </c>
      <c r="D162" s="7" t="s">
        <v>122</v>
      </c>
      <c r="E162" s="7" t="s">
        <v>140</v>
      </c>
      <c r="F162" s="7" t="s">
        <v>1456</v>
      </c>
      <c r="G162" s="7" t="s">
        <v>110</v>
      </c>
      <c r="H162" t="s">
        <v>380</v>
      </c>
      <c r="I162" t="s">
        <v>1715</v>
      </c>
      <c r="J162" s="14">
        <v>43748</v>
      </c>
      <c r="K162" s="15">
        <v>45135</v>
      </c>
      <c r="L162">
        <v>2023</v>
      </c>
      <c r="M162" t="s">
        <v>1984</v>
      </c>
      <c r="N162">
        <v>1677.08</v>
      </c>
      <c r="O162" t="s">
        <v>1826</v>
      </c>
      <c r="P162" s="42">
        <v>0</v>
      </c>
      <c r="Q162" t="s">
        <v>144</v>
      </c>
      <c r="R162">
        <v>23</v>
      </c>
    </row>
    <row r="163" spans="1:18" x14ac:dyDescent="0.3">
      <c r="A163" s="7">
        <v>5203</v>
      </c>
      <c r="B163" t="s">
        <v>1502</v>
      </c>
      <c r="C163" s="7" t="s">
        <v>84</v>
      </c>
      <c r="D163" s="7" t="s">
        <v>122</v>
      </c>
      <c r="E163" s="7" t="s">
        <v>54</v>
      </c>
      <c r="F163" s="7" t="s">
        <v>1458</v>
      </c>
      <c r="G163" s="7" t="s">
        <v>110</v>
      </c>
      <c r="H163" t="s">
        <v>739</v>
      </c>
      <c r="I163" t="s">
        <v>1619</v>
      </c>
      <c r="J163" s="14">
        <v>43991</v>
      </c>
      <c r="K163" s="15" t="s">
        <v>126</v>
      </c>
      <c r="L163" t="s">
        <v>2170</v>
      </c>
      <c r="M163" t="s">
        <v>1985</v>
      </c>
      <c r="N163">
        <v>930.14</v>
      </c>
      <c r="O163" t="s">
        <v>1825</v>
      </c>
      <c r="P163" s="42">
        <v>150238</v>
      </c>
      <c r="Q163" t="s">
        <v>1821</v>
      </c>
      <c r="R163">
        <v>14</v>
      </c>
    </row>
    <row r="164" spans="1:18" x14ac:dyDescent="0.3">
      <c r="A164" s="7">
        <v>5265</v>
      </c>
      <c r="B164" t="s">
        <v>1536</v>
      </c>
      <c r="C164" s="7" t="s">
        <v>68</v>
      </c>
      <c r="D164" s="7" t="s">
        <v>53</v>
      </c>
      <c r="E164" s="7" t="s">
        <v>91</v>
      </c>
      <c r="F164" s="7" t="s">
        <v>1455</v>
      </c>
      <c r="G164" s="7" t="s">
        <v>110</v>
      </c>
      <c r="H164" t="s">
        <v>744</v>
      </c>
      <c r="I164" t="s">
        <v>1716</v>
      </c>
      <c r="J164" s="14">
        <v>43459</v>
      </c>
      <c r="K164" s="15" t="s">
        <v>126</v>
      </c>
      <c r="L164" t="s">
        <v>2170</v>
      </c>
      <c r="M164" t="s">
        <v>1986</v>
      </c>
      <c r="N164">
        <v>2231.94</v>
      </c>
      <c r="O164" t="s">
        <v>1825</v>
      </c>
      <c r="P164" s="42">
        <v>106798</v>
      </c>
      <c r="Q164" t="s">
        <v>89</v>
      </c>
      <c r="R164">
        <v>10</v>
      </c>
    </row>
    <row r="165" spans="1:18" x14ac:dyDescent="0.3">
      <c r="A165" s="7">
        <v>5076</v>
      </c>
      <c r="B165" t="s">
        <v>743</v>
      </c>
      <c r="C165" s="7" t="s">
        <v>68</v>
      </c>
      <c r="D165" s="7" t="s">
        <v>219</v>
      </c>
      <c r="E165" s="7" t="s">
        <v>76</v>
      </c>
      <c r="F165" s="7" t="s">
        <v>1454</v>
      </c>
      <c r="G165" s="7" t="s">
        <v>110</v>
      </c>
      <c r="H165" t="s">
        <v>749</v>
      </c>
      <c r="I165" t="s">
        <v>750</v>
      </c>
      <c r="J165" s="14">
        <v>43121</v>
      </c>
      <c r="K165" s="15" t="s">
        <v>126</v>
      </c>
      <c r="L165" t="s">
        <v>2170</v>
      </c>
      <c r="M165" t="s">
        <v>1987</v>
      </c>
      <c r="N165">
        <v>2821.27</v>
      </c>
      <c r="O165" t="s">
        <v>1825</v>
      </c>
      <c r="P165" s="42">
        <v>114530</v>
      </c>
      <c r="Q165" t="s">
        <v>144</v>
      </c>
      <c r="R165">
        <v>8</v>
      </c>
    </row>
    <row r="166" spans="1:18" x14ac:dyDescent="0.3">
      <c r="A166" s="7">
        <v>5134</v>
      </c>
      <c r="B166" t="s">
        <v>1537</v>
      </c>
      <c r="C166" s="7" t="s">
        <v>68</v>
      </c>
      <c r="D166" s="7" t="s">
        <v>219</v>
      </c>
      <c r="E166" s="7" t="s">
        <v>91</v>
      </c>
      <c r="F166" s="7" t="s">
        <v>1455</v>
      </c>
      <c r="G166" s="7" t="s">
        <v>62</v>
      </c>
      <c r="H166" t="s">
        <v>752</v>
      </c>
      <c r="I166" t="s">
        <v>1619</v>
      </c>
      <c r="J166" s="14">
        <v>45291</v>
      </c>
      <c r="K166" s="15" t="s">
        <v>114</v>
      </c>
      <c r="L166" t="s">
        <v>2170</v>
      </c>
      <c r="M166" t="s">
        <v>1988</v>
      </c>
      <c r="N166">
        <v>2346.6999999999998</v>
      </c>
      <c r="O166" t="s">
        <v>1825</v>
      </c>
      <c r="P166" s="42">
        <v>38961</v>
      </c>
      <c r="Q166" t="s">
        <v>144</v>
      </c>
      <c r="R166" t="s">
        <v>1822</v>
      </c>
    </row>
    <row r="167" spans="1:18" x14ac:dyDescent="0.3">
      <c r="A167" s="7">
        <v>5135</v>
      </c>
      <c r="B167" t="s">
        <v>1187</v>
      </c>
      <c r="C167" s="7" t="s">
        <v>68</v>
      </c>
      <c r="D167" s="7" t="s">
        <v>53</v>
      </c>
      <c r="E167" s="7" t="s">
        <v>54</v>
      </c>
      <c r="F167" s="7" t="s">
        <v>1458</v>
      </c>
      <c r="G167" s="7" t="s">
        <v>85</v>
      </c>
      <c r="H167" t="s">
        <v>521</v>
      </c>
      <c r="I167" t="s">
        <v>1617</v>
      </c>
      <c r="J167" s="14">
        <v>43990</v>
      </c>
      <c r="K167" s="15" t="s">
        <v>126</v>
      </c>
      <c r="L167" t="s">
        <v>2170</v>
      </c>
      <c r="M167" t="s">
        <v>1989</v>
      </c>
      <c r="N167">
        <v>1036.9000000000001</v>
      </c>
      <c r="O167" t="s">
        <v>1825</v>
      </c>
      <c r="P167" s="42">
        <v>155978</v>
      </c>
      <c r="Q167" t="s">
        <v>144</v>
      </c>
      <c r="R167">
        <v>3</v>
      </c>
    </row>
    <row r="168" spans="1:18" x14ac:dyDescent="0.3">
      <c r="A168" s="7">
        <v>5221</v>
      </c>
      <c r="B168" t="s">
        <v>520</v>
      </c>
      <c r="C168" s="7" t="s">
        <v>68</v>
      </c>
      <c r="D168" s="7" t="s">
        <v>389</v>
      </c>
      <c r="E168" s="7" t="s">
        <v>46</v>
      </c>
      <c r="F168" s="7" t="s">
        <v>1459</v>
      </c>
      <c r="G168" s="7" t="s">
        <v>77</v>
      </c>
      <c r="H168" t="s">
        <v>759</v>
      </c>
      <c r="I168" t="s">
        <v>1717</v>
      </c>
      <c r="J168" s="14">
        <v>43400</v>
      </c>
      <c r="K168" s="15" t="s">
        <v>126</v>
      </c>
      <c r="L168" t="s">
        <v>2170</v>
      </c>
      <c r="M168" t="s">
        <v>1990</v>
      </c>
      <c r="N168">
        <v>1911.13</v>
      </c>
      <c r="O168" t="s">
        <v>1825</v>
      </c>
      <c r="P168" s="42">
        <v>0</v>
      </c>
      <c r="Q168" t="s">
        <v>89</v>
      </c>
      <c r="R168">
        <v>18</v>
      </c>
    </row>
    <row r="169" spans="1:18" x14ac:dyDescent="0.3">
      <c r="A169" s="7">
        <v>5136</v>
      </c>
      <c r="B169" t="s">
        <v>1538</v>
      </c>
      <c r="C169" s="7" t="s">
        <v>68</v>
      </c>
      <c r="D169" s="7" t="s">
        <v>122</v>
      </c>
      <c r="E169" s="7" t="s">
        <v>46</v>
      </c>
      <c r="F169" s="7" t="s">
        <v>1459</v>
      </c>
      <c r="G169" s="7" t="s">
        <v>110</v>
      </c>
      <c r="H169" t="s">
        <v>763</v>
      </c>
      <c r="I169" t="s">
        <v>1718</v>
      </c>
      <c r="J169" s="14">
        <v>43876</v>
      </c>
      <c r="K169" s="15" t="s">
        <v>1820</v>
      </c>
      <c r="L169" t="s">
        <v>2170</v>
      </c>
      <c r="M169" t="s">
        <v>1991</v>
      </c>
      <c r="N169">
        <v>1835.25</v>
      </c>
      <c r="O169" t="s">
        <v>1825</v>
      </c>
      <c r="P169" s="42">
        <v>103471</v>
      </c>
      <c r="Q169" t="s">
        <v>127</v>
      </c>
      <c r="R169">
        <v>12</v>
      </c>
    </row>
    <row r="170" spans="1:18" x14ac:dyDescent="0.3">
      <c r="A170" s="7">
        <v>5097</v>
      </c>
      <c r="B170" t="s">
        <v>762</v>
      </c>
      <c r="C170" s="7" t="s">
        <v>84</v>
      </c>
      <c r="D170" s="7" t="s">
        <v>122</v>
      </c>
      <c r="E170" s="7" t="s">
        <v>54</v>
      </c>
      <c r="F170" s="7" t="s">
        <v>1458</v>
      </c>
      <c r="G170" s="7" t="s">
        <v>70</v>
      </c>
      <c r="H170" t="s">
        <v>768</v>
      </c>
      <c r="I170" t="s">
        <v>769</v>
      </c>
      <c r="J170" s="14">
        <v>45185</v>
      </c>
      <c r="K170" s="15" t="s">
        <v>126</v>
      </c>
      <c r="L170" t="s">
        <v>2170</v>
      </c>
      <c r="M170" t="s">
        <v>1992</v>
      </c>
      <c r="N170">
        <v>2700.51</v>
      </c>
      <c r="O170" t="s">
        <v>1825</v>
      </c>
      <c r="P170" s="42">
        <v>140289</v>
      </c>
      <c r="Q170" t="s">
        <v>127</v>
      </c>
      <c r="R170">
        <v>1</v>
      </c>
    </row>
    <row r="171" spans="1:18" x14ac:dyDescent="0.3">
      <c r="A171" s="7">
        <v>5189</v>
      </c>
      <c r="B171" t="s">
        <v>767</v>
      </c>
      <c r="C171" s="7" t="s">
        <v>68</v>
      </c>
      <c r="D171" s="7" t="s">
        <v>133</v>
      </c>
      <c r="E171" s="7" t="s">
        <v>140</v>
      </c>
      <c r="F171" s="7" t="s">
        <v>1456</v>
      </c>
      <c r="G171" s="7" t="s">
        <v>110</v>
      </c>
      <c r="H171" t="s">
        <v>442</v>
      </c>
      <c r="I171" t="s">
        <v>1719</v>
      </c>
      <c r="J171" s="14">
        <v>44310</v>
      </c>
      <c r="K171" s="15" t="s">
        <v>1820</v>
      </c>
      <c r="L171" t="s">
        <v>2170</v>
      </c>
      <c r="M171" t="s">
        <v>1993</v>
      </c>
      <c r="N171">
        <v>2854.71</v>
      </c>
      <c r="O171" t="s">
        <v>1825</v>
      </c>
      <c r="P171" s="42">
        <v>176806</v>
      </c>
      <c r="Q171" t="s">
        <v>144</v>
      </c>
      <c r="R171">
        <v>7</v>
      </c>
    </row>
    <row r="172" spans="1:18" x14ac:dyDescent="0.3">
      <c r="A172" s="7">
        <v>5197</v>
      </c>
      <c r="B172" t="s">
        <v>771</v>
      </c>
      <c r="C172" s="7" t="s">
        <v>61</v>
      </c>
      <c r="D172" s="7" t="s">
        <v>389</v>
      </c>
      <c r="E172" s="7" t="s">
        <v>91</v>
      </c>
      <c r="F172" s="7" t="s">
        <v>1455</v>
      </c>
      <c r="G172" s="7" t="s">
        <v>62</v>
      </c>
      <c r="H172" t="s">
        <v>776</v>
      </c>
      <c r="I172" t="s">
        <v>1619</v>
      </c>
      <c r="J172" s="14">
        <v>44386</v>
      </c>
      <c r="K172" s="15" t="s">
        <v>1820</v>
      </c>
      <c r="L172" t="s">
        <v>2170</v>
      </c>
      <c r="M172" t="s">
        <v>1994</v>
      </c>
      <c r="N172">
        <v>1595.76</v>
      </c>
      <c r="O172" t="s">
        <v>1825</v>
      </c>
      <c r="P172" s="42">
        <v>155140</v>
      </c>
      <c r="Q172" t="s">
        <v>127</v>
      </c>
      <c r="R172">
        <v>15</v>
      </c>
    </row>
    <row r="173" spans="1:18" x14ac:dyDescent="0.3">
      <c r="A173" s="7">
        <v>5200</v>
      </c>
      <c r="B173" t="s">
        <v>775</v>
      </c>
      <c r="C173" s="7" t="s">
        <v>68</v>
      </c>
      <c r="D173" s="7" t="s">
        <v>389</v>
      </c>
      <c r="E173" s="7" t="s">
        <v>91</v>
      </c>
      <c r="F173" s="7" t="s">
        <v>1455</v>
      </c>
      <c r="G173" s="7" t="s">
        <v>47</v>
      </c>
      <c r="H173" t="s">
        <v>781</v>
      </c>
      <c r="I173" t="s">
        <v>1617</v>
      </c>
      <c r="J173" s="14">
        <v>43522</v>
      </c>
      <c r="K173" s="15" t="s">
        <v>1820</v>
      </c>
      <c r="L173" t="s">
        <v>2170</v>
      </c>
      <c r="M173" t="s">
        <v>1995</v>
      </c>
      <c r="N173">
        <v>1821.8400000000001</v>
      </c>
      <c r="O173" t="s">
        <v>1825</v>
      </c>
      <c r="P173" s="42">
        <v>150892</v>
      </c>
      <c r="Q173" t="s">
        <v>144</v>
      </c>
      <c r="R173">
        <v>22</v>
      </c>
    </row>
    <row r="174" spans="1:18" x14ac:dyDescent="0.3">
      <c r="A174" s="7">
        <v>5274</v>
      </c>
      <c r="B174" t="s">
        <v>320</v>
      </c>
      <c r="C174" s="7" t="s">
        <v>61</v>
      </c>
      <c r="D174" s="7" t="s">
        <v>122</v>
      </c>
      <c r="E174" s="7" t="s">
        <v>69</v>
      </c>
      <c r="F174" s="7" t="s">
        <v>1457</v>
      </c>
      <c r="G174" s="7" t="s">
        <v>47</v>
      </c>
      <c r="H174" t="s">
        <v>717</v>
      </c>
      <c r="I174" t="s">
        <v>1720</v>
      </c>
      <c r="J174" s="14">
        <v>43367</v>
      </c>
      <c r="K174" s="15" t="s">
        <v>126</v>
      </c>
      <c r="L174" t="s">
        <v>2170</v>
      </c>
      <c r="M174" t="s">
        <v>1996</v>
      </c>
      <c r="N174">
        <v>1677.08</v>
      </c>
      <c r="O174" t="s">
        <v>1825</v>
      </c>
      <c r="P174" s="42">
        <v>169163</v>
      </c>
      <c r="Q174" t="s">
        <v>51</v>
      </c>
      <c r="R174" t="s">
        <v>1822</v>
      </c>
    </row>
    <row r="175" spans="1:18" x14ac:dyDescent="0.3">
      <c r="A175" s="7">
        <v>5126</v>
      </c>
      <c r="B175" t="s">
        <v>716</v>
      </c>
      <c r="C175" s="7" t="s">
        <v>68</v>
      </c>
      <c r="D175" s="7" t="s">
        <v>122</v>
      </c>
      <c r="E175" s="7" t="s">
        <v>140</v>
      </c>
      <c r="F175" s="7" t="s">
        <v>1456</v>
      </c>
      <c r="G175" s="7" t="s">
        <v>47</v>
      </c>
      <c r="H175" t="s">
        <v>788</v>
      </c>
      <c r="I175" t="s">
        <v>1721</v>
      </c>
      <c r="J175" s="14">
        <v>44625</v>
      </c>
      <c r="K175" s="15">
        <v>45733</v>
      </c>
      <c r="L175">
        <v>2025</v>
      </c>
      <c r="M175" t="s">
        <v>1997</v>
      </c>
      <c r="N175">
        <v>1254.95</v>
      </c>
      <c r="O175" t="s">
        <v>1826</v>
      </c>
      <c r="P175" s="42">
        <v>0</v>
      </c>
      <c r="Q175" t="s">
        <v>89</v>
      </c>
      <c r="R175">
        <v>23</v>
      </c>
    </row>
    <row r="176" spans="1:18" x14ac:dyDescent="0.3">
      <c r="A176" s="7">
        <v>5036</v>
      </c>
      <c r="B176" t="s">
        <v>1539</v>
      </c>
      <c r="C176" s="7" t="s">
        <v>68</v>
      </c>
      <c r="D176" s="7" t="s">
        <v>151</v>
      </c>
      <c r="E176" s="7" t="s">
        <v>140</v>
      </c>
      <c r="F176" s="7" t="s">
        <v>1456</v>
      </c>
      <c r="G176" s="7" t="s">
        <v>62</v>
      </c>
      <c r="H176" t="s">
        <v>499</v>
      </c>
      <c r="I176" t="s">
        <v>1617</v>
      </c>
      <c r="J176" s="14">
        <v>44399</v>
      </c>
      <c r="K176" s="15" t="s">
        <v>1820</v>
      </c>
      <c r="L176" t="s">
        <v>2170</v>
      </c>
      <c r="M176" t="s">
        <v>1998</v>
      </c>
      <c r="N176">
        <v>2328.2600000000002</v>
      </c>
      <c r="O176" t="s">
        <v>1825</v>
      </c>
      <c r="P176" s="42">
        <v>144820</v>
      </c>
      <c r="Q176" t="s">
        <v>95</v>
      </c>
      <c r="R176">
        <v>14</v>
      </c>
    </row>
    <row r="177" spans="1:18" x14ac:dyDescent="0.3">
      <c r="A177" s="7">
        <v>5345</v>
      </c>
      <c r="B177" t="s">
        <v>498</v>
      </c>
      <c r="C177" s="7" t="s">
        <v>61</v>
      </c>
      <c r="D177" s="7" t="s">
        <v>389</v>
      </c>
      <c r="E177" s="7" t="s">
        <v>91</v>
      </c>
      <c r="F177" s="7" t="s">
        <v>1455</v>
      </c>
      <c r="G177" s="7" t="s">
        <v>85</v>
      </c>
      <c r="H177" t="s">
        <v>794</v>
      </c>
      <c r="I177" t="s">
        <v>795</v>
      </c>
      <c r="J177" s="14">
        <v>44545</v>
      </c>
      <c r="K177" s="15" t="s">
        <v>114</v>
      </c>
      <c r="L177" t="s">
        <v>2170</v>
      </c>
      <c r="M177" t="s">
        <v>1999</v>
      </c>
      <c r="N177">
        <v>1921.57</v>
      </c>
      <c r="O177" t="s">
        <v>1825</v>
      </c>
      <c r="P177" s="42">
        <v>119922</v>
      </c>
      <c r="Q177" t="s">
        <v>127</v>
      </c>
      <c r="R177">
        <v>21</v>
      </c>
    </row>
    <row r="178" spans="1:18" x14ac:dyDescent="0.3">
      <c r="A178" s="7">
        <v>5083</v>
      </c>
      <c r="B178" t="s">
        <v>793</v>
      </c>
      <c r="C178" s="7" t="s">
        <v>68</v>
      </c>
      <c r="D178" s="7" t="s">
        <v>151</v>
      </c>
      <c r="E178" s="7" t="s">
        <v>91</v>
      </c>
      <c r="F178" s="7" t="s">
        <v>1455</v>
      </c>
      <c r="G178" s="7" t="s">
        <v>77</v>
      </c>
      <c r="H178" t="s">
        <v>798</v>
      </c>
      <c r="I178" t="s">
        <v>1722</v>
      </c>
      <c r="J178" s="14">
        <v>44479</v>
      </c>
      <c r="K178" s="15">
        <v>45838</v>
      </c>
      <c r="L178">
        <v>2025</v>
      </c>
      <c r="M178" t="s">
        <v>2000</v>
      </c>
      <c r="N178">
        <v>1726.52</v>
      </c>
      <c r="O178" t="s">
        <v>1826</v>
      </c>
      <c r="P178" s="42">
        <v>72623</v>
      </c>
      <c r="Q178" t="s">
        <v>89</v>
      </c>
      <c r="R178">
        <v>0</v>
      </c>
    </row>
    <row r="179" spans="1:18" x14ac:dyDescent="0.3">
      <c r="A179" s="7">
        <v>5235</v>
      </c>
      <c r="B179" t="s">
        <v>797</v>
      </c>
      <c r="C179" s="7" t="s">
        <v>68</v>
      </c>
      <c r="D179" s="7" t="s">
        <v>53</v>
      </c>
      <c r="E179" s="7" t="s">
        <v>76</v>
      </c>
      <c r="F179" s="7" t="s">
        <v>1454</v>
      </c>
      <c r="G179" s="7" t="s">
        <v>77</v>
      </c>
      <c r="H179" t="s">
        <v>513</v>
      </c>
      <c r="I179" t="s">
        <v>1617</v>
      </c>
      <c r="J179" s="14">
        <v>43893</v>
      </c>
      <c r="K179" s="15" t="s">
        <v>114</v>
      </c>
      <c r="L179" t="s">
        <v>2170</v>
      </c>
      <c r="M179" t="s">
        <v>2001</v>
      </c>
      <c r="N179">
        <v>2564.75</v>
      </c>
      <c r="O179" t="s">
        <v>1825</v>
      </c>
      <c r="P179" s="42">
        <v>67486</v>
      </c>
      <c r="Q179" t="s">
        <v>51</v>
      </c>
      <c r="R179">
        <v>2</v>
      </c>
    </row>
    <row r="180" spans="1:18" x14ac:dyDescent="0.3">
      <c r="A180" s="7">
        <v>5328</v>
      </c>
      <c r="B180" t="s">
        <v>512</v>
      </c>
      <c r="C180" s="7" t="s">
        <v>84</v>
      </c>
      <c r="D180" s="7" t="s">
        <v>122</v>
      </c>
      <c r="E180" s="7" t="s">
        <v>140</v>
      </c>
      <c r="F180" s="7" t="s">
        <v>1456</v>
      </c>
      <c r="G180" s="7" t="s">
        <v>85</v>
      </c>
      <c r="H180" t="s">
        <v>1601</v>
      </c>
      <c r="I180" t="s">
        <v>1723</v>
      </c>
      <c r="J180" s="14">
        <v>44300</v>
      </c>
      <c r="K180" s="15" t="s">
        <v>1820</v>
      </c>
      <c r="L180" t="s">
        <v>2170</v>
      </c>
      <c r="M180" t="s">
        <v>2002</v>
      </c>
      <c r="N180">
        <v>2367.6999999999998</v>
      </c>
      <c r="O180" t="s">
        <v>1825</v>
      </c>
      <c r="P180" s="42">
        <v>135794</v>
      </c>
      <c r="Q180" t="s">
        <v>95</v>
      </c>
      <c r="R180">
        <v>23</v>
      </c>
    </row>
    <row r="181" spans="1:18" x14ac:dyDescent="0.3">
      <c r="A181" s="7">
        <v>5085</v>
      </c>
      <c r="B181" t="s">
        <v>805</v>
      </c>
      <c r="C181" s="7" t="s">
        <v>68</v>
      </c>
      <c r="D181" s="7" t="s">
        <v>389</v>
      </c>
      <c r="E181" s="7" t="s">
        <v>76</v>
      </c>
      <c r="F181" s="7" t="s">
        <v>1454</v>
      </c>
      <c r="G181" s="7" t="s">
        <v>47</v>
      </c>
      <c r="H181" t="s">
        <v>810</v>
      </c>
      <c r="I181" t="s">
        <v>1724</v>
      </c>
      <c r="J181" s="14">
        <v>44112</v>
      </c>
      <c r="K181" s="15" t="s">
        <v>1820</v>
      </c>
      <c r="L181" t="s">
        <v>2170</v>
      </c>
      <c r="M181" t="s">
        <v>2003</v>
      </c>
      <c r="N181">
        <v>1887.13</v>
      </c>
      <c r="O181" t="s">
        <v>1825</v>
      </c>
      <c r="P181" s="42">
        <v>45773</v>
      </c>
      <c r="Q181" t="s">
        <v>144</v>
      </c>
      <c r="R181" t="s">
        <v>1822</v>
      </c>
    </row>
    <row r="182" spans="1:18" x14ac:dyDescent="0.3">
      <c r="A182" s="7">
        <v>5040</v>
      </c>
      <c r="B182" t="s">
        <v>540</v>
      </c>
      <c r="C182" s="7" t="s">
        <v>68</v>
      </c>
      <c r="D182" s="7" t="s">
        <v>151</v>
      </c>
      <c r="E182" s="7" t="s">
        <v>54</v>
      </c>
      <c r="F182" s="7" t="s">
        <v>1458</v>
      </c>
      <c r="G182" s="7" t="s">
        <v>85</v>
      </c>
      <c r="H182" t="s">
        <v>814</v>
      </c>
      <c r="I182" t="s">
        <v>1725</v>
      </c>
      <c r="J182" s="14">
        <v>43656</v>
      </c>
      <c r="K182" s="15" t="s">
        <v>126</v>
      </c>
      <c r="L182" t="s">
        <v>2170</v>
      </c>
      <c r="M182" t="s">
        <v>2004</v>
      </c>
      <c r="N182">
        <v>2719.95</v>
      </c>
      <c r="O182" t="s">
        <v>1825</v>
      </c>
      <c r="P182" s="42">
        <v>84302</v>
      </c>
      <c r="Q182" t="s">
        <v>51</v>
      </c>
      <c r="R182">
        <v>10</v>
      </c>
    </row>
    <row r="183" spans="1:18" x14ac:dyDescent="0.3">
      <c r="A183" s="7">
        <v>5238</v>
      </c>
      <c r="B183" t="s">
        <v>1540</v>
      </c>
      <c r="C183" s="7" t="s">
        <v>61</v>
      </c>
      <c r="D183" s="7" t="s">
        <v>151</v>
      </c>
      <c r="E183" s="7" t="s">
        <v>91</v>
      </c>
      <c r="F183" s="7" t="s">
        <v>1455</v>
      </c>
      <c r="G183" s="7" t="s">
        <v>110</v>
      </c>
      <c r="H183" t="s">
        <v>1608</v>
      </c>
      <c r="I183" t="s">
        <v>819</v>
      </c>
      <c r="J183" s="14">
        <v>43854</v>
      </c>
      <c r="K183" s="15" t="s">
        <v>1820</v>
      </c>
      <c r="L183" t="s">
        <v>2170</v>
      </c>
      <c r="M183" t="s">
        <v>2005</v>
      </c>
      <c r="N183">
        <v>2731.95</v>
      </c>
      <c r="O183" t="s">
        <v>1825</v>
      </c>
      <c r="P183" s="42">
        <v>103363</v>
      </c>
      <c r="Q183" t="s">
        <v>127</v>
      </c>
      <c r="R183">
        <v>17</v>
      </c>
    </row>
    <row r="184" spans="1:18" x14ac:dyDescent="0.3">
      <c r="A184" s="7">
        <v>5176</v>
      </c>
      <c r="B184" t="s">
        <v>817</v>
      </c>
      <c r="C184" s="7" t="s">
        <v>68</v>
      </c>
      <c r="D184" s="7" t="s">
        <v>151</v>
      </c>
      <c r="E184" s="7" t="s">
        <v>140</v>
      </c>
      <c r="F184" s="7" t="s">
        <v>1456</v>
      </c>
      <c r="G184" s="7" t="s">
        <v>110</v>
      </c>
      <c r="H184" t="s">
        <v>823</v>
      </c>
      <c r="I184" t="s">
        <v>1726</v>
      </c>
      <c r="J184" s="14">
        <v>44334</v>
      </c>
      <c r="K184" s="15" t="s">
        <v>1820</v>
      </c>
      <c r="L184" t="s">
        <v>2170</v>
      </c>
      <c r="M184" t="s">
        <v>2006</v>
      </c>
      <c r="N184">
        <v>2091.77</v>
      </c>
      <c r="O184" t="s">
        <v>1825</v>
      </c>
      <c r="P184" s="42">
        <v>0</v>
      </c>
      <c r="Q184" t="s">
        <v>95</v>
      </c>
      <c r="R184">
        <v>15</v>
      </c>
    </row>
    <row r="185" spans="1:18" x14ac:dyDescent="0.3">
      <c r="A185" s="7">
        <v>5045</v>
      </c>
      <c r="B185" t="s">
        <v>1541</v>
      </c>
      <c r="C185" s="7" t="s">
        <v>68</v>
      </c>
      <c r="D185" s="7" t="s">
        <v>151</v>
      </c>
      <c r="E185" s="7" t="s">
        <v>76</v>
      </c>
      <c r="F185" s="7" t="s">
        <v>1454</v>
      </c>
      <c r="G185" s="7" t="s">
        <v>77</v>
      </c>
      <c r="H185" t="s">
        <v>827</v>
      </c>
      <c r="I185" t="s">
        <v>1727</v>
      </c>
      <c r="J185" s="14">
        <v>43503</v>
      </c>
      <c r="K185" s="15">
        <v>45838</v>
      </c>
      <c r="L185">
        <v>2025</v>
      </c>
      <c r="M185" t="s">
        <v>2007</v>
      </c>
      <c r="N185">
        <v>446.13</v>
      </c>
      <c r="O185" t="s">
        <v>1826</v>
      </c>
      <c r="P185" s="42">
        <v>0</v>
      </c>
      <c r="Q185" t="s">
        <v>95</v>
      </c>
      <c r="R185">
        <v>8</v>
      </c>
    </row>
    <row r="186" spans="1:18" x14ac:dyDescent="0.3">
      <c r="A186" s="7">
        <v>5213</v>
      </c>
      <c r="B186" t="s">
        <v>1542</v>
      </c>
      <c r="C186" s="7" t="s">
        <v>84</v>
      </c>
      <c r="D186" s="7" t="s">
        <v>133</v>
      </c>
      <c r="E186" s="7" t="s">
        <v>76</v>
      </c>
      <c r="F186" s="7" t="s">
        <v>1454</v>
      </c>
      <c r="G186" s="7" t="s">
        <v>70</v>
      </c>
      <c r="H186" t="s">
        <v>197</v>
      </c>
      <c r="I186" t="s">
        <v>1617</v>
      </c>
      <c r="J186" s="14">
        <v>43490</v>
      </c>
      <c r="K186" s="15" t="s">
        <v>1820</v>
      </c>
      <c r="L186" t="s">
        <v>2170</v>
      </c>
      <c r="M186" t="s">
        <v>2008</v>
      </c>
      <c r="N186">
        <v>1192.07</v>
      </c>
      <c r="O186" t="s">
        <v>1825</v>
      </c>
      <c r="P186" s="42">
        <v>0</v>
      </c>
      <c r="Q186" t="s">
        <v>51</v>
      </c>
      <c r="R186">
        <v>8</v>
      </c>
    </row>
    <row r="187" spans="1:18" x14ac:dyDescent="0.3">
      <c r="A187" s="7">
        <v>5052</v>
      </c>
      <c r="B187" t="s">
        <v>196</v>
      </c>
      <c r="C187" s="7" t="s">
        <v>68</v>
      </c>
      <c r="D187" s="7" t="s">
        <v>133</v>
      </c>
      <c r="E187" s="7" t="s">
        <v>76</v>
      </c>
      <c r="F187" s="7" t="s">
        <v>1454</v>
      </c>
      <c r="G187" s="7" t="s">
        <v>85</v>
      </c>
      <c r="H187" t="s">
        <v>832</v>
      </c>
      <c r="I187" t="s">
        <v>1728</v>
      </c>
      <c r="J187" s="14">
        <v>44130</v>
      </c>
      <c r="K187" s="15" t="s">
        <v>114</v>
      </c>
      <c r="L187" t="s">
        <v>2170</v>
      </c>
      <c r="M187" t="s">
        <v>2009</v>
      </c>
      <c r="N187">
        <v>2452.02</v>
      </c>
      <c r="O187" t="s">
        <v>1825</v>
      </c>
      <c r="P187" s="42">
        <v>87379</v>
      </c>
      <c r="Q187" t="s">
        <v>127</v>
      </c>
      <c r="R187">
        <v>0</v>
      </c>
    </row>
    <row r="188" spans="1:18" x14ac:dyDescent="0.3">
      <c r="A188" s="7">
        <v>5056</v>
      </c>
      <c r="B188" t="s">
        <v>831</v>
      </c>
      <c r="C188" s="7" t="s">
        <v>68</v>
      </c>
      <c r="D188" s="7" t="s">
        <v>219</v>
      </c>
      <c r="E188" s="7" t="s">
        <v>76</v>
      </c>
      <c r="F188" s="7" t="s">
        <v>1454</v>
      </c>
      <c r="G188" s="7" t="s">
        <v>62</v>
      </c>
      <c r="H188" t="s">
        <v>837</v>
      </c>
      <c r="I188" t="s">
        <v>1617</v>
      </c>
      <c r="J188" s="14">
        <v>45392</v>
      </c>
      <c r="K188" s="15" t="s">
        <v>1820</v>
      </c>
      <c r="L188" t="s">
        <v>2170</v>
      </c>
      <c r="M188" t="s">
        <v>2010</v>
      </c>
      <c r="N188">
        <v>2801.27</v>
      </c>
      <c r="O188" t="s">
        <v>1825</v>
      </c>
      <c r="P188" s="42">
        <v>0</v>
      </c>
      <c r="Q188" t="s">
        <v>89</v>
      </c>
      <c r="R188">
        <v>14</v>
      </c>
    </row>
    <row r="189" spans="1:18" x14ac:dyDescent="0.3">
      <c r="A189" s="7">
        <v>5333</v>
      </c>
      <c r="B189" t="s">
        <v>1543</v>
      </c>
      <c r="C189" s="7" t="s">
        <v>68</v>
      </c>
      <c r="D189" s="7" t="s">
        <v>389</v>
      </c>
      <c r="E189" s="7" t="s">
        <v>69</v>
      </c>
      <c r="F189" s="7" t="s">
        <v>1457</v>
      </c>
      <c r="G189" s="7" t="s">
        <v>55</v>
      </c>
      <c r="H189" t="s">
        <v>840</v>
      </c>
      <c r="I189" t="s">
        <v>1729</v>
      </c>
      <c r="J189" s="14">
        <v>45029</v>
      </c>
      <c r="K189" s="15" t="s">
        <v>1820</v>
      </c>
      <c r="L189" t="s">
        <v>2170</v>
      </c>
      <c r="M189" t="s">
        <v>2011</v>
      </c>
      <c r="N189">
        <v>3121.64</v>
      </c>
      <c r="O189" t="s">
        <v>1825</v>
      </c>
      <c r="P189" s="42">
        <v>65094</v>
      </c>
      <c r="Q189" t="s">
        <v>89</v>
      </c>
      <c r="R189">
        <v>17</v>
      </c>
    </row>
    <row r="190" spans="1:18" x14ac:dyDescent="0.3">
      <c r="A190" s="7">
        <v>5310</v>
      </c>
      <c r="B190" t="s">
        <v>1544</v>
      </c>
      <c r="C190" s="7" t="s">
        <v>61</v>
      </c>
      <c r="D190" s="7" t="s">
        <v>133</v>
      </c>
      <c r="E190" s="7" t="s">
        <v>69</v>
      </c>
      <c r="F190" s="7" t="s">
        <v>1457</v>
      </c>
      <c r="G190" s="7" t="s">
        <v>85</v>
      </c>
      <c r="H190" t="s">
        <v>845</v>
      </c>
      <c r="I190" t="s">
        <v>1730</v>
      </c>
      <c r="J190" s="14">
        <v>43770</v>
      </c>
      <c r="K190" s="15" t="s">
        <v>114</v>
      </c>
      <c r="L190" t="s">
        <v>2170</v>
      </c>
      <c r="M190" t="s">
        <v>2012</v>
      </c>
      <c r="N190">
        <v>2905.59</v>
      </c>
      <c r="O190" t="s">
        <v>1825</v>
      </c>
      <c r="P190" s="42">
        <v>36216</v>
      </c>
      <c r="Q190" t="s">
        <v>127</v>
      </c>
      <c r="R190" t="s">
        <v>1822</v>
      </c>
    </row>
    <row r="191" spans="1:18" x14ac:dyDescent="0.3">
      <c r="A191" s="7">
        <v>5077</v>
      </c>
      <c r="B191" t="s">
        <v>1545</v>
      </c>
      <c r="C191" s="7" t="s">
        <v>61</v>
      </c>
      <c r="D191" s="7" t="s">
        <v>151</v>
      </c>
      <c r="E191" s="7" t="s">
        <v>46</v>
      </c>
      <c r="F191" s="7" t="s">
        <v>1459</v>
      </c>
      <c r="G191" s="7" t="s">
        <v>110</v>
      </c>
      <c r="H191" t="s">
        <v>849</v>
      </c>
      <c r="I191" t="s">
        <v>850</v>
      </c>
      <c r="J191" s="14">
        <v>43421</v>
      </c>
      <c r="K191" s="15" t="s">
        <v>1820</v>
      </c>
      <c r="L191" t="s">
        <v>2170</v>
      </c>
      <c r="M191" t="s">
        <v>2013</v>
      </c>
      <c r="N191">
        <v>1772.4</v>
      </c>
      <c r="O191" t="s">
        <v>1825</v>
      </c>
      <c r="P191" s="42">
        <v>138618</v>
      </c>
      <c r="Q191" t="s">
        <v>95</v>
      </c>
      <c r="R191">
        <v>5</v>
      </c>
    </row>
    <row r="192" spans="1:18" x14ac:dyDescent="0.3">
      <c r="A192" s="7">
        <v>5100</v>
      </c>
      <c r="B192" t="s">
        <v>848</v>
      </c>
      <c r="C192" s="7" t="s">
        <v>68</v>
      </c>
      <c r="D192" s="7" t="s">
        <v>133</v>
      </c>
      <c r="E192" s="7" t="s">
        <v>140</v>
      </c>
      <c r="F192" s="7" t="s">
        <v>1456</v>
      </c>
      <c r="G192" s="7" t="s">
        <v>77</v>
      </c>
      <c r="H192" t="s">
        <v>854</v>
      </c>
      <c r="I192" t="s">
        <v>1731</v>
      </c>
      <c r="J192" s="14">
        <v>43101</v>
      </c>
      <c r="K192" s="15" t="s">
        <v>1820</v>
      </c>
      <c r="L192" t="s">
        <v>2170</v>
      </c>
      <c r="M192" t="s">
        <v>2014</v>
      </c>
      <c r="N192">
        <v>3058.76</v>
      </c>
      <c r="O192" t="s">
        <v>1825</v>
      </c>
      <c r="P192" s="42">
        <v>132398</v>
      </c>
      <c r="Q192" t="s">
        <v>1821</v>
      </c>
      <c r="R192">
        <v>10</v>
      </c>
    </row>
    <row r="193" spans="1:18" x14ac:dyDescent="0.3">
      <c r="A193" s="7">
        <v>5225</v>
      </c>
      <c r="B193" t="s">
        <v>1546</v>
      </c>
      <c r="C193" s="7" t="s">
        <v>68</v>
      </c>
      <c r="D193" s="7" t="s">
        <v>219</v>
      </c>
      <c r="E193" s="7" t="s">
        <v>69</v>
      </c>
      <c r="F193" s="7" t="s">
        <v>1457</v>
      </c>
      <c r="G193" s="7" t="s">
        <v>47</v>
      </c>
      <c r="H193" t="s">
        <v>180</v>
      </c>
      <c r="I193" t="s">
        <v>1732</v>
      </c>
      <c r="J193" s="14">
        <v>43316</v>
      </c>
      <c r="K193" s="15" t="s">
        <v>114</v>
      </c>
      <c r="L193" t="s">
        <v>2170</v>
      </c>
      <c r="M193" t="s">
        <v>2015</v>
      </c>
      <c r="N193">
        <v>2252.38</v>
      </c>
      <c r="O193" t="s">
        <v>1825</v>
      </c>
      <c r="P193" s="42">
        <v>139729</v>
      </c>
      <c r="Q193" t="s">
        <v>144</v>
      </c>
      <c r="R193">
        <v>4</v>
      </c>
    </row>
    <row r="194" spans="1:18" x14ac:dyDescent="0.3">
      <c r="A194" s="7">
        <v>5241</v>
      </c>
      <c r="B194" t="s">
        <v>179</v>
      </c>
      <c r="C194" s="7" t="s">
        <v>68</v>
      </c>
      <c r="D194" s="7" t="s">
        <v>53</v>
      </c>
      <c r="E194" s="7" t="s">
        <v>76</v>
      </c>
      <c r="F194" s="7" t="s">
        <v>1454</v>
      </c>
      <c r="G194" s="7" t="s">
        <v>47</v>
      </c>
      <c r="H194" t="s">
        <v>863</v>
      </c>
      <c r="I194" t="s">
        <v>864</v>
      </c>
      <c r="J194" s="14">
        <v>44450</v>
      </c>
      <c r="K194" s="15" t="s">
        <v>114</v>
      </c>
      <c r="L194" t="s">
        <v>2170</v>
      </c>
      <c r="M194" t="s">
        <v>2016</v>
      </c>
      <c r="N194">
        <v>2994.88</v>
      </c>
      <c r="O194" t="s">
        <v>1825</v>
      </c>
      <c r="P194" s="42">
        <v>0</v>
      </c>
      <c r="Q194" t="s">
        <v>95</v>
      </c>
      <c r="R194">
        <v>21</v>
      </c>
    </row>
    <row r="195" spans="1:18" x14ac:dyDescent="0.3">
      <c r="A195" s="7">
        <v>5243</v>
      </c>
      <c r="B195" t="s">
        <v>862</v>
      </c>
      <c r="C195" s="7" t="s">
        <v>68</v>
      </c>
      <c r="D195" s="7" t="s">
        <v>151</v>
      </c>
      <c r="E195" s="7" t="s">
        <v>69</v>
      </c>
      <c r="F195" s="7" t="s">
        <v>1457</v>
      </c>
      <c r="G195" s="7" t="s">
        <v>175</v>
      </c>
      <c r="H195" t="s">
        <v>867</v>
      </c>
      <c r="I195" t="s">
        <v>868</v>
      </c>
      <c r="J195" s="14">
        <v>43162</v>
      </c>
      <c r="K195" s="15" t="s">
        <v>126</v>
      </c>
      <c r="L195" t="s">
        <v>2170</v>
      </c>
      <c r="M195" t="s">
        <v>2017</v>
      </c>
      <c r="N195">
        <v>1254.95</v>
      </c>
      <c r="O195" t="s">
        <v>1825</v>
      </c>
      <c r="P195" s="42">
        <v>53874</v>
      </c>
      <c r="Q195" t="s">
        <v>144</v>
      </c>
      <c r="R195">
        <v>25</v>
      </c>
    </row>
    <row r="196" spans="1:18" x14ac:dyDescent="0.3">
      <c r="A196" s="7">
        <v>5059</v>
      </c>
      <c r="B196" t="s">
        <v>866</v>
      </c>
      <c r="C196" s="7" t="s">
        <v>61</v>
      </c>
      <c r="D196" s="7" t="s">
        <v>219</v>
      </c>
      <c r="E196" s="7" t="s">
        <v>46</v>
      </c>
      <c r="F196" s="7" t="s">
        <v>1459</v>
      </c>
      <c r="G196" s="7" t="s">
        <v>62</v>
      </c>
      <c r="H196" t="s">
        <v>871</v>
      </c>
      <c r="I196" t="s">
        <v>1733</v>
      </c>
      <c r="J196" s="14">
        <v>43969</v>
      </c>
      <c r="K196" s="15">
        <v>44747</v>
      </c>
      <c r="L196">
        <v>2022</v>
      </c>
      <c r="M196" t="s">
        <v>2018</v>
      </c>
      <c r="N196">
        <v>1585.76</v>
      </c>
      <c r="O196" t="s">
        <v>1826</v>
      </c>
      <c r="P196" s="42">
        <v>124726</v>
      </c>
      <c r="Q196" t="s">
        <v>95</v>
      </c>
      <c r="R196">
        <v>12</v>
      </c>
    </row>
    <row r="197" spans="1:18" x14ac:dyDescent="0.3">
      <c r="A197" s="7">
        <v>5255</v>
      </c>
      <c r="B197" t="s">
        <v>1547</v>
      </c>
      <c r="C197" s="7" t="s">
        <v>68</v>
      </c>
      <c r="D197" s="7" t="s">
        <v>133</v>
      </c>
      <c r="E197" s="7" t="s">
        <v>54</v>
      </c>
      <c r="F197" s="7" t="s">
        <v>1458</v>
      </c>
      <c r="G197" s="7" t="s">
        <v>110</v>
      </c>
      <c r="H197" t="s">
        <v>876</v>
      </c>
      <c r="I197" t="s">
        <v>1734</v>
      </c>
      <c r="J197" s="14">
        <v>43226</v>
      </c>
      <c r="K197" s="15" t="s">
        <v>126</v>
      </c>
      <c r="L197" t="s">
        <v>2170</v>
      </c>
      <c r="M197" t="s">
        <v>2019</v>
      </c>
      <c r="N197">
        <v>2188.09</v>
      </c>
      <c r="O197" t="s">
        <v>1825</v>
      </c>
      <c r="P197" s="42">
        <v>159874</v>
      </c>
      <c r="Q197" t="s">
        <v>89</v>
      </c>
      <c r="R197">
        <v>23</v>
      </c>
    </row>
    <row r="198" spans="1:18" x14ac:dyDescent="0.3">
      <c r="A198" s="7">
        <v>5270</v>
      </c>
      <c r="B198" t="s">
        <v>1548</v>
      </c>
      <c r="C198" s="7" t="s">
        <v>84</v>
      </c>
      <c r="D198" s="7" t="s">
        <v>53</v>
      </c>
      <c r="E198" s="7" t="s">
        <v>76</v>
      </c>
      <c r="F198" s="7" t="s">
        <v>1454</v>
      </c>
      <c r="G198" s="7" t="s">
        <v>175</v>
      </c>
      <c r="H198" t="s">
        <v>880</v>
      </c>
      <c r="I198" t="s">
        <v>1735</v>
      </c>
      <c r="J198" s="14">
        <v>44968</v>
      </c>
      <c r="K198" s="15" t="s">
        <v>1820</v>
      </c>
      <c r="L198" t="s">
        <v>2170</v>
      </c>
      <c r="M198" t="s">
        <v>2020</v>
      </c>
      <c r="N198">
        <v>2402.14</v>
      </c>
      <c r="O198" t="s">
        <v>1825</v>
      </c>
      <c r="P198" s="42">
        <v>151482</v>
      </c>
      <c r="Q198" t="s">
        <v>127</v>
      </c>
      <c r="R198" t="s">
        <v>1822</v>
      </c>
    </row>
    <row r="199" spans="1:18" x14ac:dyDescent="0.3">
      <c r="A199" s="7">
        <v>5335</v>
      </c>
      <c r="B199" t="s">
        <v>1549</v>
      </c>
      <c r="C199" s="7" t="s">
        <v>68</v>
      </c>
      <c r="D199" s="7" t="s">
        <v>53</v>
      </c>
      <c r="E199" s="7" t="s">
        <v>46</v>
      </c>
      <c r="F199" s="7" t="s">
        <v>1459</v>
      </c>
      <c r="G199" s="7" t="s">
        <v>70</v>
      </c>
      <c r="H199" t="s">
        <v>885</v>
      </c>
      <c r="I199" t="s">
        <v>1736</v>
      </c>
      <c r="J199" s="14">
        <v>43161</v>
      </c>
      <c r="K199" s="15" t="s">
        <v>126</v>
      </c>
      <c r="L199" t="s">
        <v>2170</v>
      </c>
      <c r="M199" t="s">
        <v>2021</v>
      </c>
      <c r="N199">
        <v>3103.2</v>
      </c>
      <c r="O199" t="s">
        <v>1825</v>
      </c>
      <c r="P199" s="42">
        <v>0</v>
      </c>
      <c r="Q199" t="s">
        <v>95</v>
      </c>
      <c r="R199">
        <v>2</v>
      </c>
    </row>
    <row r="200" spans="1:18" x14ac:dyDescent="0.3">
      <c r="A200" s="7">
        <v>5066</v>
      </c>
      <c r="B200" t="s">
        <v>884</v>
      </c>
      <c r="C200" s="7" t="s">
        <v>68</v>
      </c>
      <c r="D200" s="7" t="s">
        <v>133</v>
      </c>
      <c r="E200" s="7" t="s">
        <v>69</v>
      </c>
      <c r="F200" s="7" t="s">
        <v>1457</v>
      </c>
      <c r="G200" s="7" t="s">
        <v>62</v>
      </c>
      <c r="H200" t="s">
        <v>890</v>
      </c>
      <c r="I200" t="s">
        <v>1619</v>
      </c>
      <c r="J200" s="14">
        <v>44033</v>
      </c>
      <c r="K200" s="15" t="s">
        <v>1820</v>
      </c>
      <c r="L200" t="s">
        <v>2170</v>
      </c>
      <c r="M200" t="s">
        <v>2022</v>
      </c>
      <c r="N200">
        <v>2776.83</v>
      </c>
      <c r="O200" t="s">
        <v>1825</v>
      </c>
      <c r="P200" s="42">
        <v>0</v>
      </c>
      <c r="Q200" t="s">
        <v>89</v>
      </c>
      <c r="R200">
        <v>24</v>
      </c>
    </row>
    <row r="201" spans="1:18" x14ac:dyDescent="0.3">
      <c r="A201" s="7">
        <v>5284</v>
      </c>
      <c r="B201" t="s">
        <v>1488</v>
      </c>
      <c r="C201" s="7" t="s">
        <v>68</v>
      </c>
      <c r="D201" s="7" t="s">
        <v>122</v>
      </c>
      <c r="E201" s="7" t="s">
        <v>54</v>
      </c>
      <c r="F201" s="7" t="s">
        <v>1458</v>
      </c>
      <c r="G201" s="7" t="s">
        <v>85</v>
      </c>
      <c r="H201" t="s">
        <v>894</v>
      </c>
      <c r="I201" t="s">
        <v>1737</v>
      </c>
      <c r="J201" s="14">
        <v>43819</v>
      </c>
      <c r="K201" s="15" t="s">
        <v>114</v>
      </c>
      <c r="L201" t="s">
        <v>2170</v>
      </c>
      <c r="M201" t="s">
        <v>2023</v>
      </c>
      <c r="N201">
        <v>1858.69</v>
      </c>
      <c r="O201" t="s">
        <v>1825</v>
      </c>
      <c r="P201" s="42">
        <v>100748</v>
      </c>
      <c r="Q201" t="s">
        <v>95</v>
      </c>
      <c r="R201">
        <v>17</v>
      </c>
    </row>
    <row r="202" spans="1:18" x14ac:dyDescent="0.3">
      <c r="A202" s="7">
        <v>5141</v>
      </c>
      <c r="B202" t="s">
        <v>1550</v>
      </c>
      <c r="C202" s="7" t="s">
        <v>61</v>
      </c>
      <c r="D202" s="7" t="s">
        <v>151</v>
      </c>
      <c r="E202" s="7" t="s">
        <v>54</v>
      </c>
      <c r="F202" s="7" t="s">
        <v>1458</v>
      </c>
      <c r="G202" s="7" t="s">
        <v>47</v>
      </c>
      <c r="H202" t="s">
        <v>899</v>
      </c>
      <c r="I202" t="s">
        <v>1738</v>
      </c>
      <c r="J202" s="14">
        <v>43119</v>
      </c>
      <c r="K202" s="15" t="s">
        <v>1820</v>
      </c>
      <c r="L202" t="s">
        <v>2170</v>
      </c>
      <c r="M202" t="s">
        <v>2024</v>
      </c>
      <c r="N202">
        <v>2646.63</v>
      </c>
      <c r="O202" t="s">
        <v>1825</v>
      </c>
      <c r="P202" s="42">
        <v>169961</v>
      </c>
      <c r="Q202" t="s">
        <v>127</v>
      </c>
      <c r="R202">
        <v>22</v>
      </c>
    </row>
    <row r="203" spans="1:18" x14ac:dyDescent="0.3">
      <c r="A203" s="7">
        <v>5194</v>
      </c>
      <c r="B203" t="s">
        <v>1551</v>
      </c>
      <c r="C203" s="7" t="s">
        <v>61</v>
      </c>
      <c r="D203" s="7" t="s">
        <v>151</v>
      </c>
      <c r="E203" s="7" t="s">
        <v>69</v>
      </c>
      <c r="F203" s="7" t="s">
        <v>1457</v>
      </c>
      <c r="G203" s="7" t="s">
        <v>85</v>
      </c>
      <c r="H203" t="s">
        <v>903</v>
      </c>
      <c r="I203" t="s">
        <v>1739</v>
      </c>
      <c r="J203" s="14">
        <v>43445</v>
      </c>
      <c r="K203" s="15" t="s">
        <v>114</v>
      </c>
      <c r="L203" t="s">
        <v>2170</v>
      </c>
      <c r="M203" t="s">
        <v>2025</v>
      </c>
      <c r="N203">
        <v>2893.59</v>
      </c>
      <c r="O203" t="s">
        <v>1825</v>
      </c>
      <c r="P203" s="42">
        <v>0</v>
      </c>
      <c r="Q203" t="s">
        <v>95</v>
      </c>
      <c r="R203">
        <v>5</v>
      </c>
    </row>
    <row r="204" spans="1:18" x14ac:dyDescent="0.3">
      <c r="A204" s="7">
        <v>5192</v>
      </c>
      <c r="B204" t="s">
        <v>1552</v>
      </c>
      <c r="C204" s="7" t="s">
        <v>68</v>
      </c>
      <c r="D204" s="7" t="s">
        <v>133</v>
      </c>
      <c r="E204" s="7" t="s">
        <v>91</v>
      </c>
      <c r="F204" s="7" t="s">
        <v>1455</v>
      </c>
      <c r="G204" s="7" t="s">
        <v>70</v>
      </c>
      <c r="H204" t="s">
        <v>337</v>
      </c>
      <c r="I204" t="s">
        <v>1740</v>
      </c>
      <c r="J204" s="14">
        <v>44363</v>
      </c>
      <c r="K204" s="15" t="s">
        <v>114</v>
      </c>
      <c r="L204" t="s">
        <v>2170</v>
      </c>
      <c r="M204" t="s">
        <v>2026</v>
      </c>
      <c r="N204">
        <v>1788.4</v>
      </c>
      <c r="O204" t="s">
        <v>1825</v>
      </c>
      <c r="P204" s="42">
        <v>109352</v>
      </c>
      <c r="Q204" t="s">
        <v>51</v>
      </c>
      <c r="R204">
        <v>13</v>
      </c>
    </row>
    <row r="205" spans="1:18" x14ac:dyDescent="0.3">
      <c r="A205" s="7">
        <v>5297</v>
      </c>
      <c r="B205" t="s">
        <v>336</v>
      </c>
      <c r="C205" s="7" t="s">
        <v>61</v>
      </c>
      <c r="D205" s="7" t="s">
        <v>122</v>
      </c>
      <c r="E205" s="7" t="s">
        <v>76</v>
      </c>
      <c r="F205" s="7" t="s">
        <v>1454</v>
      </c>
      <c r="G205" s="7" t="s">
        <v>70</v>
      </c>
      <c r="H205" t="s">
        <v>909</v>
      </c>
      <c r="I205" t="s">
        <v>910</v>
      </c>
      <c r="J205" s="14">
        <v>43574</v>
      </c>
      <c r="K205" s="15">
        <v>45838</v>
      </c>
      <c r="L205">
        <v>2025</v>
      </c>
      <c r="M205" t="s">
        <v>1973</v>
      </c>
      <c r="N205">
        <v>1617.2</v>
      </c>
      <c r="O205" t="s">
        <v>1826</v>
      </c>
      <c r="P205" s="42">
        <v>87508</v>
      </c>
      <c r="Q205" t="s">
        <v>127</v>
      </c>
      <c r="R205">
        <v>1</v>
      </c>
    </row>
    <row r="206" spans="1:18" x14ac:dyDescent="0.3">
      <c r="A206" s="7">
        <v>5292</v>
      </c>
      <c r="B206" t="s">
        <v>908</v>
      </c>
      <c r="C206" s="7" t="s">
        <v>68</v>
      </c>
      <c r="D206" s="7" t="s">
        <v>151</v>
      </c>
      <c r="E206" s="7" t="s">
        <v>76</v>
      </c>
      <c r="F206" s="7" t="s">
        <v>1454</v>
      </c>
      <c r="G206" s="7" t="s">
        <v>85</v>
      </c>
      <c r="H206" t="s">
        <v>912</v>
      </c>
      <c r="I206" t="s">
        <v>1741</v>
      </c>
      <c r="J206" s="14">
        <v>43328</v>
      </c>
      <c r="K206" s="15" t="s">
        <v>1820</v>
      </c>
      <c r="L206" t="s">
        <v>2170</v>
      </c>
      <c r="M206" t="s">
        <v>2027</v>
      </c>
      <c r="N206">
        <v>2068.33</v>
      </c>
      <c r="O206" t="s">
        <v>1825</v>
      </c>
      <c r="P206" s="42">
        <v>0</v>
      </c>
      <c r="Q206" t="s">
        <v>95</v>
      </c>
      <c r="R206">
        <v>14</v>
      </c>
    </row>
    <row r="207" spans="1:18" x14ac:dyDescent="0.3">
      <c r="A207" s="7">
        <v>5070</v>
      </c>
      <c r="B207" t="s">
        <v>1533</v>
      </c>
      <c r="C207" s="7" t="s">
        <v>84</v>
      </c>
      <c r="D207" s="7" t="s">
        <v>122</v>
      </c>
      <c r="E207" s="7" t="s">
        <v>69</v>
      </c>
      <c r="F207" s="7" t="s">
        <v>1457</v>
      </c>
      <c r="G207" s="7" t="s">
        <v>85</v>
      </c>
      <c r="H207" t="s">
        <v>916</v>
      </c>
      <c r="I207" t="s">
        <v>917</v>
      </c>
      <c r="J207" s="14">
        <v>44747</v>
      </c>
      <c r="K207" s="15">
        <v>45838</v>
      </c>
      <c r="L207">
        <v>2025</v>
      </c>
      <c r="M207" t="s">
        <v>2028</v>
      </c>
      <c r="N207">
        <v>1517.44</v>
      </c>
      <c r="O207" t="s">
        <v>1826</v>
      </c>
      <c r="P207" s="42">
        <v>161504</v>
      </c>
      <c r="Q207" t="s">
        <v>95</v>
      </c>
      <c r="R207">
        <v>5</v>
      </c>
    </row>
    <row r="208" spans="1:18" x14ac:dyDescent="0.3">
      <c r="A208" s="7">
        <v>5273</v>
      </c>
      <c r="B208" t="s">
        <v>911</v>
      </c>
      <c r="C208" s="7" t="s">
        <v>61</v>
      </c>
      <c r="D208" s="7" t="s">
        <v>53</v>
      </c>
      <c r="E208" s="7" t="s">
        <v>69</v>
      </c>
      <c r="F208" s="7" t="s">
        <v>1457</v>
      </c>
      <c r="G208" s="7" t="s">
        <v>175</v>
      </c>
      <c r="H208" t="s">
        <v>197</v>
      </c>
      <c r="I208" t="s">
        <v>1619</v>
      </c>
      <c r="J208" s="14">
        <v>44433</v>
      </c>
      <c r="K208" s="15" t="s">
        <v>1820</v>
      </c>
      <c r="L208" t="s">
        <v>2170</v>
      </c>
      <c r="M208" t="s">
        <v>2029</v>
      </c>
      <c r="N208">
        <v>3052.76</v>
      </c>
      <c r="O208" t="s">
        <v>1825</v>
      </c>
      <c r="P208" s="42">
        <v>87417</v>
      </c>
      <c r="Q208" t="s">
        <v>127</v>
      </c>
      <c r="R208">
        <v>23</v>
      </c>
    </row>
    <row r="209" spans="1:18" x14ac:dyDescent="0.3">
      <c r="A209" s="7">
        <v>5210</v>
      </c>
      <c r="B209" t="s">
        <v>1553</v>
      </c>
      <c r="C209" s="7" t="s">
        <v>68</v>
      </c>
      <c r="D209" s="7" t="s">
        <v>219</v>
      </c>
      <c r="E209" s="7" t="s">
        <v>91</v>
      </c>
      <c r="F209" s="7" t="s">
        <v>1455</v>
      </c>
      <c r="G209" s="7" t="s">
        <v>85</v>
      </c>
      <c r="H209" t="s">
        <v>885</v>
      </c>
      <c r="I209" t="s">
        <v>1619</v>
      </c>
      <c r="J209" s="14">
        <v>44222</v>
      </c>
      <c r="K209" s="15" t="s">
        <v>1820</v>
      </c>
      <c r="L209" t="s">
        <v>2170</v>
      </c>
      <c r="M209" t="s">
        <v>2030</v>
      </c>
      <c r="N209">
        <v>1581.32</v>
      </c>
      <c r="O209" t="s">
        <v>1825</v>
      </c>
      <c r="P209" s="42">
        <v>166065</v>
      </c>
      <c r="Q209" t="s">
        <v>144</v>
      </c>
      <c r="R209">
        <v>11</v>
      </c>
    </row>
    <row r="210" spans="1:18" x14ac:dyDescent="0.3">
      <c r="A210" s="7">
        <v>5314</v>
      </c>
      <c r="B210" t="s">
        <v>196</v>
      </c>
      <c r="C210" s="7" t="s">
        <v>61</v>
      </c>
      <c r="D210" s="7" t="s">
        <v>151</v>
      </c>
      <c r="E210" s="7" t="s">
        <v>76</v>
      </c>
      <c r="F210" s="7" t="s">
        <v>1454</v>
      </c>
      <c r="G210" s="7" t="s">
        <v>77</v>
      </c>
      <c r="H210" t="s">
        <v>925</v>
      </c>
      <c r="I210" t="s">
        <v>1742</v>
      </c>
      <c r="J210" s="14">
        <v>44154</v>
      </c>
      <c r="K210" s="15" t="s">
        <v>1820</v>
      </c>
      <c r="L210" t="s">
        <v>2170</v>
      </c>
      <c r="M210" t="s">
        <v>2031</v>
      </c>
      <c r="N210">
        <v>3019.32</v>
      </c>
      <c r="O210" t="s">
        <v>1825</v>
      </c>
      <c r="P210" s="42">
        <v>132050</v>
      </c>
      <c r="Q210" t="s">
        <v>127</v>
      </c>
      <c r="R210">
        <v>4</v>
      </c>
    </row>
    <row r="211" spans="1:18" x14ac:dyDescent="0.3">
      <c r="A211" s="7">
        <v>5068</v>
      </c>
      <c r="B211" t="s">
        <v>884</v>
      </c>
      <c r="C211" s="7" t="s">
        <v>61</v>
      </c>
      <c r="D211" s="7" t="s">
        <v>219</v>
      </c>
      <c r="E211" s="7" t="s">
        <v>91</v>
      </c>
      <c r="F211" s="7" t="s">
        <v>1455</v>
      </c>
      <c r="G211" s="7" t="s">
        <v>175</v>
      </c>
      <c r="H211" t="s">
        <v>536</v>
      </c>
      <c r="I211" t="s">
        <v>1743</v>
      </c>
      <c r="J211" s="14">
        <v>44320</v>
      </c>
      <c r="K211" s="15" t="s">
        <v>1820</v>
      </c>
      <c r="L211" t="s">
        <v>2170</v>
      </c>
      <c r="M211" t="s">
        <v>1903</v>
      </c>
      <c r="N211">
        <v>2570.75</v>
      </c>
      <c r="O211" t="s">
        <v>1825</v>
      </c>
      <c r="P211" s="42">
        <v>84059</v>
      </c>
      <c r="Q211" t="s">
        <v>95</v>
      </c>
      <c r="R211">
        <v>16</v>
      </c>
    </row>
    <row r="212" spans="1:18" x14ac:dyDescent="0.3">
      <c r="A212" s="7">
        <v>5029</v>
      </c>
      <c r="B212" t="s">
        <v>924</v>
      </c>
      <c r="C212" s="7" t="s">
        <v>68</v>
      </c>
      <c r="D212" s="7" t="s">
        <v>133</v>
      </c>
      <c r="E212" s="7" t="s">
        <v>54</v>
      </c>
      <c r="F212" s="7" t="s">
        <v>1458</v>
      </c>
      <c r="G212" s="7" t="s">
        <v>62</v>
      </c>
      <c r="H212" t="s">
        <v>1601</v>
      </c>
      <c r="I212" t="s">
        <v>931</v>
      </c>
      <c r="J212" s="14">
        <v>43168</v>
      </c>
      <c r="K212" s="15" t="s">
        <v>114</v>
      </c>
      <c r="L212" t="s">
        <v>2170</v>
      </c>
      <c r="M212" t="s">
        <v>2032</v>
      </c>
      <c r="N212">
        <v>2456.02</v>
      </c>
      <c r="O212" t="s">
        <v>1825</v>
      </c>
      <c r="P212" s="42">
        <v>94903</v>
      </c>
      <c r="Q212" t="s">
        <v>51</v>
      </c>
      <c r="R212">
        <v>23</v>
      </c>
    </row>
    <row r="213" spans="1:18" x14ac:dyDescent="0.3">
      <c r="A213" s="7">
        <v>5144</v>
      </c>
      <c r="B213" t="s">
        <v>1519</v>
      </c>
      <c r="C213" s="7" t="s">
        <v>61</v>
      </c>
      <c r="D213" s="7" t="s">
        <v>219</v>
      </c>
      <c r="E213" s="7" t="s">
        <v>46</v>
      </c>
      <c r="F213" s="7" t="s">
        <v>1459</v>
      </c>
      <c r="G213" s="7" t="s">
        <v>175</v>
      </c>
      <c r="H213" t="s">
        <v>1609</v>
      </c>
      <c r="I213" t="s">
        <v>1617</v>
      </c>
      <c r="J213" s="14">
        <v>44639</v>
      </c>
      <c r="K213" s="15">
        <v>45838</v>
      </c>
      <c r="L213">
        <v>2025</v>
      </c>
      <c r="M213" t="s">
        <v>2033</v>
      </c>
      <c r="N213">
        <v>562.89</v>
      </c>
      <c r="O213" t="s">
        <v>1826</v>
      </c>
      <c r="P213" s="42">
        <v>51253</v>
      </c>
      <c r="Q213" t="s">
        <v>51</v>
      </c>
      <c r="R213">
        <v>17</v>
      </c>
    </row>
    <row r="214" spans="1:18" x14ac:dyDescent="0.3">
      <c r="A214" s="7">
        <v>5261</v>
      </c>
      <c r="B214" t="s">
        <v>540</v>
      </c>
      <c r="C214" s="7" t="s">
        <v>84</v>
      </c>
      <c r="D214" s="7" t="s">
        <v>133</v>
      </c>
      <c r="E214" s="7" t="s">
        <v>76</v>
      </c>
      <c r="F214" s="7" t="s">
        <v>1454</v>
      </c>
      <c r="G214" s="7" t="s">
        <v>175</v>
      </c>
      <c r="H214" t="s">
        <v>939</v>
      </c>
      <c r="I214" t="s">
        <v>1744</v>
      </c>
      <c r="J214" s="14">
        <v>43202</v>
      </c>
      <c r="K214" s="15" t="s">
        <v>114</v>
      </c>
      <c r="L214" t="s">
        <v>2170</v>
      </c>
      <c r="M214" t="s">
        <v>2034</v>
      </c>
      <c r="N214">
        <v>2498.9</v>
      </c>
      <c r="O214" t="s">
        <v>1825</v>
      </c>
      <c r="P214" s="42">
        <v>149465</v>
      </c>
      <c r="Q214" t="s">
        <v>127</v>
      </c>
      <c r="R214">
        <v>20</v>
      </c>
    </row>
    <row r="215" spans="1:18" x14ac:dyDescent="0.3">
      <c r="A215" s="7">
        <v>5032</v>
      </c>
      <c r="B215" t="s">
        <v>1554</v>
      </c>
      <c r="C215" s="7" t="s">
        <v>68</v>
      </c>
      <c r="D215" s="7" t="s">
        <v>219</v>
      </c>
      <c r="E215" s="7" t="s">
        <v>46</v>
      </c>
      <c r="F215" s="7" t="s">
        <v>1459</v>
      </c>
      <c r="G215" s="7" t="s">
        <v>47</v>
      </c>
      <c r="H215" t="s">
        <v>943</v>
      </c>
      <c r="I215" t="s">
        <v>1745</v>
      </c>
      <c r="J215" s="14">
        <v>43650</v>
      </c>
      <c r="K215" s="15" t="s">
        <v>1820</v>
      </c>
      <c r="L215" t="s">
        <v>2170</v>
      </c>
      <c r="M215" t="s">
        <v>1884</v>
      </c>
      <c r="N215">
        <v>795.38</v>
      </c>
      <c r="O215" t="s">
        <v>1825</v>
      </c>
      <c r="P215" s="42">
        <v>167447</v>
      </c>
      <c r="Q215" t="s">
        <v>89</v>
      </c>
      <c r="R215">
        <v>12</v>
      </c>
    </row>
    <row r="216" spans="1:18" x14ac:dyDescent="0.3">
      <c r="A216" s="7">
        <v>5347</v>
      </c>
      <c r="B216" t="s">
        <v>1555</v>
      </c>
      <c r="C216" s="7" t="s">
        <v>61</v>
      </c>
      <c r="D216" s="7" t="s">
        <v>389</v>
      </c>
      <c r="E216" s="7" t="s">
        <v>69</v>
      </c>
      <c r="F216" s="7" t="s">
        <v>1457</v>
      </c>
      <c r="G216" s="7" t="s">
        <v>110</v>
      </c>
      <c r="H216" t="s">
        <v>759</v>
      </c>
      <c r="I216" t="s">
        <v>1617</v>
      </c>
      <c r="J216" s="14">
        <v>43765</v>
      </c>
      <c r="K216" s="15" t="s">
        <v>126</v>
      </c>
      <c r="L216" t="s">
        <v>2170</v>
      </c>
      <c r="M216" t="s">
        <v>2035</v>
      </c>
      <c r="N216">
        <v>2674.07</v>
      </c>
      <c r="O216" t="s">
        <v>1825</v>
      </c>
      <c r="P216" s="42">
        <v>111945</v>
      </c>
      <c r="Q216" t="s">
        <v>89</v>
      </c>
      <c r="R216">
        <v>2</v>
      </c>
    </row>
    <row r="217" spans="1:18" x14ac:dyDescent="0.3">
      <c r="A217" s="7">
        <v>5321</v>
      </c>
      <c r="B217" t="s">
        <v>1556</v>
      </c>
      <c r="C217" s="7" t="s">
        <v>61</v>
      </c>
      <c r="D217" s="7" t="s">
        <v>219</v>
      </c>
      <c r="E217" s="7" t="s">
        <v>46</v>
      </c>
      <c r="F217" s="7" t="s">
        <v>1459</v>
      </c>
      <c r="G217" s="7" t="s">
        <v>70</v>
      </c>
      <c r="H217" t="s">
        <v>92</v>
      </c>
      <c r="I217" t="s">
        <v>1746</v>
      </c>
      <c r="J217" s="14">
        <v>45275</v>
      </c>
      <c r="K217" s="15" t="s">
        <v>1820</v>
      </c>
      <c r="L217" t="s">
        <v>2170</v>
      </c>
      <c r="M217" t="s">
        <v>2036</v>
      </c>
      <c r="N217">
        <v>2870.15</v>
      </c>
      <c r="O217" t="s">
        <v>1825</v>
      </c>
      <c r="P217" s="42">
        <v>0</v>
      </c>
      <c r="Q217" t="s">
        <v>89</v>
      </c>
      <c r="R217" t="s">
        <v>1822</v>
      </c>
    </row>
    <row r="218" spans="1:18" x14ac:dyDescent="0.3">
      <c r="A218" s="7">
        <v>5075</v>
      </c>
      <c r="B218" t="s">
        <v>1538</v>
      </c>
      <c r="C218" s="7" t="s">
        <v>61</v>
      </c>
      <c r="D218" s="7" t="s">
        <v>151</v>
      </c>
      <c r="E218" s="7" t="s">
        <v>69</v>
      </c>
      <c r="F218" s="7" t="s">
        <v>1457</v>
      </c>
      <c r="G218" s="7" t="s">
        <v>62</v>
      </c>
      <c r="H218" t="s">
        <v>952</v>
      </c>
      <c r="I218" t="s">
        <v>1747</v>
      </c>
      <c r="J218" s="14">
        <v>43723</v>
      </c>
      <c r="K218" s="15" t="s">
        <v>1820</v>
      </c>
      <c r="L218" t="s">
        <v>2170</v>
      </c>
      <c r="M218" t="s">
        <v>2037</v>
      </c>
      <c r="N218">
        <v>2589.19</v>
      </c>
      <c r="O218" t="s">
        <v>1825</v>
      </c>
      <c r="P218" s="42">
        <v>142930</v>
      </c>
      <c r="Q218" t="s">
        <v>95</v>
      </c>
      <c r="R218">
        <v>4</v>
      </c>
    </row>
    <row r="219" spans="1:18" x14ac:dyDescent="0.3">
      <c r="A219" s="7">
        <v>5226</v>
      </c>
      <c r="B219" t="s">
        <v>90</v>
      </c>
      <c r="C219" s="7" t="s">
        <v>84</v>
      </c>
      <c r="D219" s="7" t="s">
        <v>219</v>
      </c>
      <c r="E219" s="7" t="s">
        <v>46</v>
      </c>
      <c r="F219" s="7" t="s">
        <v>1459</v>
      </c>
      <c r="G219" s="7" t="s">
        <v>175</v>
      </c>
      <c r="H219" t="s">
        <v>957</v>
      </c>
      <c r="I219" t="s">
        <v>1617</v>
      </c>
      <c r="J219" s="14">
        <v>45426</v>
      </c>
      <c r="K219" s="15">
        <v>45587</v>
      </c>
      <c r="L219">
        <v>2024</v>
      </c>
      <c r="M219" t="s">
        <v>2038</v>
      </c>
      <c r="N219">
        <v>1723.52</v>
      </c>
      <c r="O219" t="s">
        <v>1826</v>
      </c>
      <c r="P219" s="42">
        <v>162349</v>
      </c>
      <c r="Q219" t="s">
        <v>127</v>
      </c>
      <c r="R219">
        <v>0</v>
      </c>
    </row>
    <row r="220" spans="1:18" x14ac:dyDescent="0.3">
      <c r="A220" s="7">
        <v>5145</v>
      </c>
      <c r="B220" t="s">
        <v>951</v>
      </c>
      <c r="C220" s="7" t="s">
        <v>68</v>
      </c>
      <c r="D220" s="7" t="s">
        <v>133</v>
      </c>
      <c r="E220" s="7" t="s">
        <v>140</v>
      </c>
      <c r="F220" s="7" t="s">
        <v>1456</v>
      </c>
      <c r="G220" s="7" t="s">
        <v>175</v>
      </c>
      <c r="H220" t="s">
        <v>961</v>
      </c>
      <c r="I220" t="s">
        <v>1748</v>
      </c>
      <c r="J220" s="14">
        <v>43546</v>
      </c>
      <c r="K220" s="15" t="s">
        <v>126</v>
      </c>
      <c r="L220" t="s">
        <v>2170</v>
      </c>
      <c r="M220" t="s">
        <v>2039</v>
      </c>
      <c r="N220">
        <v>1035.9000000000001</v>
      </c>
      <c r="O220" t="s">
        <v>1825</v>
      </c>
      <c r="P220" s="42">
        <v>86731</v>
      </c>
      <c r="Q220" t="s">
        <v>127</v>
      </c>
      <c r="R220">
        <v>3</v>
      </c>
    </row>
    <row r="221" spans="1:18" x14ac:dyDescent="0.3">
      <c r="A221" s="7">
        <v>5021</v>
      </c>
      <c r="B221" t="s">
        <v>1557</v>
      </c>
      <c r="C221" s="7" t="s">
        <v>61</v>
      </c>
      <c r="D221" s="7" t="s">
        <v>389</v>
      </c>
      <c r="E221" s="7" t="s">
        <v>46</v>
      </c>
      <c r="F221" s="7" t="s">
        <v>1459</v>
      </c>
      <c r="G221" s="7" t="s">
        <v>85</v>
      </c>
      <c r="H221" t="s">
        <v>966</v>
      </c>
      <c r="I221" t="s">
        <v>967</v>
      </c>
      <c r="J221" s="14">
        <v>43352</v>
      </c>
      <c r="K221" s="15" t="s">
        <v>1820</v>
      </c>
      <c r="L221" t="s">
        <v>2170</v>
      </c>
      <c r="M221" t="s">
        <v>2040</v>
      </c>
      <c r="N221">
        <v>2811.27</v>
      </c>
      <c r="O221" t="s">
        <v>1825</v>
      </c>
      <c r="P221" s="42">
        <v>145243</v>
      </c>
      <c r="Q221" t="s">
        <v>127</v>
      </c>
      <c r="R221">
        <v>20</v>
      </c>
    </row>
    <row r="222" spans="1:18" x14ac:dyDescent="0.3">
      <c r="A222" s="7">
        <v>5039</v>
      </c>
      <c r="B222" t="s">
        <v>1558</v>
      </c>
      <c r="C222" s="7" t="s">
        <v>68</v>
      </c>
      <c r="D222" s="7" t="s">
        <v>53</v>
      </c>
      <c r="E222" s="7" t="s">
        <v>76</v>
      </c>
      <c r="F222" s="7" t="s">
        <v>1454</v>
      </c>
      <c r="G222" s="7" t="s">
        <v>55</v>
      </c>
      <c r="H222" t="s">
        <v>970</v>
      </c>
      <c r="I222" t="s">
        <v>1749</v>
      </c>
      <c r="J222" s="14">
        <v>43632</v>
      </c>
      <c r="K222" s="15" t="s">
        <v>114</v>
      </c>
      <c r="L222" t="s">
        <v>2170</v>
      </c>
      <c r="M222" t="s">
        <v>2041</v>
      </c>
      <c r="N222">
        <v>1926.57</v>
      </c>
      <c r="O222" t="s">
        <v>1825</v>
      </c>
      <c r="P222" s="42">
        <v>68500</v>
      </c>
      <c r="Q222" t="s">
        <v>89</v>
      </c>
      <c r="R222">
        <v>18</v>
      </c>
    </row>
    <row r="223" spans="1:18" x14ac:dyDescent="0.3">
      <c r="A223" s="7">
        <v>5057</v>
      </c>
      <c r="B223" t="s">
        <v>1559</v>
      </c>
      <c r="C223" s="7" t="s">
        <v>68</v>
      </c>
      <c r="D223" s="7" t="s">
        <v>389</v>
      </c>
      <c r="E223" s="7" t="s">
        <v>46</v>
      </c>
      <c r="F223" s="7" t="s">
        <v>1459</v>
      </c>
      <c r="G223" s="7" t="s">
        <v>70</v>
      </c>
      <c r="H223" t="s">
        <v>974</v>
      </c>
      <c r="I223" t="s">
        <v>1750</v>
      </c>
      <c r="J223" s="14">
        <v>43864</v>
      </c>
      <c r="K223" s="15" t="s">
        <v>1820</v>
      </c>
      <c r="L223" t="s">
        <v>2170</v>
      </c>
      <c r="M223" t="s">
        <v>2042</v>
      </c>
      <c r="N223">
        <v>913.14</v>
      </c>
      <c r="O223" t="s">
        <v>1825</v>
      </c>
      <c r="P223" s="42">
        <v>150421</v>
      </c>
      <c r="Q223" t="s">
        <v>127</v>
      </c>
      <c r="R223" t="s">
        <v>1822</v>
      </c>
    </row>
    <row r="224" spans="1:18" x14ac:dyDescent="0.3">
      <c r="A224" s="7">
        <v>5092</v>
      </c>
      <c r="B224" t="s">
        <v>1560</v>
      </c>
      <c r="C224" s="7" t="s">
        <v>84</v>
      </c>
      <c r="D224" s="7" t="s">
        <v>219</v>
      </c>
      <c r="E224" s="7" t="s">
        <v>69</v>
      </c>
      <c r="F224" s="7" t="s">
        <v>1457</v>
      </c>
      <c r="G224" s="7" t="s">
        <v>85</v>
      </c>
      <c r="H224" t="s">
        <v>979</v>
      </c>
      <c r="I224" t="s">
        <v>980</v>
      </c>
      <c r="J224" s="14">
        <v>45186</v>
      </c>
      <c r="K224" s="15" t="s">
        <v>1820</v>
      </c>
      <c r="L224" t="s">
        <v>2170</v>
      </c>
      <c r="M224" t="s">
        <v>2043</v>
      </c>
      <c r="N224">
        <v>1691.08</v>
      </c>
      <c r="O224" t="s">
        <v>1825</v>
      </c>
      <c r="P224" s="42">
        <v>164959</v>
      </c>
      <c r="Q224" t="s">
        <v>127</v>
      </c>
      <c r="R224">
        <v>5</v>
      </c>
    </row>
    <row r="225" spans="1:18" x14ac:dyDescent="0.3">
      <c r="A225" s="7">
        <v>5349</v>
      </c>
      <c r="B225" t="s">
        <v>1561</v>
      </c>
      <c r="C225" s="7" t="s">
        <v>61</v>
      </c>
      <c r="D225" s="7" t="s">
        <v>122</v>
      </c>
      <c r="E225" s="7" t="s">
        <v>140</v>
      </c>
      <c r="F225" s="7" t="s">
        <v>1456</v>
      </c>
      <c r="G225" s="7" t="s">
        <v>110</v>
      </c>
      <c r="H225" t="s">
        <v>623</v>
      </c>
      <c r="I225" t="s">
        <v>983</v>
      </c>
      <c r="J225" s="14">
        <v>43411</v>
      </c>
      <c r="K225" s="15" t="s">
        <v>126</v>
      </c>
      <c r="L225" t="s">
        <v>2170</v>
      </c>
      <c r="M225" t="s">
        <v>1855</v>
      </c>
      <c r="N225">
        <v>1335.83</v>
      </c>
      <c r="O225" t="s">
        <v>1825</v>
      </c>
      <c r="P225" s="42">
        <v>71853</v>
      </c>
      <c r="Q225" t="s">
        <v>1821</v>
      </c>
      <c r="R225">
        <v>20</v>
      </c>
    </row>
    <row r="226" spans="1:18" x14ac:dyDescent="0.3">
      <c r="A226" s="7">
        <v>5232</v>
      </c>
      <c r="B226" t="s">
        <v>1562</v>
      </c>
      <c r="C226" s="7" t="s">
        <v>61</v>
      </c>
      <c r="D226" s="7" t="s">
        <v>389</v>
      </c>
      <c r="E226" s="7" t="s">
        <v>54</v>
      </c>
      <c r="F226" s="7" t="s">
        <v>1458</v>
      </c>
      <c r="G226" s="7" t="s">
        <v>77</v>
      </c>
      <c r="H226" t="s">
        <v>1601</v>
      </c>
      <c r="I226" t="s">
        <v>1617</v>
      </c>
      <c r="J226" s="14">
        <v>44295</v>
      </c>
      <c r="K226" s="15" t="s">
        <v>1820</v>
      </c>
      <c r="L226" t="s">
        <v>2170</v>
      </c>
      <c r="M226" t="s">
        <v>2044</v>
      </c>
      <c r="N226">
        <v>877.26</v>
      </c>
      <c r="O226" t="s">
        <v>1825</v>
      </c>
      <c r="P226" s="42">
        <v>0</v>
      </c>
      <c r="Q226" t="s">
        <v>127</v>
      </c>
      <c r="R226" t="s">
        <v>1822</v>
      </c>
    </row>
    <row r="227" spans="1:18" x14ac:dyDescent="0.3">
      <c r="A227" s="7">
        <v>5191</v>
      </c>
      <c r="B227" t="s">
        <v>831</v>
      </c>
      <c r="C227" s="7" t="s">
        <v>84</v>
      </c>
      <c r="D227" s="7" t="s">
        <v>133</v>
      </c>
      <c r="E227" s="7" t="s">
        <v>140</v>
      </c>
      <c r="F227" s="7" t="s">
        <v>1456</v>
      </c>
      <c r="G227" s="7" t="s">
        <v>85</v>
      </c>
      <c r="H227" t="s">
        <v>48</v>
      </c>
      <c r="I227" t="s">
        <v>1617</v>
      </c>
      <c r="J227" s="14">
        <v>45309</v>
      </c>
      <c r="K227" s="15" t="s">
        <v>1820</v>
      </c>
      <c r="L227" t="s">
        <v>2170</v>
      </c>
      <c r="M227" t="s">
        <v>2045</v>
      </c>
      <c r="N227">
        <v>1643.64</v>
      </c>
      <c r="O227" t="s">
        <v>1825</v>
      </c>
      <c r="P227" s="42">
        <v>161873</v>
      </c>
      <c r="Q227" t="s">
        <v>144</v>
      </c>
      <c r="R227">
        <v>16</v>
      </c>
    </row>
    <row r="228" spans="1:18" x14ac:dyDescent="0.3">
      <c r="A228" s="7">
        <v>5323</v>
      </c>
      <c r="B228" t="s">
        <v>771</v>
      </c>
      <c r="C228" s="7" t="s">
        <v>61</v>
      </c>
      <c r="D228" s="7" t="s">
        <v>133</v>
      </c>
      <c r="E228" s="7" t="s">
        <v>46</v>
      </c>
      <c r="F228" s="7" t="s">
        <v>1459</v>
      </c>
      <c r="G228" s="7" t="s">
        <v>77</v>
      </c>
      <c r="H228" t="s">
        <v>988</v>
      </c>
      <c r="I228" t="s">
        <v>989</v>
      </c>
      <c r="J228" s="14">
        <v>44531</v>
      </c>
      <c r="K228" s="15">
        <v>45838</v>
      </c>
      <c r="L228">
        <v>2025</v>
      </c>
      <c r="M228" t="s">
        <v>2046</v>
      </c>
      <c r="N228">
        <v>826.82</v>
      </c>
      <c r="O228" t="s">
        <v>1826</v>
      </c>
      <c r="P228" s="42">
        <v>124352</v>
      </c>
      <c r="Q228" t="s">
        <v>51</v>
      </c>
      <c r="R228" t="s">
        <v>1822</v>
      </c>
    </row>
    <row r="229" spans="1:18" x14ac:dyDescent="0.3">
      <c r="A229" s="7">
        <v>5309</v>
      </c>
      <c r="B229" t="s">
        <v>1468</v>
      </c>
      <c r="C229" s="7" t="s">
        <v>61</v>
      </c>
      <c r="D229" s="7" t="s">
        <v>122</v>
      </c>
      <c r="E229" s="7" t="s">
        <v>91</v>
      </c>
      <c r="F229" s="7" t="s">
        <v>1455</v>
      </c>
      <c r="G229" s="7" t="s">
        <v>110</v>
      </c>
      <c r="H229" t="s">
        <v>992</v>
      </c>
      <c r="I229" t="s">
        <v>1751</v>
      </c>
      <c r="J229" s="14">
        <v>44886</v>
      </c>
      <c r="K229" s="15" t="s">
        <v>114</v>
      </c>
      <c r="L229" t="s">
        <v>2170</v>
      </c>
      <c r="M229" t="s">
        <v>2047</v>
      </c>
      <c r="N229">
        <v>2589.19</v>
      </c>
      <c r="O229" t="s">
        <v>1825</v>
      </c>
      <c r="P229" s="42">
        <v>135137</v>
      </c>
      <c r="Q229" t="s">
        <v>144</v>
      </c>
      <c r="R229">
        <v>7</v>
      </c>
    </row>
    <row r="230" spans="1:18" x14ac:dyDescent="0.3">
      <c r="A230" s="7">
        <v>5032</v>
      </c>
      <c r="B230" t="s">
        <v>1554</v>
      </c>
      <c r="C230" s="7" t="s">
        <v>61</v>
      </c>
      <c r="D230" s="7" t="s">
        <v>133</v>
      </c>
      <c r="E230" s="7" t="s">
        <v>140</v>
      </c>
      <c r="F230" s="7" t="s">
        <v>1456</v>
      </c>
      <c r="G230" s="7" t="s">
        <v>70</v>
      </c>
      <c r="H230" t="s">
        <v>996</v>
      </c>
      <c r="I230" t="s">
        <v>1752</v>
      </c>
      <c r="J230" s="14">
        <v>45345</v>
      </c>
      <c r="K230" s="15" t="s">
        <v>1820</v>
      </c>
      <c r="L230" t="s">
        <v>2170</v>
      </c>
      <c r="M230" t="s">
        <v>2048</v>
      </c>
      <c r="N230">
        <v>1435.5900000000001</v>
      </c>
      <c r="O230" t="s">
        <v>1825</v>
      </c>
      <c r="P230" s="42">
        <v>0</v>
      </c>
      <c r="Q230" t="s">
        <v>144</v>
      </c>
      <c r="R230">
        <v>17</v>
      </c>
    </row>
    <row r="231" spans="1:18" x14ac:dyDescent="0.3">
      <c r="A231" s="7">
        <v>5317</v>
      </c>
      <c r="B231" t="s">
        <v>1563</v>
      </c>
      <c r="C231" s="7" t="s">
        <v>68</v>
      </c>
      <c r="D231" s="7" t="s">
        <v>122</v>
      </c>
      <c r="E231" s="7" t="s">
        <v>69</v>
      </c>
      <c r="F231" s="7" t="s">
        <v>1457</v>
      </c>
      <c r="G231" s="7" t="s">
        <v>47</v>
      </c>
      <c r="H231" t="s">
        <v>1000</v>
      </c>
      <c r="I231" t="s">
        <v>1617</v>
      </c>
      <c r="J231" s="14">
        <v>44579</v>
      </c>
      <c r="K231" s="15" t="s">
        <v>114</v>
      </c>
      <c r="L231" t="s">
        <v>2170</v>
      </c>
      <c r="M231" t="s">
        <v>2049</v>
      </c>
      <c r="N231">
        <v>1403.15</v>
      </c>
      <c r="O231" t="s">
        <v>1825</v>
      </c>
      <c r="P231" s="42">
        <v>120756</v>
      </c>
      <c r="Q231" t="s">
        <v>95</v>
      </c>
      <c r="R231">
        <v>25</v>
      </c>
    </row>
    <row r="232" spans="1:18" x14ac:dyDescent="0.3">
      <c r="A232" s="7">
        <v>5170</v>
      </c>
      <c r="B232" t="s">
        <v>1564</v>
      </c>
      <c r="C232" s="7" t="s">
        <v>61</v>
      </c>
      <c r="D232" s="7" t="s">
        <v>122</v>
      </c>
      <c r="E232" s="7" t="s">
        <v>69</v>
      </c>
      <c r="F232" s="7" t="s">
        <v>1457</v>
      </c>
      <c r="G232" s="7" t="s">
        <v>70</v>
      </c>
      <c r="H232" t="s">
        <v>1003</v>
      </c>
      <c r="I232" t="s">
        <v>1753</v>
      </c>
      <c r="J232" s="14">
        <v>45010</v>
      </c>
      <c r="K232" s="15" t="s">
        <v>126</v>
      </c>
      <c r="L232" t="s">
        <v>2170</v>
      </c>
      <c r="M232" t="s">
        <v>2050</v>
      </c>
      <c r="N232">
        <v>2111.21</v>
      </c>
      <c r="O232" t="s">
        <v>1825</v>
      </c>
      <c r="P232" s="42">
        <v>78181</v>
      </c>
      <c r="Q232" t="s">
        <v>127</v>
      </c>
      <c r="R232">
        <v>18</v>
      </c>
    </row>
    <row r="233" spans="1:18" x14ac:dyDescent="0.3">
      <c r="A233" s="7">
        <v>5319</v>
      </c>
      <c r="B233" t="s">
        <v>1565</v>
      </c>
      <c r="C233" s="7" t="s">
        <v>61</v>
      </c>
      <c r="D233" s="7" t="s">
        <v>151</v>
      </c>
      <c r="E233" s="7" t="s">
        <v>91</v>
      </c>
      <c r="F233" s="7" t="s">
        <v>1455</v>
      </c>
      <c r="G233" s="7" t="s">
        <v>70</v>
      </c>
      <c r="H233" t="s">
        <v>1610</v>
      </c>
      <c r="I233" t="s">
        <v>1617</v>
      </c>
      <c r="J233" s="14">
        <v>43632</v>
      </c>
      <c r="K233" s="15" t="s">
        <v>126</v>
      </c>
      <c r="L233" t="s">
        <v>2170</v>
      </c>
      <c r="M233" t="s">
        <v>2041</v>
      </c>
      <c r="N233">
        <v>3121.64</v>
      </c>
      <c r="O233" t="s">
        <v>1825</v>
      </c>
      <c r="P233" s="42">
        <v>102002</v>
      </c>
      <c r="Q233" t="s">
        <v>1821</v>
      </c>
      <c r="R233">
        <v>7</v>
      </c>
    </row>
    <row r="234" spans="1:18" x14ac:dyDescent="0.3">
      <c r="A234" s="7">
        <v>5182</v>
      </c>
      <c r="B234" t="s">
        <v>999</v>
      </c>
      <c r="C234" s="7" t="s">
        <v>61</v>
      </c>
      <c r="D234" s="7" t="s">
        <v>122</v>
      </c>
      <c r="E234" s="7" t="s">
        <v>69</v>
      </c>
      <c r="F234" s="7" t="s">
        <v>1457</v>
      </c>
      <c r="G234" s="7" t="s">
        <v>47</v>
      </c>
      <c r="H234" t="s">
        <v>1011</v>
      </c>
      <c r="I234" t="s">
        <v>1754</v>
      </c>
      <c r="J234" s="14">
        <v>44786</v>
      </c>
      <c r="K234" s="15" t="s">
        <v>126</v>
      </c>
      <c r="L234" t="s">
        <v>2170</v>
      </c>
      <c r="M234" t="s">
        <v>2051</v>
      </c>
      <c r="N234">
        <v>2711.95</v>
      </c>
      <c r="O234" t="s">
        <v>1825</v>
      </c>
      <c r="P234" s="42">
        <v>179947</v>
      </c>
      <c r="Q234" t="s">
        <v>51</v>
      </c>
      <c r="R234">
        <v>15</v>
      </c>
    </row>
    <row r="235" spans="1:18" x14ac:dyDescent="0.3">
      <c r="A235" s="7">
        <v>5138</v>
      </c>
      <c r="B235" t="s">
        <v>1566</v>
      </c>
      <c r="C235" s="7" t="s">
        <v>68</v>
      </c>
      <c r="D235" s="7" t="s">
        <v>389</v>
      </c>
      <c r="E235" s="7" t="s">
        <v>91</v>
      </c>
      <c r="F235" s="7" t="s">
        <v>1455</v>
      </c>
      <c r="G235" s="7" t="s">
        <v>55</v>
      </c>
      <c r="H235" t="s">
        <v>341</v>
      </c>
      <c r="I235" t="s">
        <v>1755</v>
      </c>
      <c r="J235" s="14">
        <v>44819</v>
      </c>
      <c r="K235" s="15" t="s">
        <v>1820</v>
      </c>
      <c r="L235" t="s">
        <v>2170</v>
      </c>
      <c r="M235" t="s">
        <v>2052</v>
      </c>
      <c r="N235">
        <v>1395.71</v>
      </c>
      <c r="O235" t="s">
        <v>1825</v>
      </c>
      <c r="P235" s="42">
        <v>99533</v>
      </c>
      <c r="Q235" t="s">
        <v>144</v>
      </c>
      <c r="R235">
        <v>8</v>
      </c>
    </row>
    <row r="236" spans="1:18" x14ac:dyDescent="0.3">
      <c r="A236" s="7">
        <v>5017</v>
      </c>
      <c r="B236" t="s">
        <v>1567</v>
      </c>
      <c r="C236" s="7" t="s">
        <v>68</v>
      </c>
      <c r="D236" s="7" t="s">
        <v>133</v>
      </c>
      <c r="E236" s="7" t="s">
        <v>91</v>
      </c>
      <c r="F236" s="7" t="s">
        <v>1455</v>
      </c>
      <c r="G236" s="7" t="s">
        <v>110</v>
      </c>
      <c r="H236" t="s">
        <v>1017</v>
      </c>
      <c r="I236" t="s">
        <v>1619</v>
      </c>
      <c r="J236" s="14">
        <v>44111</v>
      </c>
      <c r="K236" s="15">
        <v>45234</v>
      </c>
      <c r="L236">
        <v>2023</v>
      </c>
      <c r="M236" t="s">
        <v>2053</v>
      </c>
      <c r="N236">
        <v>1339.27</v>
      </c>
      <c r="O236" t="s">
        <v>1826</v>
      </c>
      <c r="P236" s="42">
        <v>0</v>
      </c>
      <c r="Q236" t="s">
        <v>127</v>
      </c>
      <c r="R236">
        <v>2</v>
      </c>
    </row>
    <row r="237" spans="1:18" x14ac:dyDescent="0.3">
      <c r="A237" s="7">
        <v>5088</v>
      </c>
      <c r="B237" t="s">
        <v>1010</v>
      </c>
      <c r="C237" s="7" t="s">
        <v>61</v>
      </c>
      <c r="D237" s="7" t="s">
        <v>133</v>
      </c>
      <c r="E237" s="7" t="s">
        <v>76</v>
      </c>
      <c r="F237" s="7" t="s">
        <v>1454</v>
      </c>
      <c r="G237" s="7" t="s">
        <v>55</v>
      </c>
      <c r="H237" t="s">
        <v>1021</v>
      </c>
      <c r="I237" t="s">
        <v>1022</v>
      </c>
      <c r="J237" s="14">
        <v>43101</v>
      </c>
      <c r="K237" s="15" t="s">
        <v>1820</v>
      </c>
      <c r="L237" t="s">
        <v>2170</v>
      </c>
      <c r="M237" t="s">
        <v>2014</v>
      </c>
      <c r="N237">
        <v>2708.95</v>
      </c>
      <c r="O237" t="s">
        <v>1825</v>
      </c>
      <c r="P237" s="42">
        <v>0</v>
      </c>
      <c r="Q237" t="s">
        <v>144</v>
      </c>
      <c r="R237">
        <v>17</v>
      </c>
    </row>
    <row r="238" spans="1:18" x14ac:dyDescent="0.3">
      <c r="A238" s="7">
        <v>5236</v>
      </c>
      <c r="B238" t="s">
        <v>1496</v>
      </c>
      <c r="C238" s="7" t="s">
        <v>68</v>
      </c>
      <c r="D238" s="7" t="s">
        <v>151</v>
      </c>
      <c r="E238" s="7" t="s">
        <v>91</v>
      </c>
      <c r="F238" s="7" t="s">
        <v>1455</v>
      </c>
      <c r="G238" s="7" t="s">
        <v>55</v>
      </c>
      <c r="H238" t="s">
        <v>129</v>
      </c>
      <c r="I238" t="s">
        <v>1756</v>
      </c>
      <c r="J238" s="14">
        <v>43511</v>
      </c>
      <c r="K238" s="15" t="s">
        <v>126</v>
      </c>
      <c r="L238" t="s">
        <v>2170</v>
      </c>
      <c r="M238" t="s">
        <v>2054</v>
      </c>
      <c r="N238">
        <v>1734.96</v>
      </c>
      <c r="O238" t="s">
        <v>1825</v>
      </c>
      <c r="P238" s="42">
        <v>163562</v>
      </c>
      <c r="Q238" t="s">
        <v>144</v>
      </c>
      <c r="R238">
        <v>3</v>
      </c>
    </row>
    <row r="239" spans="1:18" x14ac:dyDescent="0.3">
      <c r="A239" s="7">
        <v>5300</v>
      </c>
      <c r="B239" t="s">
        <v>1568</v>
      </c>
      <c r="C239" s="7" t="s">
        <v>68</v>
      </c>
      <c r="D239" s="7" t="s">
        <v>389</v>
      </c>
      <c r="E239" s="7" t="s">
        <v>140</v>
      </c>
      <c r="F239" s="7" t="s">
        <v>1456</v>
      </c>
      <c r="G239" s="7" t="s">
        <v>62</v>
      </c>
      <c r="H239" t="s">
        <v>1611</v>
      </c>
      <c r="I239" t="s">
        <v>1757</v>
      </c>
      <c r="J239" s="14">
        <v>44826</v>
      </c>
      <c r="K239" s="15" t="s">
        <v>1820</v>
      </c>
      <c r="L239" t="s">
        <v>2170</v>
      </c>
      <c r="M239" t="s">
        <v>2055</v>
      </c>
      <c r="N239">
        <v>899.7</v>
      </c>
      <c r="O239" t="s">
        <v>1825</v>
      </c>
      <c r="P239" s="42">
        <v>124988</v>
      </c>
      <c r="Q239" t="s">
        <v>89</v>
      </c>
      <c r="R239">
        <v>3</v>
      </c>
    </row>
    <row r="240" spans="1:18" x14ac:dyDescent="0.3">
      <c r="A240" s="7">
        <v>5027</v>
      </c>
      <c r="B240" t="s">
        <v>1020</v>
      </c>
      <c r="C240" s="7" t="s">
        <v>61</v>
      </c>
      <c r="D240" s="7" t="s">
        <v>219</v>
      </c>
      <c r="E240" s="7" t="s">
        <v>69</v>
      </c>
      <c r="F240" s="7" t="s">
        <v>1457</v>
      </c>
      <c r="G240" s="7" t="s">
        <v>47</v>
      </c>
      <c r="H240" t="s">
        <v>513</v>
      </c>
      <c r="I240" t="s">
        <v>1758</v>
      </c>
      <c r="J240" s="14">
        <v>43894</v>
      </c>
      <c r="K240" s="15">
        <v>45838</v>
      </c>
      <c r="L240">
        <v>2025</v>
      </c>
      <c r="M240" t="s">
        <v>2056</v>
      </c>
      <c r="N240">
        <v>1585.76</v>
      </c>
      <c r="O240" t="s">
        <v>1826</v>
      </c>
      <c r="P240" s="42">
        <v>120490</v>
      </c>
      <c r="Q240" t="s">
        <v>95</v>
      </c>
      <c r="R240">
        <v>19</v>
      </c>
    </row>
    <row r="241" spans="1:18" x14ac:dyDescent="0.3">
      <c r="A241" s="7">
        <v>5089</v>
      </c>
      <c r="B241" t="s">
        <v>1309</v>
      </c>
      <c r="C241" s="7" t="s">
        <v>68</v>
      </c>
      <c r="D241" s="7" t="s">
        <v>219</v>
      </c>
      <c r="E241" s="7" t="s">
        <v>69</v>
      </c>
      <c r="F241" s="7" t="s">
        <v>1457</v>
      </c>
      <c r="G241" s="7" t="s">
        <v>85</v>
      </c>
      <c r="H241" t="s">
        <v>1036</v>
      </c>
      <c r="I241" t="s">
        <v>1037</v>
      </c>
      <c r="J241" s="14">
        <v>43514</v>
      </c>
      <c r="K241" s="15" t="s">
        <v>1820</v>
      </c>
      <c r="L241" t="s">
        <v>2170</v>
      </c>
      <c r="M241" t="s">
        <v>2057</v>
      </c>
      <c r="N241">
        <v>2281.38</v>
      </c>
      <c r="O241" t="s">
        <v>1825</v>
      </c>
      <c r="P241" s="42">
        <v>0</v>
      </c>
      <c r="Q241" t="s">
        <v>95</v>
      </c>
      <c r="R241">
        <v>0</v>
      </c>
    </row>
    <row r="242" spans="1:18" x14ac:dyDescent="0.3">
      <c r="A242" s="7">
        <v>5087</v>
      </c>
      <c r="B242" t="s">
        <v>1026</v>
      </c>
      <c r="C242" s="7" t="s">
        <v>68</v>
      </c>
      <c r="D242" s="7" t="s">
        <v>389</v>
      </c>
      <c r="E242" s="7" t="s">
        <v>91</v>
      </c>
      <c r="F242" s="7" t="s">
        <v>1455</v>
      </c>
      <c r="G242" s="7" t="s">
        <v>70</v>
      </c>
      <c r="H242" t="s">
        <v>1039</v>
      </c>
      <c r="I242" t="s">
        <v>1759</v>
      </c>
      <c r="J242" s="14">
        <v>43269</v>
      </c>
      <c r="K242" s="15" t="s">
        <v>1820</v>
      </c>
      <c r="L242" t="s">
        <v>2170</v>
      </c>
      <c r="M242" t="s">
        <v>2058</v>
      </c>
      <c r="N242">
        <v>2846.71</v>
      </c>
      <c r="O242" t="s">
        <v>1825</v>
      </c>
      <c r="P242" s="42">
        <v>0</v>
      </c>
      <c r="Q242" t="s">
        <v>1821</v>
      </c>
      <c r="R242">
        <v>25</v>
      </c>
    </row>
    <row r="243" spans="1:18" x14ac:dyDescent="0.3">
      <c r="A243" s="7">
        <v>5237</v>
      </c>
      <c r="B243" t="s">
        <v>512</v>
      </c>
      <c r="C243" s="7" t="s">
        <v>68</v>
      </c>
      <c r="D243" s="7" t="s">
        <v>53</v>
      </c>
      <c r="E243" s="7" t="s">
        <v>76</v>
      </c>
      <c r="F243" s="7" t="s">
        <v>1454</v>
      </c>
      <c r="G243" s="7" t="s">
        <v>77</v>
      </c>
      <c r="H243" t="s">
        <v>1601</v>
      </c>
      <c r="I243" t="s">
        <v>1041</v>
      </c>
      <c r="J243" s="14">
        <v>44487</v>
      </c>
      <c r="K243" s="15" t="s">
        <v>114</v>
      </c>
      <c r="L243" t="s">
        <v>2170</v>
      </c>
      <c r="M243" t="s">
        <v>2059</v>
      </c>
      <c r="N243">
        <v>1372.71</v>
      </c>
      <c r="O243" t="s">
        <v>1825</v>
      </c>
      <c r="P243" s="42">
        <v>162016</v>
      </c>
      <c r="Q243" t="s">
        <v>127</v>
      </c>
      <c r="R243">
        <v>15</v>
      </c>
    </row>
    <row r="244" spans="1:18" x14ac:dyDescent="0.3">
      <c r="A244" s="7">
        <v>5206</v>
      </c>
      <c r="B244" t="s">
        <v>1569</v>
      </c>
      <c r="C244" s="7" t="s">
        <v>68</v>
      </c>
      <c r="D244" s="7" t="s">
        <v>389</v>
      </c>
      <c r="E244" s="7" t="s">
        <v>140</v>
      </c>
      <c r="F244" s="7" t="s">
        <v>1456</v>
      </c>
      <c r="G244" s="7" t="s">
        <v>70</v>
      </c>
      <c r="H244" t="s">
        <v>1045</v>
      </c>
      <c r="I244" t="s">
        <v>1619</v>
      </c>
      <c r="J244" s="14">
        <v>45322</v>
      </c>
      <c r="K244" s="15" t="s">
        <v>1820</v>
      </c>
      <c r="L244" t="s">
        <v>2170</v>
      </c>
      <c r="M244" t="s">
        <v>1936</v>
      </c>
      <c r="N244">
        <v>1303.3900000000001</v>
      </c>
      <c r="O244" t="s">
        <v>1825</v>
      </c>
      <c r="P244" s="42">
        <v>60679</v>
      </c>
      <c r="Q244" t="s">
        <v>95</v>
      </c>
      <c r="R244" t="s">
        <v>1822</v>
      </c>
    </row>
    <row r="245" spans="1:18" x14ac:dyDescent="0.3">
      <c r="A245" s="7">
        <v>5288</v>
      </c>
      <c r="B245" t="s">
        <v>524</v>
      </c>
      <c r="C245" s="7" t="s">
        <v>68</v>
      </c>
      <c r="D245" s="7" t="s">
        <v>219</v>
      </c>
      <c r="E245" s="7" t="s">
        <v>46</v>
      </c>
      <c r="F245" s="7" t="s">
        <v>1459</v>
      </c>
      <c r="G245" s="7" t="s">
        <v>47</v>
      </c>
      <c r="H245" t="s">
        <v>1048</v>
      </c>
      <c r="I245" t="s">
        <v>1049</v>
      </c>
      <c r="J245" s="14">
        <v>44254</v>
      </c>
      <c r="K245" s="15">
        <v>45214</v>
      </c>
      <c r="L245">
        <v>2023</v>
      </c>
      <c r="M245" t="s">
        <v>2021</v>
      </c>
      <c r="N245">
        <v>692.65000000000009</v>
      </c>
      <c r="O245" t="s">
        <v>1826</v>
      </c>
      <c r="P245" s="42">
        <v>175789</v>
      </c>
      <c r="Q245" t="s">
        <v>127</v>
      </c>
      <c r="R245">
        <v>24</v>
      </c>
    </row>
    <row r="246" spans="1:18" x14ac:dyDescent="0.3">
      <c r="A246" s="7">
        <v>5153</v>
      </c>
      <c r="B246" t="s">
        <v>1570</v>
      </c>
      <c r="C246" s="7" t="s">
        <v>68</v>
      </c>
      <c r="D246" s="7" t="s">
        <v>151</v>
      </c>
      <c r="E246" s="7" t="s">
        <v>46</v>
      </c>
      <c r="F246" s="7" t="s">
        <v>1459</v>
      </c>
      <c r="G246" s="7" t="s">
        <v>47</v>
      </c>
      <c r="H246" t="s">
        <v>1053</v>
      </c>
      <c r="I246" t="s">
        <v>1760</v>
      </c>
      <c r="J246" s="14">
        <v>43940</v>
      </c>
      <c r="K246" s="15" t="s">
        <v>1820</v>
      </c>
      <c r="L246" t="s">
        <v>2170</v>
      </c>
      <c r="M246" t="s">
        <v>2060</v>
      </c>
      <c r="N246">
        <v>1591.76</v>
      </c>
      <c r="O246" t="s">
        <v>1825</v>
      </c>
      <c r="P246" s="42">
        <v>0</v>
      </c>
      <c r="Q246" t="s">
        <v>144</v>
      </c>
      <c r="R246">
        <v>19</v>
      </c>
    </row>
    <row r="247" spans="1:18" x14ac:dyDescent="0.3">
      <c r="A247" s="7">
        <v>5240</v>
      </c>
      <c r="B247" t="s">
        <v>1571</v>
      </c>
      <c r="C247" s="7" t="s">
        <v>68</v>
      </c>
      <c r="D247" s="7" t="s">
        <v>122</v>
      </c>
      <c r="E247" s="7" t="s">
        <v>140</v>
      </c>
      <c r="F247" s="7" t="s">
        <v>1456</v>
      </c>
      <c r="G247" s="7" t="s">
        <v>77</v>
      </c>
      <c r="H247" t="s">
        <v>1057</v>
      </c>
      <c r="I247" t="s">
        <v>1761</v>
      </c>
      <c r="J247" s="14">
        <v>43375</v>
      </c>
      <c r="K247" s="15" t="s">
        <v>1820</v>
      </c>
      <c r="L247" t="s">
        <v>2170</v>
      </c>
      <c r="M247" t="s">
        <v>2061</v>
      </c>
      <c r="N247">
        <v>2232.94</v>
      </c>
      <c r="O247" t="s">
        <v>1825</v>
      </c>
      <c r="P247" s="42">
        <v>65738</v>
      </c>
      <c r="Q247" t="s">
        <v>89</v>
      </c>
      <c r="R247">
        <v>0</v>
      </c>
    </row>
    <row r="248" spans="1:18" x14ac:dyDescent="0.3">
      <c r="A248" s="7">
        <v>5149</v>
      </c>
      <c r="B248" t="s">
        <v>1572</v>
      </c>
      <c r="C248" s="7" t="s">
        <v>68</v>
      </c>
      <c r="D248" s="7" t="s">
        <v>53</v>
      </c>
      <c r="E248" s="7" t="s">
        <v>54</v>
      </c>
      <c r="F248" s="7" t="s">
        <v>1458</v>
      </c>
      <c r="G248" s="7" t="s">
        <v>62</v>
      </c>
      <c r="H248" t="s">
        <v>1062</v>
      </c>
      <c r="I248" t="s">
        <v>1063</v>
      </c>
      <c r="J248" s="14">
        <v>44849</v>
      </c>
      <c r="K248" s="15" t="s">
        <v>114</v>
      </c>
      <c r="L248" t="s">
        <v>2170</v>
      </c>
      <c r="M248" t="s">
        <v>2062</v>
      </c>
      <c r="N248">
        <v>1857.69</v>
      </c>
      <c r="O248" t="s">
        <v>1825</v>
      </c>
      <c r="P248" s="42">
        <v>66895</v>
      </c>
      <c r="Q248" t="s">
        <v>144</v>
      </c>
      <c r="R248">
        <v>11</v>
      </c>
    </row>
    <row r="249" spans="1:18" x14ac:dyDescent="0.3">
      <c r="A249" s="7">
        <v>5050</v>
      </c>
      <c r="B249" t="s">
        <v>1573</v>
      </c>
      <c r="C249" s="7" t="s">
        <v>68</v>
      </c>
      <c r="D249" s="7" t="s">
        <v>122</v>
      </c>
      <c r="E249" s="7" t="s">
        <v>140</v>
      </c>
      <c r="F249" s="7" t="s">
        <v>1456</v>
      </c>
      <c r="G249" s="7" t="s">
        <v>55</v>
      </c>
      <c r="H249" t="s">
        <v>1601</v>
      </c>
      <c r="I249" t="s">
        <v>1066</v>
      </c>
      <c r="J249" s="14">
        <v>44918</v>
      </c>
      <c r="K249" s="15" t="s">
        <v>126</v>
      </c>
      <c r="L249" t="s">
        <v>2170</v>
      </c>
      <c r="M249" t="s">
        <v>2063</v>
      </c>
      <c r="N249">
        <v>2767.39</v>
      </c>
      <c r="O249" t="s">
        <v>1825</v>
      </c>
      <c r="P249" s="42">
        <v>126767</v>
      </c>
      <c r="Q249" t="s">
        <v>144</v>
      </c>
      <c r="R249" t="s">
        <v>1822</v>
      </c>
    </row>
    <row r="250" spans="1:18" x14ac:dyDescent="0.3">
      <c r="A250" s="7">
        <v>5246</v>
      </c>
      <c r="B250" t="s">
        <v>1056</v>
      </c>
      <c r="C250" s="7" t="s">
        <v>68</v>
      </c>
      <c r="D250" s="7" t="s">
        <v>122</v>
      </c>
      <c r="E250" s="7" t="s">
        <v>46</v>
      </c>
      <c r="F250" s="7" t="s">
        <v>1459</v>
      </c>
      <c r="G250" s="7" t="s">
        <v>47</v>
      </c>
      <c r="H250" t="s">
        <v>287</v>
      </c>
      <c r="I250" t="s">
        <v>1762</v>
      </c>
      <c r="J250" s="14">
        <v>44522</v>
      </c>
      <c r="K250" s="15" t="s">
        <v>114</v>
      </c>
      <c r="L250" t="s">
        <v>2170</v>
      </c>
      <c r="M250" t="s">
        <v>2064</v>
      </c>
      <c r="N250">
        <v>2065.33</v>
      </c>
      <c r="O250" t="s">
        <v>1825</v>
      </c>
      <c r="P250" s="42">
        <v>39022</v>
      </c>
      <c r="Q250" t="s">
        <v>127</v>
      </c>
      <c r="R250">
        <v>7</v>
      </c>
    </row>
    <row r="251" spans="1:18" x14ac:dyDescent="0.3">
      <c r="A251" s="7">
        <v>5065</v>
      </c>
      <c r="B251" t="s">
        <v>1574</v>
      </c>
      <c r="C251" s="7" t="s">
        <v>68</v>
      </c>
      <c r="D251" s="7" t="s">
        <v>219</v>
      </c>
      <c r="E251" s="7" t="s">
        <v>76</v>
      </c>
      <c r="F251" s="7" t="s">
        <v>1454</v>
      </c>
      <c r="G251" s="7" t="s">
        <v>85</v>
      </c>
      <c r="H251" t="s">
        <v>446</v>
      </c>
      <c r="I251" t="s">
        <v>1617</v>
      </c>
      <c r="J251" s="14">
        <v>44629</v>
      </c>
      <c r="K251" s="15" t="s">
        <v>114</v>
      </c>
      <c r="L251" t="s">
        <v>2170</v>
      </c>
      <c r="M251" t="s">
        <v>2065</v>
      </c>
      <c r="N251">
        <v>2184.09</v>
      </c>
      <c r="O251" t="s">
        <v>1825</v>
      </c>
      <c r="P251" s="42">
        <v>102626</v>
      </c>
      <c r="Q251" t="s">
        <v>95</v>
      </c>
      <c r="R251">
        <v>6</v>
      </c>
    </row>
    <row r="252" spans="1:18" x14ac:dyDescent="0.3">
      <c r="A252" s="7">
        <v>5332</v>
      </c>
      <c r="B252" t="s">
        <v>1512</v>
      </c>
      <c r="C252" s="7" t="s">
        <v>68</v>
      </c>
      <c r="D252" s="7" t="s">
        <v>133</v>
      </c>
      <c r="E252" s="7" t="s">
        <v>91</v>
      </c>
      <c r="F252" s="7" t="s">
        <v>1455</v>
      </c>
      <c r="G252" s="7" t="s">
        <v>55</v>
      </c>
      <c r="H252" t="s">
        <v>396</v>
      </c>
      <c r="I252" t="s">
        <v>1619</v>
      </c>
      <c r="J252" s="14">
        <v>43989</v>
      </c>
      <c r="K252" s="15" t="s">
        <v>114</v>
      </c>
      <c r="L252" t="s">
        <v>2170</v>
      </c>
      <c r="M252" t="s">
        <v>2066</v>
      </c>
      <c r="N252">
        <v>1426.15</v>
      </c>
      <c r="O252" t="s">
        <v>1825</v>
      </c>
      <c r="P252" s="42">
        <v>56535</v>
      </c>
      <c r="Q252" t="s">
        <v>1821</v>
      </c>
      <c r="R252">
        <v>21</v>
      </c>
    </row>
    <row r="253" spans="1:18" x14ac:dyDescent="0.3">
      <c r="A253" s="7">
        <v>5016</v>
      </c>
      <c r="B253" t="s">
        <v>1491</v>
      </c>
      <c r="C253" s="7" t="s">
        <v>68</v>
      </c>
      <c r="D253" s="7" t="s">
        <v>389</v>
      </c>
      <c r="E253" s="7" t="s">
        <v>54</v>
      </c>
      <c r="F253" s="7" t="s">
        <v>1458</v>
      </c>
      <c r="G253" s="7" t="s">
        <v>62</v>
      </c>
      <c r="H253" t="s">
        <v>1077</v>
      </c>
      <c r="I253" t="s">
        <v>1763</v>
      </c>
      <c r="J253" s="14">
        <v>44364</v>
      </c>
      <c r="K253" s="15" t="s">
        <v>114</v>
      </c>
      <c r="L253" t="s">
        <v>2170</v>
      </c>
      <c r="M253" t="s">
        <v>2067</v>
      </c>
      <c r="N253">
        <v>1316.83</v>
      </c>
      <c r="O253" t="s">
        <v>1825</v>
      </c>
      <c r="P253" s="42">
        <v>124251</v>
      </c>
      <c r="Q253" t="s">
        <v>127</v>
      </c>
      <c r="R253">
        <v>5</v>
      </c>
    </row>
    <row r="254" spans="1:18" x14ac:dyDescent="0.3">
      <c r="A254" s="7">
        <v>5279</v>
      </c>
      <c r="B254" t="s">
        <v>445</v>
      </c>
      <c r="C254" s="7" t="s">
        <v>68</v>
      </c>
      <c r="D254" s="7" t="s">
        <v>151</v>
      </c>
      <c r="E254" s="7" t="s">
        <v>91</v>
      </c>
      <c r="F254" s="7" t="s">
        <v>1455</v>
      </c>
      <c r="G254" s="7" t="s">
        <v>85</v>
      </c>
      <c r="H254" t="s">
        <v>1081</v>
      </c>
      <c r="I254" t="s">
        <v>1764</v>
      </c>
      <c r="J254" s="14">
        <v>43454</v>
      </c>
      <c r="K254" s="15" t="s">
        <v>1820</v>
      </c>
      <c r="L254" t="s">
        <v>2170</v>
      </c>
      <c r="M254" t="s">
        <v>2068</v>
      </c>
      <c r="N254">
        <v>2821.27</v>
      </c>
      <c r="O254" t="s">
        <v>1825</v>
      </c>
      <c r="P254" s="42">
        <v>171546</v>
      </c>
      <c r="Q254" t="s">
        <v>144</v>
      </c>
      <c r="R254">
        <v>7</v>
      </c>
    </row>
    <row r="255" spans="1:18" x14ac:dyDescent="0.3">
      <c r="A255" s="7">
        <v>5320</v>
      </c>
      <c r="B255" t="s">
        <v>395</v>
      </c>
      <c r="C255" s="7" t="s">
        <v>68</v>
      </c>
      <c r="D255" s="7" t="s">
        <v>219</v>
      </c>
      <c r="E255" s="7" t="s">
        <v>91</v>
      </c>
      <c r="F255" s="7" t="s">
        <v>1455</v>
      </c>
      <c r="G255" s="7" t="s">
        <v>47</v>
      </c>
      <c r="H255" t="s">
        <v>1085</v>
      </c>
      <c r="I255" t="s">
        <v>1765</v>
      </c>
      <c r="J255" s="14">
        <v>44157</v>
      </c>
      <c r="K255" s="15">
        <v>45838</v>
      </c>
      <c r="L255">
        <v>2025</v>
      </c>
      <c r="M255" t="s">
        <v>2069</v>
      </c>
      <c r="N255">
        <v>720.09</v>
      </c>
      <c r="O255" t="s">
        <v>1826</v>
      </c>
      <c r="P255" s="42">
        <v>161726</v>
      </c>
      <c r="Q255" t="s">
        <v>89</v>
      </c>
      <c r="R255">
        <v>11</v>
      </c>
    </row>
    <row r="256" spans="1:18" x14ac:dyDescent="0.3">
      <c r="A256" s="7">
        <v>5111</v>
      </c>
      <c r="B256" t="s">
        <v>1575</v>
      </c>
      <c r="C256" s="7" t="s">
        <v>61</v>
      </c>
      <c r="D256" s="7" t="s">
        <v>151</v>
      </c>
      <c r="E256" s="7" t="s">
        <v>46</v>
      </c>
      <c r="F256" s="7" t="s">
        <v>1459</v>
      </c>
      <c r="G256" s="7" t="s">
        <v>70</v>
      </c>
      <c r="H256" t="s">
        <v>1090</v>
      </c>
      <c r="I256" t="s">
        <v>1766</v>
      </c>
      <c r="J256" s="14">
        <v>44037</v>
      </c>
      <c r="K256" s="15" t="s">
        <v>126</v>
      </c>
      <c r="L256" t="s">
        <v>2170</v>
      </c>
      <c r="M256" t="s">
        <v>2070</v>
      </c>
      <c r="N256">
        <v>995.02</v>
      </c>
      <c r="O256" t="s">
        <v>1825</v>
      </c>
      <c r="P256" s="42">
        <v>153987</v>
      </c>
      <c r="Q256" t="s">
        <v>127</v>
      </c>
      <c r="R256">
        <v>7</v>
      </c>
    </row>
    <row r="257" spans="1:18" x14ac:dyDescent="0.3">
      <c r="A257" s="7">
        <v>5301</v>
      </c>
      <c r="B257" t="s">
        <v>155</v>
      </c>
      <c r="C257" s="7" t="s">
        <v>68</v>
      </c>
      <c r="D257" s="7" t="s">
        <v>53</v>
      </c>
      <c r="E257" s="7" t="s">
        <v>69</v>
      </c>
      <c r="F257" s="7" t="s">
        <v>1457</v>
      </c>
      <c r="G257" s="7" t="s">
        <v>77</v>
      </c>
      <c r="H257" t="s">
        <v>1094</v>
      </c>
      <c r="I257" t="s">
        <v>1767</v>
      </c>
      <c r="J257" s="14">
        <v>44795</v>
      </c>
      <c r="K257" s="15" t="s">
        <v>1820</v>
      </c>
      <c r="L257" t="s">
        <v>2170</v>
      </c>
      <c r="M257" t="s">
        <v>2071</v>
      </c>
      <c r="N257">
        <v>1733.52</v>
      </c>
      <c r="O257" t="s">
        <v>1825</v>
      </c>
      <c r="P257" s="42">
        <v>80024</v>
      </c>
      <c r="Q257" t="s">
        <v>51</v>
      </c>
      <c r="R257" t="s">
        <v>1822</v>
      </c>
    </row>
    <row r="258" spans="1:18" x14ac:dyDescent="0.3">
      <c r="A258" s="7">
        <v>5072</v>
      </c>
      <c r="B258" t="s">
        <v>1576</v>
      </c>
      <c r="C258" s="7" t="s">
        <v>61</v>
      </c>
      <c r="D258" s="7" t="s">
        <v>122</v>
      </c>
      <c r="E258" s="7" t="s">
        <v>140</v>
      </c>
      <c r="F258" s="7" t="s">
        <v>1456</v>
      </c>
      <c r="G258" s="7" t="s">
        <v>55</v>
      </c>
      <c r="H258" t="s">
        <v>1099</v>
      </c>
      <c r="I258" t="s">
        <v>1768</v>
      </c>
      <c r="J258" s="14">
        <v>44905</v>
      </c>
      <c r="K258" s="15" t="s">
        <v>1820</v>
      </c>
      <c r="L258" t="s">
        <v>2170</v>
      </c>
      <c r="M258" t="s">
        <v>2072</v>
      </c>
      <c r="N258">
        <v>1872.69</v>
      </c>
      <c r="O258" t="s">
        <v>1825</v>
      </c>
      <c r="P258" s="42">
        <v>138602</v>
      </c>
      <c r="Q258" t="s">
        <v>89</v>
      </c>
      <c r="R258">
        <v>4</v>
      </c>
    </row>
    <row r="259" spans="1:18" x14ac:dyDescent="0.3">
      <c r="A259" s="7">
        <v>5055</v>
      </c>
      <c r="B259" t="s">
        <v>1089</v>
      </c>
      <c r="C259" s="7" t="s">
        <v>84</v>
      </c>
      <c r="D259" s="7" t="s">
        <v>53</v>
      </c>
      <c r="E259" s="7" t="s">
        <v>76</v>
      </c>
      <c r="F259" s="7" t="s">
        <v>1454</v>
      </c>
      <c r="G259" s="7" t="s">
        <v>110</v>
      </c>
      <c r="H259" t="s">
        <v>1103</v>
      </c>
      <c r="I259" t="s">
        <v>1769</v>
      </c>
      <c r="J259" s="14">
        <v>43400</v>
      </c>
      <c r="K259" s="15" t="s">
        <v>114</v>
      </c>
      <c r="L259" t="s">
        <v>2170</v>
      </c>
      <c r="M259" t="s">
        <v>1990</v>
      </c>
      <c r="N259">
        <v>1495.44</v>
      </c>
      <c r="O259" t="s">
        <v>1825</v>
      </c>
      <c r="P259" s="42">
        <v>0</v>
      </c>
      <c r="Q259" t="s">
        <v>95</v>
      </c>
      <c r="R259">
        <v>18</v>
      </c>
    </row>
    <row r="260" spans="1:18" x14ac:dyDescent="0.3">
      <c r="A260" s="7">
        <v>5249</v>
      </c>
      <c r="B260" t="s">
        <v>1577</v>
      </c>
      <c r="C260" s="7" t="s">
        <v>68</v>
      </c>
      <c r="D260" s="7" t="s">
        <v>219</v>
      </c>
      <c r="E260" s="7" t="s">
        <v>46</v>
      </c>
      <c r="F260" s="7" t="s">
        <v>1459</v>
      </c>
      <c r="G260" s="7" t="s">
        <v>85</v>
      </c>
      <c r="H260" t="s">
        <v>1106</v>
      </c>
      <c r="I260" t="s">
        <v>1107</v>
      </c>
      <c r="J260" s="14">
        <v>45117</v>
      </c>
      <c r="K260" s="15" t="s">
        <v>1820</v>
      </c>
      <c r="L260" t="s">
        <v>2170</v>
      </c>
      <c r="M260" t="s">
        <v>2073</v>
      </c>
      <c r="N260">
        <v>1682.08</v>
      </c>
      <c r="O260" t="s">
        <v>1825</v>
      </c>
      <c r="P260" s="42">
        <v>160293</v>
      </c>
      <c r="Q260" t="s">
        <v>51</v>
      </c>
      <c r="R260">
        <v>20</v>
      </c>
    </row>
    <row r="261" spans="1:18" x14ac:dyDescent="0.3">
      <c r="A261" s="7">
        <v>5263</v>
      </c>
      <c r="B261" t="s">
        <v>1578</v>
      </c>
      <c r="C261" s="7" t="s">
        <v>61</v>
      </c>
      <c r="D261" s="7" t="s">
        <v>122</v>
      </c>
      <c r="E261" s="7" t="s">
        <v>76</v>
      </c>
      <c r="F261" s="7" t="s">
        <v>1454</v>
      </c>
      <c r="G261" s="7" t="s">
        <v>47</v>
      </c>
      <c r="H261" t="s">
        <v>1111</v>
      </c>
      <c r="I261" t="s">
        <v>1770</v>
      </c>
      <c r="J261" s="14">
        <v>45226</v>
      </c>
      <c r="K261" s="15" t="s">
        <v>1820</v>
      </c>
      <c r="L261" t="s">
        <v>2170</v>
      </c>
      <c r="M261" t="s">
        <v>2074</v>
      </c>
      <c r="N261">
        <v>2176.09</v>
      </c>
      <c r="O261" t="s">
        <v>1825</v>
      </c>
      <c r="P261" s="42">
        <v>78346</v>
      </c>
      <c r="Q261" t="s">
        <v>95</v>
      </c>
      <c r="R261">
        <v>21</v>
      </c>
    </row>
    <row r="262" spans="1:18" x14ac:dyDescent="0.3">
      <c r="A262" s="7">
        <v>5003</v>
      </c>
      <c r="B262" t="s">
        <v>1102</v>
      </c>
      <c r="C262" s="7" t="s">
        <v>68</v>
      </c>
      <c r="D262" s="7" t="s">
        <v>151</v>
      </c>
      <c r="E262" s="7" t="s">
        <v>54</v>
      </c>
      <c r="F262" s="7" t="s">
        <v>1458</v>
      </c>
      <c r="G262" s="7" t="s">
        <v>110</v>
      </c>
      <c r="H262" t="s">
        <v>492</v>
      </c>
      <c r="I262" t="s">
        <v>1617</v>
      </c>
      <c r="J262" s="14">
        <v>44488</v>
      </c>
      <c r="K262" s="15" t="s">
        <v>1820</v>
      </c>
      <c r="L262" t="s">
        <v>2170</v>
      </c>
      <c r="M262" t="s">
        <v>2075</v>
      </c>
      <c r="N262">
        <v>1619.2</v>
      </c>
      <c r="O262" t="s">
        <v>1825</v>
      </c>
      <c r="P262" s="42">
        <v>81211</v>
      </c>
      <c r="Q262" t="s">
        <v>89</v>
      </c>
      <c r="R262">
        <v>16</v>
      </c>
    </row>
    <row r="263" spans="1:18" x14ac:dyDescent="0.3">
      <c r="A263" s="7">
        <v>5298</v>
      </c>
      <c r="B263" t="s">
        <v>1394</v>
      </c>
      <c r="C263" s="7" t="s">
        <v>68</v>
      </c>
      <c r="D263" s="7" t="s">
        <v>151</v>
      </c>
      <c r="E263" s="7" t="s">
        <v>91</v>
      </c>
      <c r="F263" s="7" t="s">
        <v>1455</v>
      </c>
      <c r="G263" s="7" t="s">
        <v>47</v>
      </c>
      <c r="H263" t="s">
        <v>1118</v>
      </c>
      <c r="I263" t="s">
        <v>1771</v>
      </c>
      <c r="J263" s="14">
        <v>44349</v>
      </c>
      <c r="K263" s="15" t="s">
        <v>1820</v>
      </c>
      <c r="L263" t="s">
        <v>2170</v>
      </c>
      <c r="M263" t="s">
        <v>2076</v>
      </c>
      <c r="N263">
        <v>1319.83</v>
      </c>
      <c r="O263" t="s">
        <v>1825</v>
      </c>
      <c r="P263" s="42">
        <v>50012</v>
      </c>
      <c r="Q263" t="s">
        <v>144</v>
      </c>
      <c r="R263">
        <v>15</v>
      </c>
    </row>
    <row r="264" spans="1:18" x14ac:dyDescent="0.3">
      <c r="A264" s="7">
        <v>5287</v>
      </c>
      <c r="B264" t="s">
        <v>1579</v>
      </c>
      <c r="C264" s="7" t="s">
        <v>61</v>
      </c>
      <c r="D264" s="7" t="s">
        <v>53</v>
      </c>
      <c r="E264" s="7" t="s">
        <v>54</v>
      </c>
      <c r="F264" s="7" t="s">
        <v>1458</v>
      </c>
      <c r="G264" s="7" t="s">
        <v>47</v>
      </c>
      <c r="H264" t="s">
        <v>1612</v>
      </c>
      <c r="I264" t="s">
        <v>1619</v>
      </c>
      <c r="J264" s="14">
        <v>44726</v>
      </c>
      <c r="K264" s="15" t="s">
        <v>1820</v>
      </c>
      <c r="L264" t="s">
        <v>2170</v>
      </c>
      <c r="M264" t="s">
        <v>2077</v>
      </c>
      <c r="N264">
        <v>2374.14</v>
      </c>
      <c r="O264" t="s">
        <v>1825</v>
      </c>
      <c r="P264" s="42">
        <v>89665</v>
      </c>
      <c r="Q264" t="s">
        <v>127</v>
      </c>
      <c r="R264">
        <v>24</v>
      </c>
    </row>
    <row r="265" spans="1:18" x14ac:dyDescent="0.3">
      <c r="A265" s="7">
        <v>5102</v>
      </c>
      <c r="B265" t="s">
        <v>491</v>
      </c>
      <c r="C265" s="7" t="s">
        <v>61</v>
      </c>
      <c r="D265" s="7" t="s">
        <v>133</v>
      </c>
      <c r="E265" s="7" t="s">
        <v>46</v>
      </c>
      <c r="F265" s="7" t="s">
        <v>1459</v>
      </c>
      <c r="G265" s="7" t="s">
        <v>77</v>
      </c>
      <c r="H265" t="s">
        <v>759</v>
      </c>
      <c r="I265" t="s">
        <v>1772</v>
      </c>
      <c r="J265" s="14">
        <v>44540</v>
      </c>
      <c r="K265" s="15" t="s">
        <v>1820</v>
      </c>
      <c r="L265" t="s">
        <v>2170</v>
      </c>
      <c r="M265" t="s">
        <v>2078</v>
      </c>
      <c r="N265">
        <v>2535.34</v>
      </c>
      <c r="O265" t="s">
        <v>1825</v>
      </c>
      <c r="P265" s="42">
        <v>0</v>
      </c>
      <c r="Q265" t="s">
        <v>51</v>
      </c>
      <c r="R265">
        <v>5</v>
      </c>
    </row>
    <row r="266" spans="1:18" x14ac:dyDescent="0.3">
      <c r="A266" s="7">
        <v>5239</v>
      </c>
      <c r="B266" t="s">
        <v>1570</v>
      </c>
      <c r="C266" s="7" t="s">
        <v>68</v>
      </c>
      <c r="D266" s="7" t="s">
        <v>151</v>
      </c>
      <c r="E266" s="7" t="s">
        <v>91</v>
      </c>
      <c r="F266" s="7" t="s">
        <v>1455</v>
      </c>
      <c r="G266" s="7" t="s">
        <v>110</v>
      </c>
      <c r="H266" t="s">
        <v>1129</v>
      </c>
      <c r="I266" t="s">
        <v>1130</v>
      </c>
      <c r="J266" s="14">
        <v>44046</v>
      </c>
      <c r="K266" s="15">
        <v>45838</v>
      </c>
      <c r="L266">
        <v>2025</v>
      </c>
      <c r="M266" t="s">
        <v>2079</v>
      </c>
      <c r="N266">
        <v>571.89</v>
      </c>
      <c r="O266" t="s">
        <v>1826</v>
      </c>
      <c r="P266" s="42">
        <v>0</v>
      </c>
      <c r="Q266" t="s">
        <v>127</v>
      </c>
      <c r="R266">
        <v>13</v>
      </c>
    </row>
    <row r="267" spans="1:18" x14ac:dyDescent="0.3">
      <c r="A267" s="7">
        <v>5156</v>
      </c>
      <c r="B267" t="s">
        <v>1121</v>
      </c>
      <c r="C267" s="7" t="s">
        <v>61</v>
      </c>
      <c r="D267" s="7" t="s">
        <v>219</v>
      </c>
      <c r="E267" s="7" t="s">
        <v>76</v>
      </c>
      <c r="F267" s="7" t="s">
        <v>1454</v>
      </c>
      <c r="G267" s="7" t="s">
        <v>175</v>
      </c>
      <c r="H267" t="s">
        <v>1133</v>
      </c>
      <c r="I267" t="s">
        <v>1773</v>
      </c>
      <c r="J267" s="14">
        <v>44604</v>
      </c>
      <c r="K267" s="15">
        <v>44253</v>
      </c>
      <c r="L267">
        <v>2021</v>
      </c>
      <c r="M267" t="s">
        <v>2030</v>
      </c>
      <c r="N267">
        <v>719.09</v>
      </c>
      <c r="O267" t="s">
        <v>1826</v>
      </c>
      <c r="P267" s="42">
        <v>38053</v>
      </c>
      <c r="Q267" t="s">
        <v>127</v>
      </c>
      <c r="R267">
        <v>3</v>
      </c>
    </row>
    <row r="268" spans="1:18" x14ac:dyDescent="0.3">
      <c r="A268" s="7">
        <v>5098</v>
      </c>
      <c r="B268" t="s">
        <v>1538</v>
      </c>
      <c r="C268" s="7" t="s">
        <v>84</v>
      </c>
      <c r="D268" s="7" t="s">
        <v>53</v>
      </c>
      <c r="E268" s="7" t="s">
        <v>76</v>
      </c>
      <c r="F268" s="7" t="s">
        <v>1454</v>
      </c>
      <c r="G268" s="7" t="s">
        <v>70</v>
      </c>
      <c r="H268" t="s">
        <v>988</v>
      </c>
      <c r="I268" t="s">
        <v>1774</v>
      </c>
      <c r="J268" s="14">
        <v>44902</v>
      </c>
      <c r="K268" s="15">
        <v>45838</v>
      </c>
      <c r="L268">
        <v>2025</v>
      </c>
      <c r="M268" t="s">
        <v>2080</v>
      </c>
      <c r="N268">
        <v>603.33000000000004</v>
      </c>
      <c r="O268" t="s">
        <v>1826</v>
      </c>
      <c r="P268" s="42">
        <v>63621</v>
      </c>
      <c r="Q268" t="s">
        <v>51</v>
      </c>
      <c r="R268">
        <v>16</v>
      </c>
    </row>
    <row r="269" spans="1:18" x14ac:dyDescent="0.3">
      <c r="A269" s="7">
        <v>5131</v>
      </c>
      <c r="B269" t="s">
        <v>1204</v>
      </c>
      <c r="C269" s="7" t="s">
        <v>68</v>
      </c>
      <c r="D269" s="7" t="s">
        <v>219</v>
      </c>
      <c r="E269" s="7" t="s">
        <v>54</v>
      </c>
      <c r="F269" s="7" t="s">
        <v>1458</v>
      </c>
      <c r="G269" s="7" t="s">
        <v>47</v>
      </c>
      <c r="H269" t="s">
        <v>1140</v>
      </c>
      <c r="I269" t="s">
        <v>1775</v>
      </c>
      <c r="J269" s="14">
        <v>43848</v>
      </c>
      <c r="K269" s="15" t="s">
        <v>1820</v>
      </c>
      <c r="L269" t="s">
        <v>2170</v>
      </c>
      <c r="M269" t="s">
        <v>2081</v>
      </c>
      <c r="N269">
        <v>754.5</v>
      </c>
      <c r="O269" t="s">
        <v>1825</v>
      </c>
      <c r="P269" s="42">
        <v>42883</v>
      </c>
      <c r="Q269" t="s">
        <v>127</v>
      </c>
      <c r="R269">
        <v>0</v>
      </c>
    </row>
    <row r="270" spans="1:18" x14ac:dyDescent="0.3">
      <c r="A270" s="7">
        <v>5106</v>
      </c>
      <c r="B270" t="s">
        <v>1132</v>
      </c>
      <c r="C270" s="7" t="s">
        <v>68</v>
      </c>
      <c r="D270" s="7" t="s">
        <v>122</v>
      </c>
      <c r="E270" s="7" t="s">
        <v>69</v>
      </c>
      <c r="F270" s="7" t="s">
        <v>1457</v>
      </c>
      <c r="G270" s="7" t="s">
        <v>77</v>
      </c>
      <c r="H270" t="s">
        <v>1145</v>
      </c>
      <c r="I270" t="s">
        <v>1617</v>
      </c>
      <c r="J270" s="14">
        <v>43686</v>
      </c>
      <c r="K270" s="15" t="s">
        <v>1820</v>
      </c>
      <c r="L270" t="s">
        <v>2170</v>
      </c>
      <c r="M270" t="s">
        <v>2082</v>
      </c>
      <c r="N270">
        <v>2540.34</v>
      </c>
      <c r="O270" t="s">
        <v>1825</v>
      </c>
      <c r="P270" s="42">
        <v>157614</v>
      </c>
      <c r="Q270" t="s">
        <v>95</v>
      </c>
      <c r="R270">
        <v>0</v>
      </c>
    </row>
    <row r="271" spans="1:18" x14ac:dyDescent="0.3">
      <c r="A271" s="7">
        <v>5230</v>
      </c>
      <c r="B271" t="s">
        <v>1563</v>
      </c>
      <c r="C271" s="7" t="s">
        <v>61</v>
      </c>
      <c r="D271" s="7" t="s">
        <v>219</v>
      </c>
      <c r="E271" s="7" t="s">
        <v>76</v>
      </c>
      <c r="F271" s="7" t="s">
        <v>1454</v>
      </c>
      <c r="G271" s="7" t="s">
        <v>62</v>
      </c>
      <c r="H271" t="s">
        <v>1149</v>
      </c>
      <c r="I271" t="s">
        <v>1619</v>
      </c>
      <c r="J271" s="14">
        <v>45266</v>
      </c>
      <c r="K271" s="15" t="s">
        <v>1820</v>
      </c>
      <c r="L271" t="s">
        <v>2170</v>
      </c>
      <c r="M271" t="s">
        <v>2083</v>
      </c>
      <c r="N271">
        <v>799.38</v>
      </c>
      <c r="O271" t="s">
        <v>1825</v>
      </c>
      <c r="P271" s="42">
        <v>72177</v>
      </c>
      <c r="Q271" t="s">
        <v>51</v>
      </c>
      <c r="R271">
        <v>23</v>
      </c>
    </row>
    <row r="272" spans="1:18" x14ac:dyDescent="0.3">
      <c r="A272" s="7">
        <v>5078</v>
      </c>
      <c r="B272" t="s">
        <v>1580</v>
      </c>
      <c r="C272" s="7" t="s">
        <v>68</v>
      </c>
      <c r="D272" s="7" t="s">
        <v>151</v>
      </c>
      <c r="E272" s="7" t="s">
        <v>46</v>
      </c>
      <c r="F272" s="7" t="s">
        <v>1459</v>
      </c>
      <c r="G272" s="7" t="s">
        <v>77</v>
      </c>
      <c r="H272" t="s">
        <v>1154</v>
      </c>
      <c r="I272" t="s">
        <v>1619</v>
      </c>
      <c r="J272" s="14">
        <v>43531</v>
      </c>
      <c r="K272" s="15" t="s">
        <v>1820</v>
      </c>
      <c r="L272" t="s">
        <v>2170</v>
      </c>
      <c r="M272" t="s">
        <v>2084</v>
      </c>
      <c r="N272">
        <v>2946</v>
      </c>
      <c r="O272" t="s">
        <v>1825</v>
      </c>
      <c r="P272" s="42">
        <v>57041</v>
      </c>
      <c r="Q272" t="s">
        <v>95</v>
      </c>
      <c r="R272">
        <v>8</v>
      </c>
    </row>
    <row r="273" spans="1:18" x14ac:dyDescent="0.3">
      <c r="A273" s="7">
        <v>5013</v>
      </c>
      <c r="B273" t="s">
        <v>1144</v>
      </c>
      <c r="C273" s="7" t="s">
        <v>68</v>
      </c>
      <c r="D273" s="7" t="s">
        <v>389</v>
      </c>
      <c r="E273" s="7" t="s">
        <v>54</v>
      </c>
      <c r="F273" s="7" t="s">
        <v>1458</v>
      </c>
      <c r="G273" s="7" t="s">
        <v>55</v>
      </c>
      <c r="H273" t="s">
        <v>1057</v>
      </c>
      <c r="I273" t="s">
        <v>1158</v>
      </c>
      <c r="J273" s="14">
        <v>45235</v>
      </c>
      <c r="K273" s="15" t="s">
        <v>126</v>
      </c>
      <c r="L273" t="s">
        <v>2170</v>
      </c>
      <c r="M273" t="s">
        <v>2085</v>
      </c>
      <c r="N273">
        <v>1678.08</v>
      </c>
      <c r="O273" t="s">
        <v>1825</v>
      </c>
      <c r="P273" s="42">
        <v>119146</v>
      </c>
      <c r="Q273" t="s">
        <v>89</v>
      </c>
      <c r="R273">
        <v>0</v>
      </c>
    </row>
    <row r="274" spans="1:18" x14ac:dyDescent="0.3">
      <c r="A274" s="7">
        <v>5242</v>
      </c>
      <c r="B274" t="s">
        <v>1581</v>
      </c>
      <c r="C274" s="7" t="s">
        <v>68</v>
      </c>
      <c r="D274" s="7" t="s">
        <v>389</v>
      </c>
      <c r="E274" s="7" t="s">
        <v>46</v>
      </c>
      <c r="F274" s="7" t="s">
        <v>1459</v>
      </c>
      <c r="G274" s="7" t="s">
        <v>110</v>
      </c>
      <c r="H274" t="s">
        <v>1613</v>
      </c>
      <c r="I274" t="s">
        <v>1776</v>
      </c>
      <c r="J274" s="14">
        <v>45467</v>
      </c>
      <c r="K274" s="15" t="s">
        <v>1820</v>
      </c>
      <c r="L274" t="s">
        <v>2170</v>
      </c>
      <c r="M274" t="s">
        <v>2086</v>
      </c>
      <c r="N274">
        <v>2746.39</v>
      </c>
      <c r="O274" t="s">
        <v>1825</v>
      </c>
      <c r="P274" s="42">
        <v>106778</v>
      </c>
      <c r="Q274" t="s">
        <v>51</v>
      </c>
      <c r="R274">
        <v>13</v>
      </c>
    </row>
    <row r="275" spans="1:18" x14ac:dyDescent="0.3">
      <c r="A275" s="7">
        <v>5034</v>
      </c>
      <c r="B275" t="s">
        <v>1582</v>
      </c>
      <c r="C275" s="7" t="s">
        <v>68</v>
      </c>
      <c r="D275" s="7" t="s">
        <v>151</v>
      </c>
      <c r="E275" s="7" t="s">
        <v>91</v>
      </c>
      <c r="F275" s="7" t="s">
        <v>1455</v>
      </c>
      <c r="G275" s="7" t="s">
        <v>47</v>
      </c>
      <c r="H275" t="s">
        <v>1165</v>
      </c>
      <c r="I275" t="s">
        <v>1777</v>
      </c>
      <c r="J275" s="14">
        <v>43681</v>
      </c>
      <c r="K275" s="15" t="s">
        <v>1820</v>
      </c>
      <c r="L275" t="s">
        <v>2170</v>
      </c>
      <c r="M275" t="s">
        <v>2087</v>
      </c>
      <c r="N275">
        <v>1890.13</v>
      </c>
      <c r="O275" t="s">
        <v>1825</v>
      </c>
      <c r="P275" s="42">
        <v>71281</v>
      </c>
      <c r="Q275" t="s">
        <v>1821</v>
      </c>
      <c r="R275">
        <v>22</v>
      </c>
    </row>
    <row r="276" spans="1:18" x14ac:dyDescent="0.3">
      <c r="A276" s="7">
        <v>5069</v>
      </c>
      <c r="B276" t="s">
        <v>1056</v>
      </c>
      <c r="C276" s="7" t="s">
        <v>84</v>
      </c>
      <c r="D276" s="7" t="s">
        <v>122</v>
      </c>
      <c r="E276" s="7" t="s">
        <v>46</v>
      </c>
      <c r="F276" s="7" t="s">
        <v>1459</v>
      </c>
      <c r="G276" s="7" t="s">
        <v>47</v>
      </c>
      <c r="H276" t="s">
        <v>1170</v>
      </c>
      <c r="I276" t="s">
        <v>1778</v>
      </c>
      <c r="J276" s="14">
        <v>45422</v>
      </c>
      <c r="K276" s="15" t="s">
        <v>126</v>
      </c>
      <c r="L276" t="s">
        <v>2170</v>
      </c>
      <c r="M276" t="s">
        <v>2088</v>
      </c>
      <c r="N276">
        <v>3021.32</v>
      </c>
      <c r="O276" t="s">
        <v>1825</v>
      </c>
      <c r="P276" s="42">
        <v>122042</v>
      </c>
      <c r="Q276" t="s">
        <v>1821</v>
      </c>
      <c r="R276">
        <v>10</v>
      </c>
    </row>
    <row r="277" spans="1:18" x14ac:dyDescent="0.3">
      <c r="A277" s="7">
        <v>5147</v>
      </c>
      <c r="B277" t="s">
        <v>1089</v>
      </c>
      <c r="C277" s="7" t="s">
        <v>61</v>
      </c>
      <c r="D277" s="7" t="s">
        <v>122</v>
      </c>
      <c r="E277" s="7" t="s">
        <v>76</v>
      </c>
      <c r="F277" s="7" t="s">
        <v>1454</v>
      </c>
      <c r="G277" s="7" t="s">
        <v>62</v>
      </c>
      <c r="H277" t="s">
        <v>1175</v>
      </c>
      <c r="I277" t="s">
        <v>1779</v>
      </c>
      <c r="J277" s="14">
        <v>43275</v>
      </c>
      <c r="K277" s="15" t="s">
        <v>114</v>
      </c>
      <c r="L277" t="s">
        <v>2170</v>
      </c>
      <c r="M277" t="s">
        <v>2089</v>
      </c>
      <c r="N277">
        <v>1854.25</v>
      </c>
      <c r="O277" t="s">
        <v>1825</v>
      </c>
      <c r="P277" s="42">
        <v>161247</v>
      </c>
      <c r="Q277" t="s">
        <v>144</v>
      </c>
      <c r="R277">
        <v>7</v>
      </c>
    </row>
    <row r="278" spans="1:18" x14ac:dyDescent="0.3">
      <c r="A278" s="7">
        <v>5049</v>
      </c>
      <c r="B278" t="s">
        <v>1583</v>
      </c>
      <c r="C278" s="7" t="s">
        <v>84</v>
      </c>
      <c r="D278" s="7" t="s">
        <v>219</v>
      </c>
      <c r="E278" s="7" t="s">
        <v>140</v>
      </c>
      <c r="F278" s="7" t="s">
        <v>1456</v>
      </c>
      <c r="G278" s="7" t="s">
        <v>77</v>
      </c>
      <c r="H278" t="s">
        <v>1180</v>
      </c>
      <c r="I278" t="s">
        <v>1780</v>
      </c>
      <c r="J278" s="14">
        <v>44544</v>
      </c>
      <c r="K278" s="15">
        <v>45246</v>
      </c>
      <c r="L278">
        <v>2023</v>
      </c>
      <c r="M278" t="s">
        <v>2090</v>
      </c>
      <c r="N278">
        <v>947.58</v>
      </c>
      <c r="O278" t="s">
        <v>1826</v>
      </c>
      <c r="P278" s="42">
        <v>68940</v>
      </c>
      <c r="Q278" t="s">
        <v>51</v>
      </c>
      <c r="R278">
        <v>15</v>
      </c>
    </row>
    <row r="279" spans="1:18" x14ac:dyDescent="0.3">
      <c r="A279" s="7">
        <v>5067</v>
      </c>
      <c r="B279" t="s">
        <v>1169</v>
      </c>
      <c r="C279" s="7" t="s">
        <v>68</v>
      </c>
      <c r="D279" s="7" t="s">
        <v>122</v>
      </c>
      <c r="E279" s="7" t="s">
        <v>140</v>
      </c>
      <c r="F279" s="7" t="s">
        <v>1456</v>
      </c>
      <c r="G279" s="7" t="s">
        <v>47</v>
      </c>
      <c r="H279" t="s">
        <v>197</v>
      </c>
      <c r="I279" t="s">
        <v>1781</v>
      </c>
      <c r="J279" s="14">
        <v>43476</v>
      </c>
      <c r="K279" s="15" t="s">
        <v>114</v>
      </c>
      <c r="L279" t="s">
        <v>2170</v>
      </c>
      <c r="M279" t="s">
        <v>2091</v>
      </c>
      <c r="N279">
        <v>3018.32</v>
      </c>
      <c r="O279" t="s">
        <v>1825</v>
      </c>
      <c r="P279" s="42">
        <v>113382</v>
      </c>
      <c r="Q279" t="s">
        <v>51</v>
      </c>
      <c r="R279">
        <v>4</v>
      </c>
    </row>
    <row r="280" spans="1:18" x14ac:dyDescent="0.3">
      <c r="A280" s="7">
        <v>5322</v>
      </c>
      <c r="B280" t="s">
        <v>1174</v>
      </c>
      <c r="C280" s="7" t="s">
        <v>68</v>
      </c>
      <c r="D280" s="7" t="s">
        <v>151</v>
      </c>
      <c r="E280" s="7" t="s">
        <v>76</v>
      </c>
      <c r="F280" s="7" t="s">
        <v>1454</v>
      </c>
      <c r="G280" s="7" t="s">
        <v>47</v>
      </c>
      <c r="H280" t="s">
        <v>752</v>
      </c>
      <c r="I280" t="s">
        <v>1782</v>
      </c>
      <c r="J280" s="14">
        <v>44331</v>
      </c>
      <c r="K280" s="15" t="s">
        <v>114</v>
      </c>
      <c r="L280" t="s">
        <v>2170</v>
      </c>
      <c r="M280" t="s">
        <v>2092</v>
      </c>
      <c r="N280">
        <v>1430.5900000000001</v>
      </c>
      <c r="O280" t="s">
        <v>1825</v>
      </c>
      <c r="P280" s="42">
        <v>0</v>
      </c>
      <c r="Q280" t="s">
        <v>51</v>
      </c>
      <c r="R280">
        <v>0</v>
      </c>
    </row>
    <row r="281" spans="1:18" x14ac:dyDescent="0.3">
      <c r="A281" s="7">
        <v>5125</v>
      </c>
      <c r="B281" t="s">
        <v>1179</v>
      </c>
      <c r="C281" s="7" t="s">
        <v>68</v>
      </c>
      <c r="D281" s="7" t="s">
        <v>122</v>
      </c>
      <c r="E281" s="7" t="s">
        <v>91</v>
      </c>
      <c r="F281" s="7" t="s">
        <v>1455</v>
      </c>
      <c r="G281" s="7" t="s">
        <v>62</v>
      </c>
      <c r="H281" t="s">
        <v>1191</v>
      </c>
      <c r="I281" t="s">
        <v>1192</v>
      </c>
      <c r="J281" s="14">
        <v>43200</v>
      </c>
      <c r="K281" s="15">
        <v>45838</v>
      </c>
      <c r="L281">
        <v>2025</v>
      </c>
      <c r="M281" t="s">
        <v>2093</v>
      </c>
      <c r="N281">
        <v>759.5</v>
      </c>
      <c r="O281" t="s">
        <v>1826</v>
      </c>
      <c r="P281" s="42">
        <v>0</v>
      </c>
      <c r="Q281" t="s">
        <v>95</v>
      </c>
      <c r="R281">
        <v>7</v>
      </c>
    </row>
    <row r="282" spans="1:18" x14ac:dyDescent="0.3">
      <c r="A282" s="7">
        <v>5228</v>
      </c>
      <c r="B282" t="s">
        <v>196</v>
      </c>
      <c r="C282" s="7" t="s">
        <v>68</v>
      </c>
      <c r="D282" s="7" t="s">
        <v>122</v>
      </c>
      <c r="E282" s="7" t="s">
        <v>91</v>
      </c>
      <c r="F282" s="7" t="s">
        <v>1455</v>
      </c>
      <c r="G282" s="7" t="s">
        <v>62</v>
      </c>
      <c r="H282" t="s">
        <v>1195</v>
      </c>
      <c r="I282" t="s">
        <v>1783</v>
      </c>
      <c r="J282" s="14">
        <v>44367</v>
      </c>
      <c r="K282" s="15" t="s">
        <v>1820</v>
      </c>
      <c r="L282" t="s">
        <v>2170</v>
      </c>
      <c r="M282" t="s">
        <v>2094</v>
      </c>
      <c r="N282">
        <v>2234.94</v>
      </c>
      <c r="O282" t="s">
        <v>1825</v>
      </c>
      <c r="P282" s="42">
        <v>0</v>
      </c>
      <c r="Q282" t="s">
        <v>1821</v>
      </c>
      <c r="R282">
        <v>13</v>
      </c>
    </row>
    <row r="283" spans="1:18" x14ac:dyDescent="0.3">
      <c r="A283" s="7">
        <v>5063</v>
      </c>
      <c r="B283" t="s">
        <v>1187</v>
      </c>
      <c r="C283" s="7" t="s">
        <v>61</v>
      </c>
      <c r="D283" s="7" t="s">
        <v>53</v>
      </c>
      <c r="E283" s="7" t="s">
        <v>46</v>
      </c>
      <c r="F283" s="7" t="s">
        <v>1459</v>
      </c>
      <c r="G283" s="7" t="s">
        <v>85</v>
      </c>
      <c r="H283" t="s">
        <v>1199</v>
      </c>
      <c r="I283" t="s">
        <v>1619</v>
      </c>
      <c r="J283" s="14">
        <v>44298</v>
      </c>
      <c r="K283" s="15" t="s">
        <v>114</v>
      </c>
      <c r="L283" t="s">
        <v>2170</v>
      </c>
      <c r="M283" t="s">
        <v>2095</v>
      </c>
      <c r="N283">
        <v>2426.58</v>
      </c>
      <c r="O283" t="s">
        <v>1825</v>
      </c>
      <c r="P283" s="42">
        <v>63797</v>
      </c>
      <c r="Q283" t="s">
        <v>51</v>
      </c>
      <c r="R283">
        <v>7</v>
      </c>
    </row>
    <row r="284" spans="1:18" x14ac:dyDescent="0.3">
      <c r="A284" s="7">
        <v>5329</v>
      </c>
      <c r="B284" t="s">
        <v>1584</v>
      </c>
      <c r="C284" s="7" t="s">
        <v>68</v>
      </c>
      <c r="D284" s="7" t="s">
        <v>122</v>
      </c>
      <c r="E284" s="7" t="s">
        <v>91</v>
      </c>
      <c r="F284" s="7" t="s">
        <v>1455</v>
      </c>
      <c r="G284" s="7" t="s">
        <v>85</v>
      </c>
      <c r="H284" t="s">
        <v>1129</v>
      </c>
      <c r="I284" t="s">
        <v>1784</v>
      </c>
      <c r="J284" s="14">
        <v>43203</v>
      </c>
      <c r="K284" s="15" t="s">
        <v>126</v>
      </c>
      <c r="L284" t="s">
        <v>2170</v>
      </c>
      <c r="M284" t="s">
        <v>2096</v>
      </c>
      <c r="N284">
        <v>3121.64</v>
      </c>
      <c r="O284" t="s">
        <v>1825</v>
      </c>
      <c r="P284" s="42">
        <v>165280</v>
      </c>
      <c r="Q284" t="s">
        <v>89</v>
      </c>
      <c r="R284">
        <v>8</v>
      </c>
    </row>
    <row r="285" spans="1:18" x14ac:dyDescent="0.3">
      <c r="A285" s="7">
        <v>5348</v>
      </c>
      <c r="B285" t="s">
        <v>1585</v>
      </c>
      <c r="C285" s="7" t="s">
        <v>68</v>
      </c>
      <c r="D285" s="7" t="s">
        <v>151</v>
      </c>
      <c r="E285" s="7" t="s">
        <v>76</v>
      </c>
      <c r="F285" s="7" t="s">
        <v>1454</v>
      </c>
      <c r="G285" s="7" t="s">
        <v>70</v>
      </c>
      <c r="H285" t="s">
        <v>1209</v>
      </c>
      <c r="I285" t="s">
        <v>1785</v>
      </c>
      <c r="J285" s="14">
        <v>44791</v>
      </c>
      <c r="K285" s="15">
        <v>44067</v>
      </c>
      <c r="L285">
        <v>2020</v>
      </c>
      <c r="M285" t="s">
        <v>2097</v>
      </c>
      <c r="N285">
        <v>821.38</v>
      </c>
      <c r="O285" t="s">
        <v>1826</v>
      </c>
      <c r="P285" s="42">
        <v>90051</v>
      </c>
      <c r="Q285" t="s">
        <v>89</v>
      </c>
      <c r="R285">
        <v>6</v>
      </c>
    </row>
    <row r="286" spans="1:18" x14ac:dyDescent="0.3">
      <c r="A286" s="7">
        <v>5339</v>
      </c>
      <c r="B286" t="s">
        <v>1198</v>
      </c>
      <c r="C286" s="7" t="s">
        <v>68</v>
      </c>
      <c r="D286" s="7" t="s">
        <v>133</v>
      </c>
      <c r="E286" s="7" t="s">
        <v>91</v>
      </c>
      <c r="F286" s="7" t="s">
        <v>1455</v>
      </c>
      <c r="G286" s="7" t="s">
        <v>110</v>
      </c>
      <c r="H286" t="s">
        <v>1213</v>
      </c>
      <c r="I286" t="s">
        <v>1786</v>
      </c>
      <c r="J286" s="14">
        <v>45078</v>
      </c>
      <c r="K286" s="15" t="s">
        <v>114</v>
      </c>
      <c r="L286" t="s">
        <v>2170</v>
      </c>
      <c r="M286" t="s">
        <v>2098</v>
      </c>
      <c r="N286">
        <v>3120.64</v>
      </c>
      <c r="O286" t="s">
        <v>1825</v>
      </c>
      <c r="P286" s="42">
        <v>144556</v>
      </c>
      <c r="Q286" t="s">
        <v>95</v>
      </c>
      <c r="R286">
        <v>6</v>
      </c>
    </row>
    <row r="287" spans="1:18" x14ac:dyDescent="0.3">
      <c r="A287" s="7">
        <v>5248</v>
      </c>
      <c r="B287" t="s">
        <v>1204</v>
      </c>
      <c r="C287" s="7" t="s">
        <v>61</v>
      </c>
      <c r="D287" s="7" t="s">
        <v>219</v>
      </c>
      <c r="E287" s="7" t="s">
        <v>91</v>
      </c>
      <c r="F287" s="7" t="s">
        <v>1455</v>
      </c>
      <c r="G287" s="7" t="s">
        <v>175</v>
      </c>
      <c r="H287" t="s">
        <v>554</v>
      </c>
      <c r="I287" t="s">
        <v>1787</v>
      </c>
      <c r="J287" s="14">
        <v>43987</v>
      </c>
      <c r="K287" s="15">
        <v>45838</v>
      </c>
      <c r="L287">
        <v>2025</v>
      </c>
      <c r="M287" t="s">
        <v>2099</v>
      </c>
      <c r="N287">
        <v>798.38</v>
      </c>
      <c r="O287" t="s">
        <v>1826</v>
      </c>
      <c r="P287" s="42">
        <v>76283</v>
      </c>
      <c r="Q287" t="s">
        <v>144</v>
      </c>
      <c r="R287">
        <v>0</v>
      </c>
    </row>
    <row r="288" spans="1:18" x14ac:dyDescent="0.3">
      <c r="A288" s="7">
        <v>5026</v>
      </c>
      <c r="B288" t="s">
        <v>1586</v>
      </c>
      <c r="C288" s="7" t="s">
        <v>84</v>
      </c>
      <c r="D288" s="7" t="s">
        <v>122</v>
      </c>
      <c r="E288" s="7" t="s">
        <v>54</v>
      </c>
      <c r="F288" s="7" t="s">
        <v>1458</v>
      </c>
      <c r="G288" s="7" t="s">
        <v>77</v>
      </c>
      <c r="H288" t="s">
        <v>1221</v>
      </c>
      <c r="I288" t="s">
        <v>1619</v>
      </c>
      <c r="J288" s="14">
        <v>43795</v>
      </c>
      <c r="K288" s="15" t="s">
        <v>114</v>
      </c>
      <c r="L288" t="s">
        <v>2170</v>
      </c>
      <c r="M288" t="s">
        <v>2100</v>
      </c>
      <c r="N288">
        <v>1686.08</v>
      </c>
      <c r="O288" t="s">
        <v>1825</v>
      </c>
      <c r="P288" s="42">
        <v>102426</v>
      </c>
      <c r="Q288" t="s">
        <v>127</v>
      </c>
      <c r="R288">
        <v>3</v>
      </c>
    </row>
    <row r="289" spans="1:18" x14ac:dyDescent="0.3">
      <c r="A289" s="7">
        <v>5127</v>
      </c>
      <c r="B289" t="s">
        <v>1212</v>
      </c>
      <c r="C289" s="7" t="s">
        <v>68</v>
      </c>
      <c r="D289" s="7" t="s">
        <v>122</v>
      </c>
      <c r="E289" s="7" t="s">
        <v>91</v>
      </c>
      <c r="F289" s="7" t="s">
        <v>1455</v>
      </c>
      <c r="G289" s="7" t="s">
        <v>55</v>
      </c>
      <c r="H289" t="s">
        <v>401</v>
      </c>
      <c r="I289" t="s">
        <v>1788</v>
      </c>
      <c r="J289" s="14">
        <v>43101</v>
      </c>
      <c r="K289" s="15">
        <v>44448</v>
      </c>
      <c r="L289">
        <v>2021</v>
      </c>
      <c r="M289" t="s">
        <v>2014</v>
      </c>
      <c r="N289">
        <v>730.09</v>
      </c>
      <c r="O289" t="s">
        <v>1826</v>
      </c>
      <c r="P289" s="42">
        <v>0</v>
      </c>
      <c r="Q289" t="s">
        <v>51</v>
      </c>
      <c r="R289">
        <v>10</v>
      </c>
    </row>
    <row r="290" spans="1:18" x14ac:dyDescent="0.3">
      <c r="A290" s="7">
        <v>5101</v>
      </c>
      <c r="B290" t="s">
        <v>1475</v>
      </c>
      <c r="C290" s="7" t="s">
        <v>68</v>
      </c>
      <c r="D290" s="7" t="s">
        <v>151</v>
      </c>
      <c r="E290" s="7" t="s">
        <v>76</v>
      </c>
      <c r="F290" s="7" t="s">
        <v>1454</v>
      </c>
      <c r="G290" s="7" t="s">
        <v>85</v>
      </c>
      <c r="H290" t="s">
        <v>1601</v>
      </c>
      <c r="I290" t="s">
        <v>1227</v>
      </c>
      <c r="J290" s="14">
        <v>43245</v>
      </c>
      <c r="K290" s="15" t="s">
        <v>1820</v>
      </c>
      <c r="L290" t="s">
        <v>2170</v>
      </c>
      <c r="M290" t="s">
        <v>2101</v>
      </c>
      <c r="N290">
        <v>2411.58</v>
      </c>
      <c r="O290" t="s">
        <v>1825</v>
      </c>
      <c r="P290" s="42">
        <v>123330</v>
      </c>
      <c r="Q290" t="s">
        <v>51</v>
      </c>
      <c r="R290">
        <v>10</v>
      </c>
    </row>
    <row r="291" spans="1:18" x14ac:dyDescent="0.3">
      <c r="A291" s="7">
        <v>5053</v>
      </c>
      <c r="B291" t="s">
        <v>1220</v>
      </c>
      <c r="C291" s="7" t="s">
        <v>68</v>
      </c>
      <c r="D291" s="7" t="s">
        <v>122</v>
      </c>
      <c r="E291" s="7" t="s">
        <v>69</v>
      </c>
      <c r="F291" s="7" t="s">
        <v>1457</v>
      </c>
      <c r="G291" s="7" t="s">
        <v>110</v>
      </c>
      <c r="H291" t="s">
        <v>1231</v>
      </c>
      <c r="I291" t="s">
        <v>1617</v>
      </c>
      <c r="J291" s="14">
        <v>43102</v>
      </c>
      <c r="K291" s="15" t="s">
        <v>1820</v>
      </c>
      <c r="L291" t="s">
        <v>2170</v>
      </c>
      <c r="M291" t="s">
        <v>2102</v>
      </c>
      <c r="N291">
        <v>2382.14</v>
      </c>
      <c r="O291" t="s">
        <v>1825</v>
      </c>
      <c r="P291" s="42">
        <v>141427</v>
      </c>
      <c r="Q291" t="s">
        <v>127</v>
      </c>
      <c r="R291">
        <v>2</v>
      </c>
    </row>
    <row r="292" spans="1:18" x14ac:dyDescent="0.3">
      <c r="A292" s="7">
        <v>5168</v>
      </c>
      <c r="B292" t="s">
        <v>400</v>
      </c>
      <c r="C292" s="7" t="s">
        <v>84</v>
      </c>
      <c r="D292" s="7" t="s">
        <v>122</v>
      </c>
      <c r="E292" s="7" t="s">
        <v>46</v>
      </c>
      <c r="F292" s="7" t="s">
        <v>1459</v>
      </c>
      <c r="G292" s="7" t="s">
        <v>77</v>
      </c>
      <c r="H292" t="s">
        <v>1234</v>
      </c>
      <c r="I292" t="s">
        <v>1617</v>
      </c>
      <c r="J292" s="14">
        <v>45039</v>
      </c>
      <c r="K292" s="15" t="s">
        <v>114</v>
      </c>
      <c r="L292" t="s">
        <v>2170</v>
      </c>
      <c r="M292" t="s">
        <v>2103</v>
      </c>
      <c r="N292">
        <v>2221.94</v>
      </c>
      <c r="O292" t="s">
        <v>1825</v>
      </c>
      <c r="P292" s="42">
        <v>159942</v>
      </c>
      <c r="Q292" t="s">
        <v>51</v>
      </c>
      <c r="R292">
        <v>8</v>
      </c>
    </row>
    <row r="293" spans="1:18" x14ac:dyDescent="0.3">
      <c r="A293" s="7">
        <v>5159</v>
      </c>
      <c r="B293" t="s">
        <v>1226</v>
      </c>
      <c r="C293" s="7" t="s">
        <v>68</v>
      </c>
      <c r="D293" s="7" t="s">
        <v>389</v>
      </c>
      <c r="E293" s="7" t="s">
        <v>91</v>
      </c>
      <c r="F293" s="7" t="s">
        <v>1455</v>
      </c>
      <c r="G293" s="7" t="s">
        <v>47</v>
      </c>
      <c r="H293" t="s">
        <v>1236</v>
      </c>
      <c r="I293" t="s">
        <v>1789</v>
      </c>
      <c r="J293" s="14">
        <v>44536</v>
      </c>
      <c r="K293" s="15" t="s">
        <v>114</v>
      </c>
      <c r="L293" t="s">
        <v>2170</v>
      </c>
      <c r="M293" t="s">
        <v>2104</v>
      </c>
      <c r="N293">
        <v>837.82</v>
      </c>
      <c r="O293" t="s">
        <v>1825</v>
      </c>
      <c r="P293" s="42">
        <v>40609</v>
      </c>
      <c r="Q293" t="s">
        <v>95</v>
      </c>
      <c r="R293">
        <v>10</v>
      </c>
    </row>
    <row r="294" spans="1:18" x14ac:dyDescent="0.3">
      <c r="A294" s="7">
        <v>5046</v>
      </c>
      <c r="B294" t="s">
        <v>1230</v>
      </c>
      <c r="C294" s="7" t="s">
        <v>61</v>
      </c>
      <c r="D294" s="7" t="s">
        <v>133</v>
      </c>
      <c r="E294" s="7" t="s">
        <v>91</v>
      </c>
      <c r="F294" s="7" t="s">
        <v>1455</v>
      </c>
      <c r="G294" s="7" t="s">
        <v>62</v>
      </c>
      <c r="H294" t="s">
        <v>1601</v>
      </c>
      <c r="I294" t="s">
        <v>1790</v>
      </c>
      <c r="J294" s="14">
        <v>43718</v>
      </c>
      <c r="K294" s="15" t="s">
        <v>1820</v>
      </c>
      <c r="L294" t="s">
        <v>2170</v>
      </c>
      <c r="M294" t="s">
        <v>2105</v>
      </c>
      <c r="N294">
        <v>2410.58</v>
      </c>
      <c r="O294" t="s">
        <v>1825</v>
      </c>
      <c r="P294" s="42">
        <v>141889</v>
      </c>
      <c r="Q294" t="s">
        <v>144</v>
      </c>
      <c r="R294">
        <v>11</v>
      </c>
    </row>
    <row r="295" spans="1:18" x14ac:dyDescent="0.3">
      <c r="A295" s="7">
        <v>5122</v>
      </c>
      <c r="B295" t="s">
        <v>1233</v>
      </c>
      <c r="C295" s="7" t="s">
        <v>68</v>
      </c>
      <c r="D295" s="7" t="s">
        <v>151</v>
      </c>
      <c r="E295" s="7" t="s">
        <v>76</v>
      </c>
      <c r="F295" s="7" t="s">
        <v>1454</v>
      </c>
      <c r="G295" s="7" t="s">
        <v>77</v>
      </c>
      <c r="H295" t="s">
        <v>1614</v>
      </c>
      <c r="I295" t="s">
        <v>1791</v>
      </c>
      <c r="J295" s="14">
        <v>43810</v>
      </c>
      <c r="K295" s="15">
        <v>45838</v>
      </c>
      <c r="L295">
        <v>2025</v>
      </c>
      <c r="M295" t="s">
        <v>2106</v>
      </c>
      <c r="N295">
        <v>799.38</v>
      </c>
      <c r="O295" t="s">
        <v>1826</v>
      </c>
      <c r="P295" s="42">
        <v>0</v>
      </c>
      <c r="Q295" t="s">
        <v>95</v>
      </c>
      <c r="R295">
        <v>12</v>
      </c>
    </row>
    <row r="296" spans="1:18" x14ac:dyDescent="0.3">
      <c r="A296" s="7">
        <v>5010</v>
      </c>
      <c r="B296" t="s">
        <v>1235</v>
      </c>
      <c r="C296" s="7" t="s">
        <v>84</v>
      </c>
      <c r="D296" s="7" t="s">
        <v>389</v>
      </c>
      <c r="E296" s="7" t="s">
        <v>91</v>
      </c>
      <c r="F296" s="7" t="s">
        <v>1455</v>
      </c>
      <c r="G296" s="7" t="s">
        <v>70</v>
      </c>
      <c r="H296" t="s">
        <v>251</v>
      </c>
      <c r="I296" t="s">
        <v>1617</v>
      </c>
      <c r="J296" s="14">
        <v>43840</v>
      </c>
      <c r="K296" s="15" t="s">
        <v>1820</v>
      </c>
      <c r="L296" t="s">
        <v>2170</v>
      </c>
      <c r="M296" t="s">
        <v>2107</v>
      </c>
      <c r="N296">
        <v>1692.08</v>
      </c>
      <c r="O296" t="s">
        <v>1825</v>
      </c>
      <c r="P296" s="42">
        <v>50004</v>
      </c>
      <c r="Q296" t="s">
        <v>95</v>
      </c>
      <c r="R296">
        <v>5</v>
      </c>
    </row>
    <row r="297" spans="1:18" x14ac:dyDescent="0.3">
      <c r="A297" s="7">
        <v>5169</v>
      </c>
      <c r="B297" t="s">
        <v>1240</v>
      </c>
      <c r="C297" s="7" t="s">
        <v>68</v>
      </c>
      <c r="D297" s="7" t="s">
        <v>133</v>
      </c>
      <c r="E297" s="7" t="s">
        <v>91</v>
      </c>
      <c r="F297" s="7" t="s">
        <v>1455</v>
      </c>
      <c r="G297" s="7" t="s">
        <v>47</v>
      </c>
      <c r="H297" t="s">
        <v>1252</v>
      </c>
      <c r="I297" t="s">
        <v>1619</v>
      </c>
      <c r="J297" s="14">
        <v>44000</v>
      </c>
      <c r="K297" s="15" t="s">
        <v>114</v>
      </c>
      <c r="L297" t="s">
        <v>2170</v>
      </c>
      <c r="M297" t="s">
        <v>1829</v>
      </c>
      <c r="N297">
        <v>1310.83</v>
      </c>
      <c r="O297" t="s">
        <v>1825</v>
      </c>
      <c r="P297" s="42">
        <v>0</v>
      </c>
      <c r="Q297" t="s">
        <v>95</v>
      </c>
      <c r="R297">
        <v>22</v>
      </c>
    </row>
    <row r="298" spans="1:18" x14ac:dyDescent="0.3">
      <c r="A298" s="7">
        <v>5173</v>
      </c>
      <c r="B298" t="s">
        <v>1587</v>
      </c>
      <c r="C298" s="7" t="s">
        <v>68</v>
      </c>
      <c r="D298" s="7" t="s">
        <v>133</v>
      </c>
      <c r="E298" s="7" t="s">
        <v>140</v>
      </c>
      <c r="F298" s="7" t="s">
        <v>1456</v>
      </c>
      <c r="G298" s="7" t="s">
        <v>62</v>
      </c>
      <c r="H298" t="s">
        <v>303</v>
      </c>
      <c r="I298" t="s">
        <v>1792</v>
      </c>
      <c r="J298" s="14">
        <v>45384</v>
      </c>
      <c r="K298" s="15">
        <v>45542</v>
      </c>
      <c r="L298">
        <v>2024</v>
      </c>
      <c r="M298" t="s">
        <v>2108</v>
      </c>
      <c r="N298">
        <v>1984.45</v>
      </c>
      <c r="O298" t="s">
        <v>1826</v>
      </c>
      <c r="P298" s="42">
        <v>162620</v>
      </c>
      <c r="Q298" t="s">
        <v>127</v>
      </c>
      <c r="R298">
        <v>4</v>
      </c>
    </row>
    <row r="299" spans="1:18" x14ac:dyDescent="0.3">
      <c r="A299" s="7">
        <v>5162</v>
      </c>
      <c r="B299" t="s">
        <v>1485</v>
      </c>
      <c r="C299" s="7" t="s">
        <v>68</v>
      </c>
      <c r="D299" s="7" t="s">
        <v>151</v>
      </c>
      <c r="E299" s="7" t="s">
        <v>69</v>
      </c>
      <c r="F299" s="7" t="s">
        <v>1457</v>
      </c>
      <c r="G299" s="7" t="s">
        <v>175</v>
      </c>
      <c r="H299" t="s">
        <v>312</v>
      </c>
      <c r="I299" t="s">
        <v>1793</v>
      </c>
      <c r="J299" s="14">
        <v>43811</v>
      </c>
      <c r="K299" s="15">
        <v>44799</v>
      </c>
      <c r="L299">
        <v>2022</v>
      </c>
      <c r="M299" t="s">
        <v>2109</v>
      </c>
      <c r="N299">
        <v>807.38</v>
      </c>
      <c r="O299" t="s">
        <v>1826</v>
      </c>
      <c r="P299" s="42">
        <v>37000</v>
      </c>
      <c r="Q299" t="s">
        <v>95</v>
      </c>
      <c r="R299">
        <v>10</v>
      </c>
    </row>
    <row r="300" spans="1:18" x14ac:dyDescent="0.3">
      <c r="A300" s="7">
        <v>5137</v>
      </c>
      <c r="B300" t="s">
        <v>1251</v>
      </c>
      <c r="C300" s="7" t="s">
        <v>61</v>
      </c>
      <c r="D300" s="7" t="s">
        <v>133</v>
      </c>
      <c r="E300" s="7" t="s">
        <v>76</v>
      </c>
      <c r="F300" s="7" t="s">
        <v>1454</v>
      </c>
      <c r="G300" s="7" t="s">
        <v>55</v>
      </c>
      <c r="H300" t="s">
        <v>1261</v>
      </c>
      <c r="I300" t="s">
        <v>1262</v>
      </c>
      <c r="J300" s="14">
        <v>45038</v>
      </c>
      <c r="K300" s="15" t="s">
        <v>126</v>
      </c>
      <c r="L300" t="s">
        <v>2170</v>
      </c>
      <c r="M300" t="s">
        <v>2110</v>
      </c>
      <c r="N300">
        <v>1535.88</v>
      </c>
      <c r="O300" t="s">
        <v>1825</v>
      </c>
      <c r="P300" s="42">
        <v>86892</v>
      </c>
      <c r="Q300" t="s">
        <v>127</v>
      </c>
      <c r="R300">
        <v>11</v>
      </c>
    </row>
    <row r="301" spans="1:18" x14ac:dyDescent="0.3">
      <c r="A301" s="7">
        <v>5071</v>
      </c>
      <c r="B301" t="s">
        <v>1493</v>
      </c>
      <c r="C301" s="7" t="s">
        <v>68</v>
      </c>
      <c r="D301" s="7" t="s">
        <v>53</v>
      </c>
      <c r="E301" s="7" t="s">
        <v>140</v>
      </c>
      <c r="F301" s="7" t="s">
        <v>1456</v>
      </c>
      <c r="G301" s="7" t="s">
        <v>62</v>
      </c>
      <c r="H301" t="s">
        <v>197</v>
      </c>
      <c r="I301" t="s">
        <v>1617</v>
      </c>
      <c r="J301" s="14">
        <v>44530</v>
      </c>
      <c r="K301" s="15" t="s">
        <v>126</v>
      </c>
      <c r="L301" t="s">
        <v>2170</v>
      </c>
      <c r="M301" t="s">
        <v>2111</v>
      </c>
      <c r="N301">
        <v>2926</v>
      </c>
      <c r="O301" t="s">
        <v>1825</v>
      </c>
      <c r="P301" s="42">
        <v>89361</v>
      </c>
      <c r="Q301" t="s">
        <v>144</v>
      </c>
      <c r="R301">
        <v>19</v>
      </c>
    </row>
    <row r="302" spans="1:18" x14ac:dyDescent="0.3">
      <c r="A302" s="7">
        <v>5091</v>
      </c>
      <c r="B302" t="s">
        <v>311</v>
      </c>
      <c r="C302" s="7" t="s">
        <v>61</v>
      </c>
      <c r="D302" s="7" t="s">
        <v>53</v>
      </c>
      <c r="E302" s="7" t="s">
        <v>69</v>
      </c>
      <c r="F302" s="7" t="s">
        <v>1457</v>
      </c>
      <c r="G302" s="7" t="s">
        <v>62</v>
      </c>
      <c r="H302" t="s">
        <v>1268</v>
      </c>
      <c r="I302" t="s">
        <v>1794</v>
      </c>
      <c r="J302" s="14">
        <v>44911</v>
      </c>
      <c r="K302" s="15">
        <v>45838</v>
      </c>
      <c r="L302">
        <v>2025</v>
      </c>
      <c r="M302" t="s">
        <v>2112</v>
      </c>
      <c r="N302">
        <v>389.25</v>
      </c>
      <c r="O302" t="s">
        <v>1826</v>
      </c>
      <c r="P302" s="42">
        <v>98368</v>
      </c>
      <c r="Q302" t="s">
        <v>127</v>
      </c>
      <c r="R302">
        <v>7</v>
      </c>
    </row>
    <row r="303" spans="1:18" x14ac:dyDescent="0.3">
      <c r="A303" s="7">
        <v>5188</v>
      </c>
      <c r="B303" t="s">
        <v>1302</v>
      </c>
      <c r="C303" s="7" t="s">
        <v>84</v>
      </c>
      <c r="D303" s="7" t="s">
        <v>151</v>
      </c>
      <c r="E303" s="7" t="s">
        <v>69</v>
      </c>
      <c r="F303" s="7" t="s">
        <v>1457</v>
      </c>
      <c r="G303" s="7" t="s">
        <v>175</v>
      </c>
      <c r="H303" t="s">
        <v>1272</v>
      </c>
      <c r="I303" t="s">
        <v>1795</v>
      </c>
      <c r="J303" s="14">
        <v>43556</v>
      </c>
      <c r="K303" s="15">
        <v>44923</v>
      </c>
      <c r="L303">
        <v>2022</v>
      </c>
      <c r="M303" t="s">
        <v>2113</v>
      </c>
      <c r="N303">
        <v>1661.64</v>
      </c>
      <c r="O303" t="s">
        <v>1826</v>
      </c>
      <c r="P303" s="42">
        <v>53442</v>
      </c>
      <c r="Q303" t="s">
        <v>95</v>
      </c>
      <c r="R303">
        <v>2</v>
      </c>
    </row>
    <row r="304" spans="1:18" x14ac:dyDescent="0.3">
      <c r="A304" s="7">
        <v>5245</v>
      </c>
      <c r="B304" t="s">
        <v>196</v>
      </c>
      <c r="C304" s="7" t="s">
        <v>68</v>
      </c>
      <c r="D304" s="7" t="s">
        <v>389</v>
      </c>
      <c r="E304" s="7" t="s">
        <v>76</v>
      </c>
      <c r="F304" s="7" t="s">
        <v>1454</v>
      </c>
      <c r="G304" s="7" t="s">
        <v>110</v>
      </c>
      <c r="H304" t="s">
        <v>1213</v>
      </c>
      <c r="I304" t="s">
        <v>1796</v>
      </c>
      <c r="J304" s="14">
        <v>43992</v>
      </c>
      <c r="K304" s="15" t="s">
        <v>1820</v>
      </c>
      <c r="L304" t="s">
        <v>2170</v>
      </c>
      <c r="M304" t="s">
        <v>2114</v>
      </c>
      <c r="N304">
        <v>2287.8200000000002</v>
      </c>
      <c r="O304" t="s">
        <v>1825</v>
      </c>
      <c r="P304" s="42">
        <v>94837</v>
      </c>
      <c r="Q304" t="s">
        <v>1821</v>
      </c>
      <c r="R304" t="s">
        <v>1822</v>
      </c>
    </row>
    <row r="305" spans="1:18" x14ac:dyDescent="0.3">
      <c r="A305" s="7">
        <v>5140</v>
      </c>
      <c r="B305" t="s">
        <v>1588</v>
      </c>
      <c r="C305" s="7" t="s">
        <v>84</v>
      </c>
      <c r="D305" s="7" t="s">
        <v>389</v>
      </c>
      <c r="E305" s="7" t="s">
        <v>69</v>
      </c>
      <c r="F305" s="7" t="s">
        <v>1457</v>
      </c>
      <c r="G305" s="7" t="s">
        <v>62</v>
      </c>
      <c r="H305" t="s">
        <v>1280</v>
      </c>
      <c r="I305" t="s">
        <v>1281</v>
      </c>
      <c r="J305" s="14">
        <v>44685</v>
      </c>
      <c r="K305" s="15" t="s">
        <v>1820</v>
      </c>
      <c r="L305" t="s">
        <v>2170</v>
      </c>
      <c r="M305" t="s">
        <v>2115</v>
      </c>
      <c r="N305">
        <v>2294.8200000000002</v>
      </c>
      <c r="O305" t="s">
        <v>1825</v>
      </c>
      <c r="P305" s="42">
        <v>90236</v>
      </c>
      <c r="Q305" t="s">
        <v>127</v>
      </c>
      <c r="R305">
        <v>0</v>
      </c>
    </row>
    <row r="306" spans="1:18" x14ac:dyDescent="0.3">
      <c r="A306" s="7">
        <v>5331</v>
      </c>
      <c r="B306" t="s">
        <v>1271</v>
      </c>
      <c r="C306" s="7" t="s">
        <v>68</v>
      </c>
      <c r="D306" s="7" t="s">
        <v>389</v>
      </c>
      <c r="E306" s="7" t="s">
        <v>54</v>
      </c>
      <c r="F306" s="7" t="s">
        <v>1458</v>
      </c>
      <c r="G306" s="7" t="s">
        <v>175</v>
      </c>
      <c r="H306" t="s">
        <v>1285</v>
      </c>
      <c r="I306" t="s">
        <v>1797</v>
      </c>
      <c r="J306" s="14">
        <v>43295</v>
      </c>
      <c r="K306" s="15" t="s">
        <v>1820</v>
      </c>
      <c r="L306" t="s">
        <v>2170</v>
      </c>
      <c r="M306" t="s">
        <v>2116</v>
      </c>
      <c r="N306">
        <v>2386.14</v>
      </c>
      <c r="O306" t="s">
        <v>1825</v>
      </c>
      <c r="P306" s="42">
        <v>113595</v>
      </c>
      <c r="Q306" t="s">
        <v>51</v>
      </c>
      <c r="R306">
        <v>10</v>
      </c>
    </row>
    <row r="307" spans="1:18" x14ac:dyDescent="0.3">
      <c r="A307" s="7">
        <v>5224</v>
      </c>
      <c r="B307" t="s">
        <v>1212</v>
      </c>
      <c r="C307" s="7" t="s">
        <v>68</v>
      </c>
      <c r="D307" s="7" t="s">
        <v>389</v>
      </c>
      <c r="E307" s="7" t="s">
        <v>91</v>
      </c>
      <c r="F307" s="7" t="s">
        <v>1455</v>
      </c>
      <c r="G307" s="7" t="s">
        <v>110</v>
      </c>
      <c r="H307" t="s">
        <v>1289</v>
      </c>
      <c r="I307" t="s">
        <v>1798</v>
      </c>
      <c r="J307" s="14">
        <v>44144</v>
      </c>
      <c r="K307" s="15" t="s">
        <v>126</v>
      </c>
      <c r="L307" t="s">
        <v>2170</v>
      </c>
      <c r="M307" t="s">
        <v>2117</v>
      </c>
      <c r="N307">
        <v>1552.32</v>
      </c>
      <c r="O307" t="s">
        <v>1825</v>
      </c>
      <c r="P307" s="42">
        <v>152089</v>
      </c>
      <c r="Q307" t="s">
        <v>127</v>
      </c>
      <c r="R307">
        <v>9</v>
      </c>
    </row>
    <row r="308" spans="1:18" x14ac:dyDescent="0.3">
      <c r="A308" s="7">
        <v>5022</v>
      </c>
      <c r="B308" t="s">
        <v>1279</v>
      </c>
      <c r="C308" s="7" t="s">
        <v>84</v>
      </c>
      <c r="D308" s="7" t="s">
        <v>53</v>
      </c>
      <c r="E308" s="7" t="s">
        <v>54</v>
      </c>
      <c r="F308" s="7" t="s">
        <v>1458</v>
      </c>
      <c r="G308" s="7" t="s">
        <v>62</v>
      </c>
      <c r="H308" t="s">
        <v>1291</v>
      </c>
      <c r="I308" t="s">
        <v>1799</v>
      </c>
      <c r="J308" s="14">
        <v>45449</v>
      </c>
      <c r="K308" s="15">
        <v>44694</v>
      </c>
      <c r="L308">
        <v>2022</v>
      </c>
      <c r="M308" t="s">
        <v>2118</v>
      </c>
      <c r="N308">
        <v>540.45000000000005</v>
      </c>
      <c r="O308" t="s">
        <v>1826</v>
      </c>
      <c r="P308" s="42">
        <v>170930</v>
      </c>
      <c r="Q308" t="s">
        <v>127</v>
      </c>
      <c r="R308" t="s">
        <v>1822</v>
      </c>
    </row>
    <row r="309" spans="1:18" x14ac:dyDescent="0.3">
      <c r="A309" s="7">
        <v>5086</v>
      </c>
      <c r="B309" t="s">
        <v>1284</v>
      </c>
      <c r="C309" s="7" t="s">
        <v>68</v>
      </c>
      <c r="D309" s="7" t="s">
        <v>53</v>
      </c>
      <c r="E309" s="7" t="s">
        <v>76</v>
      </c>
      <c r="F309" s="7" t="s">
        <v>1454</v>
      </c>
      <c r="G309" s="7" t="s">
        <v>77</v>
      </c>
      <c r="H309" t="s">
        <v>749</v>
      </c>
      <c r="I309" t="s">
        <v>1617</v>
      </c>
      <c r="J309" s="14">
        <v>43261</v>
      </c>
      <c r="K309" s="15" t="s">
        <v>1820</v>
      </c>
      <c r="L309" t="s">
        <v>2170</v>
      </c>
      <c r="M309" t="s">
        <v>2119</v>
      </c>
      <c r="N309">
        <v>1324.83</v>
      </c>
      <c r="O309" t="s">
        <v>1825</v>
      </c>
      <c r="P309" s="42">
        <v>0</v>
      </c>
      <c r="Q309" t="s">
        <v>51</v>
      </c>
      <c r="R309">
        <v>25</v>
      </c>
    </row>
    <row r="310" spans="1:18" x14ac:dyDescent="0.3">
      <c r="A310" s="7">
        <v>5266</v>
      </c>
      <c r="B310" t="s">
        <v>1589</v>
      </c>
      <c r="C310" s="7" t="s">
        <v>61</v>
      </c>
      <c r="D310" s="7" t="s">
        <v>122</v>
      </c>
      <c r="E310" s="7" t="s">
        <v>140</v>
      </c>
      <c r="F310" s="7" t="s">
        <v>1456</v>
      </c>
      <c r="G310" s="7" t="s">
        <v>62</v>
      </c>
      <c r="H310" t="s">
        <v>97</v>
      </c>
      <c r="I310" t="s">
        <v>1800</v>
      </c>
      <c r="J310" s="14">
        <v>43934</v>
      </c>
      <c r="K310" s="15" t="s">
        <v>1820</v>
      </c>
      <c r="L310" t="s">
        <v>2170</v>
      </c>
      <c r="M310" t="s">
        <v>2120</v>
      </c>
      <c r="N310">
        <v>2406.58</v>
      </c>
      <c r="O310" t="s">
        <v>1825</v>
      </c>
      <c r="P310" s="42">
        <v>161748</v>
      </c>
      <c r="Q310" t="s">
        <v>1821</v>
      </c>
      <c r="R310">
        <v>25</v>
      </c>
    </row>
    <row r="311" spans="1:18" x14ac:dyDescent="0.3">
      <c r="A311" s="7">
        <v>5183</v>
      </c>
      <c r="B311" t="s">
        <v>1290</v>
      </c>
      <c r="C311" s="7" t="s">
        <v>68</v>
      </c>
      <c r="D311" s="7" t="s">
        <v>53</v>
      </c>
      <c r="E311" s="7" t="s">
        <v>54</v>
      </c>
      <c r="F311" s="7" t="s">
        <v>1458</v>
      </c>
      <c r="G311" s="7" t="s">
        <v>70</v>
      </c>
      <c r="H311" t="s">
        <v>1261</v>
      </c>
      <c r="I311" t="s">
        <v>1801</v>
      </c>
      <c r="J311" s="14">
        <v>43706</v>
      </c>
      <c r="K311" s="15" t="s">
        <v>126</v>
      </c>
      <c r="L311" t="s">
        <v>2170</v>
      </c>
      <c r="M311" t="s">
        <v>2121</v>
      </c>
      <c r="N311">
        <v>783.94</v>
      </c>
      <c r="O311" t="s">
        <v>1825</v>
      </c>
      <c r="P311" s="42">
        <v>170002</v>
      </c>
      <c r="Q311" t="s">
        <v>95</v>
      </c>
      <c r="R311">
        <v>0</v>
      </c>
    </row>
    <row r="312" spans="1:18" x14ac:dyDescent="0.3">
      <c r="A312" s="7">
        <v>5341</v>
      </c>
      <c r="B312" t="s">
        <v>1537</v>
      </c>
      <c r="C312" s="7" t="s">
        <v>68</v>
      </c>
      <c r="D312" s="7" t="s">
        <v>151</v>
      </c>
      <c r="E312" s="7" t="s">
        <v>140</v>
      </c>
      <c r="F312" s="7" t="s">
        <v>1456</v>
      </c>
      <c r="G312" s="7" t="s">
        <v>85</v>
      </c>
      <c r="H312" t="s">
        <v>1285</v>
      </c>
      <c r="I312" t="s">
        <v>1802</v>
      </c>
      <c r="J312" s="14">
        <v>43927</v>
      </c>
      <c r="K312" s="15" t="s">
        <v>1820</v>
      </c>
      <c r="L312" t="s">
        <v>2170</v>
      </c>
      <c r="M312" t="s">
        <v>2122</v>
      </c>
      <c r="N312">
        <v>2876.15</v>
      </c>
      <c r="O312" t="s">
        <v>1825</v>
      </c>
      <c r="P312" s="42">
        <v>100424</v>
      </c>
      <c r="Q312" t="s">
        <v>51</v>
      </c>
      <c r="R312">
        <v>20</v>
      </c>
    </row>
    <row r="313" spans="1:18" x14ac:dyDescent="0.3">
      <c r="A313" s="7">
        <v>5037</v>
      </c>
      <c r="B313" t="s">
        <v>96</v>
      </c>
      <c r="C313" s="7" t="s">
        <v>61</v>
      </c>
      <c r="D313" s="7" t="s">
        <v>151</v>
      </c>
      <c r="E313" s="7" t="s">
        <v>140</v>
      </c>
      <c r="F313" s="7" t="s">
        <v>1456</v>
      </c>
      <c r="G313" s="7" t="s">
        <v>77</v>
      </c>
      <c r="H313" t="s">
        <v>598</v>
      </c>
      <c r="I313" t="s">
        <v>1307</v>
      </c>
      <c r="J313" s="14">
        <v>43836</v>
      </c>
      <c r="K313" s="15">
        <v>45838</v>
      </c>
      <c r="L313">
        <v>2025</v>
      </c>
      <c r="M313" t="s">
        <v>2123</v>
      </c>
      <c r="N313">
        <v>844.82</v>
      </c>
      <c r="O313" t="s">
        <v>1826</v>
      </c>
      <c r="P313" s="42">
        <v>0</v>
      </c>
      <c r="Q313" t="s">
        <v>144</v>
      </c>
      <c r="R313">
        <v>20</v>
      </c>
    </row>
    <row r="314" spans="1:18" x14ac:dyDescent="0.3">
      <c r="A314" s="7">
        <v>5254</v>
      </c>
      <c r="B314" t="s">
        <v>1302</v>
      </c>
      <c r="C314" s="7" t="s">
        <v>68</v>
      </c>
      <c r="D314" s="7" t="s">
        <v>133</v>
      </c>
      <c r="E314" s="7" t="s">
        <v>140</v>
      </c>
      <c r="F314" s="7" t="s">
        <v>1456</v>
      </c>
      <c r="G314" s="7" t="s">
        <v>47</v>
      </c>
      <c r="H314" t="s">
        <v>129</v>
      </c>
      <c r="I314" t="s">
        <v>1803</v>
      </c>
      <c r="J314" s="14">
        <v>44669</v>
      </c>
      <c r="K314" s="15" t="s">
        <v>126</v>
      </c>
      <c r="L314" t="s">
        <v>2170</v>
      </c>
      <c r="M314" t="s">
        <v>2124</v>
      </c>
      <c r="N314">
        <v>1376.71</v>
      </c>
      <c r="O314" t="s">
        <v>1825</v>
      </c>
      <c r="P314" s="42">
        <v>73471</v>
      </c>
      <c r="Q314" t="s">
        <v>95</v>
      </c>
      <c r="R314">
        <v>0</v>
      </c>
    </row>
    <row r="315" spans="1:18" x14ac:dyDescent="0.3">
      <c r="A315" s="7">
        <v>5285</v>
      </c>
      <c r="B315" t="s">
        <v>1284</v>
      </c>
      <c r="C315" s="7" t="s">
        <v>68</v>
      </c>
      <c r="D315" s="7" t="s">
        <v>133</v>
      </c>
      <c r="E315" s="7" t="s">
        <v>54</v>
      </c>
      <c r="F315" s="7" t="s">
        <v>1458</v>
      </c>
      <c r="G315" s="7" t="s">
        <v>77</v>
      </c>
      <c r="H315" t="s">
        <v>509</v>
      </c>
      <c r="I315" t="s">
        <v>1314</v>
      </c>
      <c r="J315" s="14">
        <v>44155</v>
      </c>
      <c r="K315" s="15">
        <v>45838</v>
      </c>
      <c r="L315">
        <v>2025</v>
      </c>
      <c r="M315" t="s">
        <v>2125</v>
      </c>
      <c r="N315">
        <v>1773.4</v>
      </c>
      <c r="O315" t="s">
        <v>1826</v>
      </c>
      <c r="P315" s="42">
        <v>102924</v>
      </c>
      <c r="Q315" t="s">
        <v>95</v>
      </c>
      <c r="R315">
        <v>14</v>
      </c>
    </row>
    <row r="316" spans="1:18" x14ac:dyDescent="0.3">
      <c r="A316" s="7">
        <v>5208</v>
      </c>
      <c r="B316" t="s">
        <v>1524</v>
      </c>
      <c r="C316" s="7" t="s">
        <v>68</v>
      </c>
      <c r="D316" s="7" t="s">
        <v>122</v>
      </c>
      <c r="E316" s="7" t="s">
        <v>54</v>
      </c>
      <c r="F316" s="7" t="s">
        <v>1458</v>
      </c>
      <c r="G316" s="7" t="s">
        <v>175</v>
      </c>
      <c r="H316" t="s">
        <v>1053</v>
      </c>
      <c r="I316" t="s">
        <v>1804</v>
      </c>
      <c r="J316" s="14">
        <v>44897</v>
      </c>
      <c r="K316" s="15" t="s">
        <v>1820</v>
      </c>
      <c r="L316" t="s">
        <v>2170</v>
      </c>
      <c r="M316" t="s">
        <v>2126</v>
      </c>
      <c r="N316">
        <v>1597.76</v>
      </c>
      <c r="O316" t="s">
        <v>1825</v>
      </c>
      <c r="P316" s="42">
        <v>66043</v>
      </c>
      <c r="Q316" t="s">
        <v>144</v>
      </c>
      <c r="R316">
        <v>7</v>
      </c>
    </row>
    <row r="317" spans="1:18" x14ac:dyDescent="0.3">
      <c r="A317" s="7">
        <v>5307</v>
      </c>
      <c r="B317" t="s">
        <v>1309</v>
      </c>
      <c r="C317" s="7" t="s">
        <v>84</v>
      </c>
      <c r="D317" s="7" t="s">
        <v>133</v>
      </c>
      <c r="E317" s="7" t="s">
        <v>91</v>
      </c>
      <c r="F317" s="7" t="s">
        <v>1455</v>
      </c>
      <c r="G317" s="7" t="s">
        <v>77</v>
      </c>
      <c r="H317" t="s">
        <v>1323</v>
      </c>
      <c r="I317" t="s">
        <v>1324</v>
      </c>
      <c r="J317" s="14">
        <v>43815</v>
      </c>
      <c r="K317" s="15">
        <v>45805</v>
      </c>
      <c r="L317">
        <v>2025</v>
      </c>
      <c r="M317" t="s">
        <v>1905</v>
      </c>
      <c r="N317">
        <v>614.77</v>
      </c>
      <c r="O317" t="s">
        <v>1826</v>
      </c>
      <c r="P317" s="42">
        <v>151539</v>
      </c>
      <c r="Q317" t="s">
        <v>89</v>
      </c>
      <c r="R317" t="s">
        <v>1822</v>
      </c>
    </row>
    <row r="318" spans="1:18" x14ac:dyDescent="0.3">
      <c r="A318" s="7">
        <v>5233</v>
      </c>
      <c r="B318" t="s">
        <v>1313</v>
      </c>
      <c r="C318" s="7" t="s">
        <v>68</v>
      </c>
      <c r="D318" s="7" t="s">
        <v>53</v>
      </c>
      <c r="E318" s="7" t="s">
        <v>54</v>
      </c>
      <c r="F318" s="7" t="s">
        <v>1458</v>
      </c>
      <c r="G318" s="7" t="s">
        <v>110</v>
      </c>
      <c r="H318" t="s">
        <v>1326</v>
      </c>
      <c r="I318" t="s">
        <v>1805</v>
      </c>
      <c r="J318" s="14">
        <v>45437</v>
      </c>
      <c r="K318" s="15" t="s">
        <v>114</v>
      </c>
      <c r="L318" t="s">
        <v>2170</v>
      </c>
      <c r="M318" t="s">
        <v>1870</v>
      </c>
      <c r="N318">
        <v>2752.39</v>
      </c>
      <c r="O318" t="s">
        <v>1825</v>
      </c>
      <c r="P318" s="42">
        <v>114726</v>
      </c>
      <c r="Q318" t="s">
        <v>51</v>
      </c>
      <c r="R318">
        <v>12</v>
      </c>
    </row>
    <row r="319" spans="1:18" x14ac:dyDescent="0.3">
      <c r="A319" s="7">
        <v>5060</v>
      </c>
      <c r="B319" t="s">
        <v>1573</v>
      </c>
      <c r="C319" s="7" t="s">
        <v>84</v>
      </c>
      <c r="D319" s="7" t="s">
        <v>133</v>
      </c>
      <c r="E319" s="7" t="s">
        <v>76</v>
      </c>
      <c r="F319" s="7" t="s">
        <v>1454</v>
      </c>
      <c r="G319" s="7" t="s">
        <v>77</v>
      </c>
      <c r="H319" t="s">
        <v>1601</v>
      </c>
      <c r="I319" t="s">
        <v>1617</v>
      </c>
      <c r="J319" s="14">
        <v>43346</v>
      </c>
      <c r="K319" s="15" t="s">
        <v>126</v>
      </c>
      <c r="L319" t="s">
        <v>2170</v>
      </c>
      <c r="M319" t="s">
        <v>2127</v>
      </c>
      <c r="N319">
        <v>2174.09</v>
      </c>
      <c r="O319" t="s">
        <v>1825</v>
      </c>
      <c r="P319" s="42">
        <v>133452</v>
      </c>
      <c r="Q319" t="s">
        <v>89</v>
      </c>
      <c r="R319">
        <v>24</v>
      </c>
    </row>
    <row r="320" spans="1:18" x14ac:dyDescent="0.3">
      <c r="A320" s="7">
        <v>5326</v>
      </c>
      <c r="B320" t="s">
        <v>1220</v>
      </c>
      <c r="C320" s="7" t="s">
        <v>68</v>
      </c>
      <c r="D320" s="7" t="s">
        <v>389</v>
      </c>
      <c r="E320" s="7" t="s">
        <v>76</v>
      </c>
      <c r="F320" s="7" t="s">
        <v>1454</v>
      </c>
      <c r="G320" s="7" t="s">
        <v>62</v>
      </c>
      <c r="H320" t="s">
        <v>1331</v>
      </c>
      <c r="I320" t="s">
        <v>1332</v>
      </c>
      <c r="J320" s="14">
        <v>44992</v>
      </c>
      <c r="K320" s="15" t="s">
        <v>114</v>
      </c>
      <c r="L320" t="s">
        <v>2170</v>
      </c>
      <c r="M320" t="s">
        <v>2128</v>
      </c>
      <c r="N320">
        <v>1791.4</v>
      </c>
      <c r="O320" t="s">
        <v>1825</v>
      </c>
      <c r="P320" s="42">
        <v>0</v>
      </c>
      <c r="Q320" t="s">
        <v>144</v>
      </c>
      <c r="R320">
        <v>24</v>
      </c>
    </row>
    <row r="321" spans="1:18" x14ac:dyDescent="0.3">
      <c r="A321" s="7">
        <v>5344</v>
      </c>
      <c r="B321" t="s">
        <v>1590</v>
      </c>
      <c r="C321" s="7" t="s">
        <v>84</v>
      </c>
      <c r="D321" s="7" t="s">
        <v>151</v>
      </c>
      <c r="E321" s="7" t="s">
        <v>69</v>
      </c>
      <c r="F321" s="7" t="s">
        <v>1457</v>
      </c>
      <c r="G321" s="7" t="s">
        <v>110</v>
      </c>
      <c r="H321" t="s">
        <v>1335</v>
      </c>
      <c r="I321" t="s">
        <v>1806</v>
      </c>
      <c r="J321" s="14">
        <v>44845</v>
      </c>
      <c r="K321" s="15" t="s">
        <v>126</v>
      </c>
      <c r="L321" t="s">
        <v>2170</v>
      </c>
      <c r="M321" t="s">
        <v>2129</v>
      </c>
      <c r="N321">
        <v>1330.83</v>
      </c>
      <c r="O321" t="s">
        <v>1825</v>
      </c>
      <c r="P321" s="42">
        <v>0</v>
      </c>
      <c r="Q321" t="s">
        <v>89</v>
      </c>
      <c r="R321">
        <v>24</v>
      </c>
    </row>
    <row r="322" spans="1:18" x14ac:dyDescent="0.3">
      <c r="A322" s="7">
        <v>5116</v>
      </c>
      <c r="B322" t="s">
        <v>1560</v>
      </c>
      <c r="C322" s="7" t="s">
        <v>61</v>
      </c>
      <c r="D322" s="7" t="s">
        <v>133</v>
      </c>
      <c r="E322" s="7" t="s">
        <v>69</v>
      </c>
      <c r="F322" s="7" t="s">
        <v>1457</v>
      </c>
      <c r="G322" s="7" t="s">
        <v>77</v>
      </c>
      <c r="H322" t="s">
        <v>1339</v>
      </c>
      <c r="I322" t="s">
        <v>1340</v>
      </c>
      <c r="J322" s="14">
        <v>44065</v>
      </c>
      <c r="K322" s="15">
        <v>45652</v>
      </c>
      <c r="L322">
        <v>2024</v>
      </c>
      <c r="M322" t="s">
        <v>2130</v>
      </c>
      <c r="N322">
        <v>725.09</v>
      </c>
      <c r="O322" t="s">
        <v>1826</v>
      </c>
      <c r="P322" s="42">
        <v>43808</v>
      </c>
      <c r="Q322" t="s">
        <v>95</v>
      </c>
      <c r="R322">
        <v>0</v>
      </c>
    </row>
    <row r="323" spans="1:18" x14ac:dyDescent="0.3">
      <c r="A323" s="7">
        <v>5215</v>
      </c>
      <c r="B323" t="s">
        <v>1330</v>
      </c>
      <c r="C323" s="7" t="s">
        <v>61</v>
      </c>
      <c r="D323" s="7" t="s">
        <v>151</v>
      </c>
      <c r="E323" s="7" t="s">
        <v>91</v>
      </c>
      <c r="F323" s="7" t="s">
        <v>1455</v>
      </c>
      <c r="G323" s="7" t="s">
        <v>175</v>
      </c>
      <c r="H323" t="s">
        <v>205</v>
      </c>
      <c r="I323" t="s">
        <v>1807</v>
      </c>
      <c r="J323" s="14">
        <v>44623</v>
      </c>
      <c r="K323" s="15">
        <v>45838</v>
      </c>
      <c r="L323">
        <v>2025</v>
      </c>
      <c r="M323" t="s">
        <v>2131</v>
      </c>
      <c r="N323">
        <v>1544.88</v>
      </c>
      <c r="O323" t="s">
        <v>1826</v>
      </c>
      <c r="P323" s="42">
        <v>92783</v>
      </c>
      <c r="Q323" t="s">
        <v>95</v>
      </c>
      <c r="R323">
        <v>10</v>
      </c>
    </row>
    <row r="324" spans="1:18" x14ac:dyDescent="0.3">
      <c r="A324" s="7">
        <v>5061</v>
      </c>
      <c r="B324" t="s">
        <v>1334</v>
      </c>
      <c r="C324" s="7" t="s">
        <v>68</v>
      </c>
      <c r="D324" s="7" t="s">
        <v>53</v>
      </c>
      <c r="E324" s="7" t="s">
        <v>69</v>
      </c>
      <c r="F324" s="7" t="s">
        <v>1457</v>
      </c>
      <c r="G324" s="7" t="s">
        <v>55</v>
      </c>
      <c r="H324" t="s">
        <v>1021</v>
      </c>
      <c r="I324" t="s">
        <v>1808</v>
      </c>
      <c r="J324" s="14">
        <v>45191</v>
      </c>
      <c r="K324" s="15" t="s">
        <v>1820</v>
      </c>
      <c r="L324" t="s">
        <v>2170</v>
      </c>
      <c r="M324" t="s">
        <v>2132</v>
      </c>
      <c r="N324">
        <v>1142.19</v>
      </c>
      <c r="O324" t="s">
        <v>1825</v>
      </c>
      <c r="P324" s="42">
        <v>0</v>
      </c>
      <c r="Q324" t="s">
        <v>127</v>
      </c>
      <c r="R324">
        <v>13</v>
      </c>
    </row>
    <row r="325" spans="1:18" x14ac:dyDescent="0.3">
      <c r="A325" s="7">
        <v>5256</v>
      </c>
      <c r="B325" t="s">
        <v>1591</v>
      </c>
      <c r="C325" s="7" t="s">
        <v>61</v>
      </c>
      <c r="D325" s="7" t="s">
        <v>151</v>
      </c>
      <c r="E325" s="7" t="s">
        <v>54</v>
      </c>
      <c r="F325" s="7" t="s">
        <v>1458</v>
      </c>
      <c r="G325" s="7" t="s">
        <v>85</v>
      </c>
      <c r="H325" t="s">
        <v>1351</v>
      </c>
      <c r="I325" t="s">
        <v>1617</v>
      </c>
      <c r="J325" s="14">
        <v>43470</v>
      </c>
      <c r="K325" s="15" t="s">
        <v>126</v>
      </c>
      <c r="L325" t="s">
        <v>2170</v>
      </c>
      <c r="M325" t="s">
        <v>2133</v>
      </c>
      <c r="N325">
        <v>2418.58</v>
      </c>
      <c r="O325" t="s">
        <v>1825</v>
      </c>
      <c r="P325" s="42">
        <v>138986</v>
      </c>
      <c r="Q325" t="s">
        <v>144</v>
      </c>
      <c r="R325">
        <v>7</v>
      </c>
    </row>
    <row r="326" spans="1:18" x14ac:dyDescent="0.3">
      <c r="A326" s="7">
        <v>5195</v>
      </c>
      <c r="B326" t="s">
        <v>1532</v>
      </c>
      <c r="C326" s="7" t="s">
        <v>61</v>
      </c>
      <c r="D326" s="7" t="s">
        <v>219</v>
      </c>
      <c r="E326" s="7" t="s">
        <v>69</v>
      </c>
      <c r="F326" s="7" t="s">
        <v>1457</v>
      </c>
      <c r="G326" s="7" t="s">
        <v>70</v>
      </c>
      <c r="H326" t="s">
        <v>1354</v>
      </c>
      <c r="I326" t="s">
        <v>1355</v>
      </c>
      <c r="J326" s="14">
        <v>44048</v>
      </c>
      <c r="K326" s="15" t="s">
        <v>1820</v>
      </c>
      <c r="L326" t="s">
        <v>2170</v>
      </c>
      <c r="M326" t="s">
        <v>2134</v>
      </c>
      <c r="N326">
        <v>2695.51</v>
      </c>
      <c r="O326" t="s">
        <v>1825</v>
      </c>
      <c r="P326" s="42">
        <v>158703</v>
      </c>
      <c r="Q326" t="s">
        <v>1821</v>
      </c>
      <c r="R326" t="s">
        <v>1822</v>
      </c>
    </row>
    <row r="327" spans="1:18" x14ac:dyDescent="0.3">
      <c r="A327" s="7">
        <v>5252</v>
      </c>
      <c r="B327" t="s">
        <v>204</v>
      </c>
      <c r="C327" s="7" t="s">
        <v>68</v>
      </c>
      <c r="D327" s="7" t="s">
        <v>219</v>
      </c>
      <c r="E327" s="7" t="s">
        <v>140</v>
      </c>
      <c r="F327" s="7" t="s">
        <v>1456</v>
      </c>
      <c r="G327" s="7" t="s">
        <v>110</v>
      </c>
      <c r="H327" t="s">
        <v>1359</v>
      </c>
      <c r="I327" t="s">
        <v>1617</v>
      </c>
      <c r="J327" s="14">
        <v>44430</v>
      </c>
      <c r="K327" s="15">
        <v>44069</v>
      </c>
      <c r="L327">
        <v>2020</v>
      </c>
      <c r="M327" t="s">
        <v>2135</v>
      </c>
      <c r="N327">
        <v>604.33000000000004</v>
      </c>
      <c r="O327" t="s">
        <v>1826</v>
      </c>
      <c r="P327" s="42">
        <v>110892</v>
      </c>
      <c r="Q327" t="s">
        <v>144</v>
      </c>
      <c r="R327" t="s">
        <v>1822</v>
      </c>
    </row>
    <row r="328" spans="1:18" x14ac:dyDescent="0.3">
      <c r="A328" s="7">
        <v>5165</v>
      </c>
      <c r="B328" t="s">
        <v>1020</v>
      </c>
      <c r="C328" s="7" t="s">
        <v>84</v>
      </c>
      <c r="D328" s="7" t="s">
        <v>53</v>
      </c>
      <c r="E328" s="7" t="s">
        <v>76</v>
      </c>
      <c r="F328" s="7" t="s">
        <v>1454</v>
      </c>
      <c r="G328" s="7" t="s">
        <v>110</v>
      </c>
      <c r="H328" t="s">
        <v>1362</v>
      </c>
      <c r="I328" t="s">
        <v>1363</v>
      </c>
      <c r="J328" s="14">
        <v>44891</v>
      </c>
      <c r="K328" s="15" t="s">
        <v>114</v>
      </c>
      <c r="L328" t="s">
        <v>2170</v>
      </c>
      <c r="M328" t="s">
        <v>2136</v>
      </c>
      <c r="N328">
        <v>1957.01</v>
      </c>
      <c r="O328" t="s">
        <v>1825</v>
      </c>
      <c r="P328" s="42">
        <v>39617</v>
      </c>
      <c r="Q328" t="s">
        <v>51</v>
      </c>
      <c r="R328">
        <v>0</v>
      </c>
    </row>
    <row r="329" spans="1:18" x14ac:dyDescent="0.3">
      <c r="A329" s="7">
        <v>5118</v>
      </c>
      <c r="B329" t="s">
        <v>1350</v>
      </c>
      <c r="C329" s="7" t="s">
        <v>84</v>
      </c>
      <c r="D329" s="7" t="s">
        <v>389</v>
      </c>
      <c r="E329" s="7" t="s">
        <v>69</v>
      </c>
      <c r="F329" s="7" t="s">
        <v>1457</v>
      </c>
      <c r="G329" s="7" t="s">
        <v>110</v>
      </c>
      <c r="H329" t="s">
        <v>1615</v>
      </c>
      <c r="I329" t="s">
        <v>1809</v>
      </c>
      <c r="J329" s="14">
        <v>44926</v>
      </c>
      <c r="K329" s="15" t="s">
        <v>114</v>
      </c>
      <c r="L329" t="s">
        <v>2170</v>
      </c>
      <c r="M329" t="s">
        <v>2137</v>
      </c>
      <c r="N329">
        <v>1897.13</v>
      </c>
      <c r="O329" t="s">
        <v>1825</v>
      </c>
      <c r="P329" s="42">
        <v>157613</v>
      </c>
      <c r="Q329" t="s">
        <v>144</v>
      </c>
      <c r="R329">
        <v>9</v>
      </c>
    </row>
    <row r="330" spans="1:18" x14ac:dyDescent="0.3">
      <c r="A330" s="7">
        <v>5093</v>
      </c>
      <c r="B330" t="s">
        <v>223</v>
      </c>
      <c r="C330" s="7" t="s">
        <v>61</v>
      </c>
      <c r="D330" s="7" t="s">
        <v>389</v>
      </c>
      <c r="E330" s="7" t="s">
        <v>76</v>
      </c>
      <c r="F330" s="7" t="s">
        <v>1454</v>
      </c>
      <c r="G330" s="7" t="s">
        <v>62</v>
      </c>
      <c r="H330" t="s">
        <v>1359</v>
      </c>
      <c r="I330" t="s">
        <v>1617</v>
      </c>
      <c r="J330" s="14">
        <v>44293</v>
      </c>
      <c r="K330" s="15" t="s">
        <v>1820</v>
      </c>
      <c r="L330" t="s">
        <v>2170</v>
      </c>
      <c r="M330" t="s">
        <v>2138</v>
      </c>
      <c r="N330">
        <v>1882.69</v>
      </c>
      <c r="O330" t="s">
        <v>1825</v>
      </c>
      <c r="P330" s="42">
        <v>49265</v>
      </c>
      <c r="Q330" t="s">
        <v>51</v>
      </c>
      <c r="R330">
        <v>6</v>
      </c>
    </row>
    <row r="331" spans="1:18" x14ac:dyDescent="0.3">
      <c r="A331" s="7">
        <v>5175</v>
      </c>
      <c r="B331" t="s">
        <v>866</v>
      </c>
      <c r="C331" s="7" t="s">
        <v>61</v>
      </c>
      <c r="D331" s="7" t="s">
        <v>219</v>
      </c>
      <c r="E331" s="7" t="s">
        <v>54</v>
      </c>
      <c r="F331" s="7" t="s">
        <v>1458</v>
      </c>
      <c r="G331" s="7" t="s">
        <v>77</v>
      </c>
      <c r="H331" t="s">
        <v>48</v>
      </c>
      <c r="I331" t="s">
        <v>1810</v>
      </c>
      <c r="J331" s="14">
        <v>45079</v>
      </c>
      <c r="K331" s="15" t="s">
        <v>114</v>
      </c>
      <c r="L331" t="s">
        <v>2170</v>
      </c>
      <c r="M331" t="s">
        <v>2139</v>
      </c>
      <c r="N331">
        <v>2913.59</v>
      </c>
      <c r="O331" t="s">
        <v>1825</v>
      </c>
      <c r="P331" s="42">
        <v>127991</v>
      </c>
      <c r="Q331" t="s">
        <v>127</v>
      </c>
      <c r="R331">
        <v>13</v>
      </c>
    </row>
    <row r="332" spans="1:18" x14ac:dyDescent="0.3">
      <c r="A332" s="7">
        <v>5099</v>
      </c>
      <c r="B332" t="s">
        <v>1592</v>
      </c>
      <c r="C332" s="7" t="s">
        <v>68</v>
      </c>
      <c r="D332" s="7" t="s">
        <v>389</v>
      </c>
      <c r="E332" s="7" t="s">
        <v>76</v>
      </c>
      <c r="F332" s="7" t="s">
        <v>1454</v>
      </c>
      <c r="G332" s="7" t="s">
        <v>85</v>
      </c>
      <c r="H332" t="s">
        <v>1377</v>
      </c>
      <c r="I332" t="s">
        <v>1811</v>
      </c>
      <c r="J332" s="14">
        <v>43803</v>
      </c>
      <c r="K332" s="15" t="s">
        <v>1820</v>
      </c>
      <c r="L332" t="s">
        <v>2170</v>
      </c>
      <c r="M332" t="s">
        <v>2140</v>
      </c>
      <c r="N332">
        <v>2731.95</v>
      </c>
      <c r="O332" t="s">
        <v>1825</v>
      </c>
      <c r="P332" s="42">
        <v>101379</v>
      </c>
      <c r="Q332" t="s">
        <v>1821</v>
      </c>
      <c r="R332">
        <v>14</v>
      </c>
    </row>
    <row r="333" spans="1:18" x14ac:dyDescent="0.3">
      <c r="A333" s="7">
        <v>5172</v>
      </c>
      <c r="B333" t="s">
        <v>1240</v>
      </c>
      <c r="C333" s="7" t="s">
        <v>61</v>
      </c>
      <c r="D333" s="7" t="s">
        <v>133</v>
      </c>
      <c r="E333" s="7" t="s">
        <v>46</v>
      </c>
      <c r="F333" s="7" t="s">
        <v>1459</v>
      </c>
      <c r="G333" s="7" t="s">
        <v>62</v>
      </c>
      <c r="H333" t="s">
        <v>1381</v>
      </c>
      <c r="I333" t="s">
        <v>1812</v>
      </c>
      <c r="J333" s="14">
        <v>43525</v>
      </c>
      <c r="K333" s="15" t="s">
        <v>1820</v>
      </c>
      <c r="L333" t="s">
        <v>2170</v>
      </c>
      <c r="M333" t="s">
        <v>2141</v>
      </c>
      <c r="N333">
        <v>2616.19</v>
      </c>
      <c r="O333" t="s">
        <v>1825</v>
      </c>
      <c r="P333" s="42">
        <v>84967</v>
      </c>
      <c r="Q333" t="s">
        <v>144</v>
      </c>
      <c r="R333">
        <v>16</v>
      </c>
    </row>
    <row r="334" spans="1:18" x14ac:dyDescent="0.3">
      <c r="A334" s="7">
        <v>5251</v>
      </c>
      <c r="B334" t="s">
        <v>1365</v>
      </c>
      <c r="C334" s="7" t="s">
        <v>68</v>
      </c>
      <c r="D334" s="7" t="s">
        <v>122</v>
      </c>
      <c r="E334" s="7" t="s">
        <v>46</v>
      </c>
      <c r="F334" s="7" t="s">
        <v>1459</v>
      </c>
      <c r="G334" s="7" t="s">
        <v>70</v>
      </c>
      <c r="H334" t="s">
        <v>1385</v>
      </c>
      <c r="I334" t="s">
        <v>1813</v>
      </c>
      <c r="J334" s="14">
        <v>43465</v>
      </c>
      <c r="K334" s="15" t="s">
        <v>1820</v>
      </c>
      <c r="L334" t="s">
        <v>2170</v>
      </c>
      <c r="M334" t="s">
        <v>2142</v>
      </c>
      <c r="N334">
        <v>3018.32</v>
      </c>
      <c r="O334" t="s">
        <v>1825</v>
      </c>
      <c r="P334" s="42">
        <v>0</v>
      </c>
      <c r="Q334" t="s">
        <v>127</v>
      </c>
      <c r="R334">
        <v>17</v>
      </c>
    </row>
    <row r="335" spans="1:18" x14ac:dyDescent="0.3">
      <c r="A335" s="7">
        <v>5268</v>
      </c>
      <c r="B335" t="s">
        <v>1592</v>
      </c>
      <c r="C335" s="7" t="s">
        <v>84</v>
      </c>
      <c r="D335" s="7" t="s">
        <v>219</v>
      </c>
      <c r="E335" s="7" t="s">
        <v>54</v>
      </c>
      <c r="F335" s="7" t="s">
        <v>1458</v>
      </c>
      <c r="G335" s="7" t="s">
        <v>62</v>
      </c>
      <c r="H335" t="s">
        <v>1390</v>
      </c>
      <c r="I335" t="s">
        <v>1814</v>
      </c>
      <c r="J335" s="14">
        <v>44264</v>
      </c>
      <c r="K335" s="15" t="s">
        <v>114</v>
      </c>
      <c r="L335" t="s">
        <v>2170</v>
      </c>
      <c r="M335" t="s">
        <v>2143</v>
      </c>
      <c r="N335">
        <v>1028.46</v>
      </c>
      <c r="O335" t="s">
        <v>1825</v>
      </c>
      <c r="P335" s="42">
        <v>131831</v>
      </c>
      <c r="Q335" t="s">
        <v>127</v>
      </c>
      <c r="R335">
        <v>11</v>
      </c>
    </row>
    <row r="336" spans="1:18" x14ac:dyDescent="0.3">
      <c r="A336" s="7">
        <v>5209</v>
      </c>
      <c r="B336" t="s">
        <v>1468</v>
      </c>
      <c r="C336" s="7" t="s">
        <v>68</v>
      </c>
      <c r="D336" s="7" t="s">
        <v>122</v>
      </c>
      <c r="E336" s="7" t="s">
        <v>140</v>
      </c>
      <c r="F336" s="7" t="s">
        <v>1456</v>
      </c>
      <c r="G336" s="7" t="s">
        <v>62</v>
      </c>
      <c r="H336" t="s">
        <v>1601</v>
      </c>
      <c r="I336" t="s">
        <v>1617</v>
      </c>
      <c r="J336" s="14">
        <v>44324</v>
      </c>
      <c r="K336" s="15" t="s">
        <v>1820</v>
      </c>
      <c r="L336" t="s">
        <v>2170</v>
      </c>
      <c r="M336" t="s">
        <v>2144</v>
      </c>
      <c r="N336">
        <v>1457.5900000000001</v>
      </c>
      <c r="O336" t="s">
        <v>1825</v>
      </c>
      <c r="P336" s="42">
        <v>174698</v>
      </c>
      <c r="Q336" t="s">
        <v>51</v>
      </c>
      <c r="R336">
        <v>0</v>
      </c>
    </row>
    <row r="337" spans="1:18" x14ac:dyDescent="0.3">
      <c r="A337" s="7">
        <v>5181</v>
      </c>
      <c r="B337" t="s">
        <v>1376</v>
      </c>
      <c r="C337" s="7" t="s">
        <v>68</v>
      </c>
      <c r="D337" s="7" t="s">
        <v>53</v>
      </c>
      <c r="E337" s="7" t="s">
        <v>140</v>
      </c>
      <c r="F337" s="7" t="s">
        <v>1456</v>
      </c>
      <c r="G337" s="7" t="s">
        <v>62</v>
      </c>
      <c r="H337" t="s">
        <v>1398</v>
      </c>
      <c r="I337" t="s">
        <v>1399</v>
      </c>
      <c r="J337" s="14">
        <v>44338</v>
      </c>
      <c r="K337" s="15" t="s">
        <v>1820</v>
      </c>
      <c r="L337" t="s">
        <v>2170</v>
      </c>
      <c r="M337" t="s">
        <v>2145</v>
      </c>
      <c r="N337">
        <v>2226.94</v>
      </c>
      <c r="O337" t="s">
        <v>1825</v>
      </c>
      <c r="P337" s="42">
        <v>86430</v>
      </c>
      <c r="Q337" t="s">
        <v>144</v>
      </c>
      <c r="R337" t="s">
        <v>1822</v>
      </c>
    </row>
    <row r="338" spans="1:18" x14ac:dyDescent="0.3">
      <c r="A338" s="7">
        <v>5006</v>
      </c>
      <c r="B338" t="s">
        <v>1593</v>
      </c>
      <c r="C338" s="7" t="s">
        <v>68</v>
      </c>
      <c r="D338" s="7" t="s">
        <v>122</v>
      </c>
      <c r="E338" s="7" t="s">
        <v>46</v>
      </c>
      <c r="F338" s="7" t="s">
        <v>1459</v>
      </c>
      <c r="G338" s="7" t="s">
        <v>110</v>
      </c>
      <c r="H338" t="s">
        <v>1403</v>
      </c>
      <c r="I338" t="s">
        <v>1815</v>
      </c>
      <c r="J338" s="14">
        <v>43307</v>
      </c>
      <c r="K338" s="15" t="s">
        <v>1820</v>
      </c>
      <c r="L338" t="s">
        <v>2170</v>
      </c>
      <c r="M338" t="s">
        <v>2146</v>
      </c>
      <c r="N338">
        <v>1044.9000000000001</v>
      </c>
      <c r="O338" t="s">
        <v>1825</v>
      </c>
      <c r="P338" s="42">
        <v>97952</v>
      </c>
      <c r="Q338" t="s">
        <v>95</v>
      </c>
      <c r="R338" t="s">
        <v>1822</v>
      </c>
    </row>
    <row r="339" spans="1:18" x14ac:dyDescent="0.3">
      <c r="A339" s="7">
        <v>5171</v>
      </c>
      <c r="B339" t="s">
        <v>1384</v>
      </c>
      <c r="C339" s="7" t="s">
        <v>68</v>
      </c>
      <c r="D339" s="7" t="s">
        <v>389</v>
      </c>
      <c r="E339" s="7" t="s">
        <v>140</v>
      </c>
      <c r="F339" s="7" t="s">
        <v>1456</v>
      </c>
      <c r="G339" s="7" t="s">
        <v>175</v>
      </c>
      <c r="H339" t="s">
        <v>1407</v>
      </c>
      <c r="I339" t="s">
        <v>1408</v>
      </c>
      <c r="J339" s="14">
        <v>43490</v>
      </c>
      <c r="K339" s="15">
        <v>45780</v>
      </c>
      <c r="L339">
        <v>2025</v>
      </c>
      <c r="M339" t="s">
        <v>2008</v>
      </c>
      <c r="N339">
        <v>690.65000000000009</v>
      </c>
      <c r="O339" t="s">
        <v>1826</v>
      </c>
      <c r="P339" s="42">
        <v>174560</v>
      </c>
      <c r="Q339" t="s">
        <v>127</v>
      </c>
      <c r="R339">
        <v>15</v>
      </c>
    </row>
    <row r="340" spans="1:18" x14ac:dyDescent="0.3">
      <c r="A340" s="7">
        <v>5216</v>
      </c>
      <c r="B340" t="s">
        <v>1594</v>
      </c>
      <c r="C340" s="7" t="s">
        <v>61</v>
      </c>
      <c r="D340" s="7" t="s">
        <v>53</v>
      </c>
      <c r="E340" s="7" t="s">
        <v>69</v>
      </c>
      <c r="F340" s="7" t="s">
        <v>1457</v>
      </c>
      <c r="G340" s="7" t="s">
        <v>55</v>
      </c>
      <c r="H340" t="s">
        <v>1410</v>
      </c>
      <c r="I340" t="s">
        <v>1617</v>
      </c>
      <c r="J340" s="14">
        <v>43604</v>
      </c>
      <c r="K340" s="15" t="s">
        <v>126</v>
      </c>
      <c r="L340" t="s">
        <v>2170</v>
      </c>
      <c r="M340" t="s">
        <v>2147</v>
      </c>
      <c r="N340">
        <v>2299.8200000000002</v>
      </c>
      <c r="O340" t="s">
        <v>1825</v>
      </c>
      <c r="P340" s="42">
        <v>0</v>
      </c>
      <c r="Q340" t="s">
        <v>144</v>
      </c>
      <c r="R340">
        <v>6</v>
      </c>
    </row>
    <row r="341" spans="1:18" x14ac:dyDescent="0.3">
      <c r="A341" s="7">
        <v>5250</v>
      </c>
      <c r="B341" t="s">
        <v>1394</v>
      </c>
      <c r="C341" s="7" t="s">
        <v>68</v>
      </c>
      <c r="D341" s="7" t="s">
        <v>122</v>
      </c>
      <c r="E341" s="7" t="s">
        <v>91</v>
      </c>
      <c r="F341" s="7" t="s">
        <v>1455</v>
      </c>
      <c r="G341" s="7" t="s">
        <v>77</v>
      </c>
      <c r="H341" t="s">
        <v>1601</v>
      </c>
      <c r="I341" t="s">
        <v>1816</v>
      </c>
      <c r="J341" s="14">
        <v>43203</v>
      </c>
      <c r="K341" s="15" t="s">
        <v>1820</v>
      </c>
      <c r="L341" t="s">
        <v>2170</v>
      </c>
      <c r="M341" t="s">
        <v>2096</v>
      </c>
      <c r="N341">
        <v>3076.2</v>
      </c>
      <c r="O341" t="s">
        <v>1825</v>
      </c>
      <c r="P341" s="42">
        <v>161932</v>
      </c>
      <c r="Q341" t="s">
        <v>95</v>
      </c>
      <c r="R341">
        <v>0</v>
      </c>
    </row>
    <row r="342" spans="1:18" x14ac:dyDescent="0.3">
      <c r="A342" s="7">
        <v>5054</v>
      </c>
      <c r="B342" t="s">
        <v>1595</v>
      </c>
      <c r="C342" s="7" t="s">
        <v>61</v>
      </c>
      <c r="D342" s="7" t="s">
        <v>53</v>
      </c>
      <c r="E342" s="7" t="s">
        <v>46</v>
      </c>
      <c r="F342" s="7" t="s">
        <v>1459</v>
      </c>
      <c r="G342" s="7" t="s">
        <v>175</v>
      </c>
      <c r="H342" t="s">
        <v>1601</v>
      </c>
      <c r="I342" t="s">
        <v>1817</v>
      </c>
      <c r="J342" s="14">
        <v>45193</v>
      </c>
      <c r="K342" s="15" t="s">
        <v>1820</v>
      </c>
      <c r="L342" t="s">
        <v>2170</v>
      </c>
      <c r="M342" t="s">
        <v>2148</v>
      </c>
      <c r="N342">
        <v>1762.96</v>
      </c>
      <c r="O342" t="s">
        <v>1825</v>
      </c>
      <c r="P342" s="42">
        <v>173438</v>
      </c>
      <c r="Q342" t="s">
        <v>95</v>
      </c>
      <c r="R342">
        <v>14</v>
      </c>
    </row>
    <row r="343" spans="1:18" x14ac:dyDescent="0.3">
      <c r="A343" s="7">
        <v>5299</v>
      </c>
      <c r="B343" t="s">
        <v>1596</v>
      </c>
      <c r="C343" s="7" t="s">
        <v>68</v>
      </c>
      <c r="D343" s="7" t="s">
        <v>389</v>
      </c>
      <c r="E343" s="7" t="s">
        <v>91</v>
      </c>
      <c r="F343" s="7" t="s">
        <v>1455</v>
      </c>
      <c r="G343" s="7" t="s">
        <v>85</v>
      </c>
      <c r="H343" t="s">
        <v>1419</v>
      </c>
      <c r="I343" t="s">
        <v>1818</v>
      </c>
      <c r="J343" s="14">
        <v>44763</v>
      </c>
      <c r="K343" s="15" t="s">
        <v>126</v>
      </c>
      <c r="L343" t="s">
        <v>2170</v>
      </c>
      <c r="M343" t="s">
        <v>2149</v>
      </c>
      <c r="N343">
        <v>2743.39</v>
      </c>
      <c r="O343" t="s">
        <v>1825</v>
      </c>
      <c r="P343" s="42">
        <v>150979</v>
      </c>
      <c r="Q343" t="s">
        <v>144</v>
      </c>
      <c r="R343">
        <v>18</v>
      </c>
    </row>
    <row r="344" spans="1:18" x14ac:dyDescent="0.3">
      <c r="A344" s="7">
        <v>5280</v>
      </c>
      <c r="B344" t="s">
        <v>1597</v>
      </c>
      <c r="C344" s="7" t="s">
        <v>68</v>
      </c>
      <c r="D344" s="7" t="s">
        <v>151</v>
      </c>
      <c r="E344" s="7" t="s">
        <v>54</v>
      </c>
      <c r="F344" s="7" t="s">
        <v>1458</v>
      </c>
      <c r="G344" s="7" t="s">
        <v>62</v>
      </c>
      <c r="H344" t="s">
        <v>1616</v>
      </c>
      <c r="I344" t="s">
        <v>1819</v>
      </c>
      <c r="J344" s="14">
        <v>43995</v>
      </c>
      <c r="K344" s="15" t="s">
        <v>1820</v>
      </c>
      <c r="L344" t="s">
        <v>2170</v>
      </c>
      <c r="M344" t="s">
        <v>2150</v>
      </c>
      <c r="N344">
        <v>2709.95</v>
      </c>
      <c r="O344" t="s">
        <v>1825</v>
      </c>
      <c r="P344" s="42">
        <v>109091</v>
      </c>
      <c r="Q344" t="s">
        <v>144</v>
      </c>
      <c r="R344" t="s">
        <v>1822</v>
      </c>
    </row>
    <row r="345" spans="1:18" x14ac:dyDescent="0.3">
      <c r="A345" s="7"/>
      <c r="C345" s="7"/>
      <c r="D345" s="7"/>
      <c r="E345" s="7"/>
      <c r="F345" s="7"/>
      <c r="G345" s="7"/>
      <c r="J345" s="14"/>
      <c r="L345"/>
    </row>
    <row r="346" spans="1:18" x14ac:dyDescent="0.3">
      <c r="A346" s="7"/>
      <c r="C346" s="7"/>
      <c r="D346" s="7"/>
      <c r="E346" s="7"/>
      <c r="F346" s="7"/>
      <c r="G346" s="7"/>
      <c r="J346" s="14"/>
      <c r="L346"/>
    </row>
    <row r="347" spans="1:18" x14ac:dyDescent="0.3">
      <c r="A347" s="7"/>
      <c r="C347" s="7"/>
      <c r="D347" s="7"/>
      <c r="E347" s="7"/>
      <c r="F347" s="7"/>
      <c r="G347" s="7"/>
      <c r="J347" s="14"/>
      <c r="L347"/>
    </row>
    <row r="348" spans="1:18" x14ac:dyDescent="0.3">
      <c r="A348" s="7"/>
      <c r="C348" s="7"/>
      <c r="D348" s="7"/>
      <c r="E348" s="7"/>
      <c r="F348" s="7"/>
      <c r="G348" s="7"/>
      <c r="J348" s="14"/>
      <c r="L348"/>
    </row>
    <row r="349" spans="1:18" x14ac:dyDescent="0.3">
      <c r="A349" s="7"/>
      <c r="C349" s="7"/>
      <c r="D349" s="7"/>
      <c r="E349" s="7"/>
      <c r="F349" s="7"/>
      <c r="G349" s="7"/>
      <c r="J349" s="14"/>
      <c r="L349"/>
    </row>
    <row r="350" spans="1:18" x14ac:dyDescent="0.3">
      <c r="A350" s="7"/>
      <c r="C350" s="7"/>
      <c r="D350" s="7"/>
      <c r="E350" s="7"/>
      <c r="F350" s="7"/>
      <c r="G350" s="7"/>
      <c r="J350" s="14"/>
      <c r="L350"/>
    </row>
    <row r="351" spans="1:18" x14ac:dyDescent="0.3">
      <c r="A351" s="7"/>
      <c r="C351" s="7"/>
      <c r="D351" s="7"/>
      <c r="E351" s="7"/>
      <c r="F351" s="7"/>
      <c r="G351" s="7"/>
      <c r="J351" s="14"/>
      <c r="L351"/>
    </row>
  </sheetData>
  <autoFilter ref="A1:R344" xr:uid="{E8D4678C-7C8B-457C-B865-17A01C7AB186}"/>
  <conditionalFormatting sqref="I1:I1048576">
    <cfRule type="cellIs" dxfId="81" priority="1" operator="equal">
      <formula>"Incomplete"</formula>
    </cfRule>
  </conditionalFormatting>
  <conditionalFormatting sqref="Q1:Q1048576">
    <cfRule type="cellIs" dxfId="80" priority="2" operator="equal">
      <formula>"Poor"</formula>
    </cfRule>
  </conditionalFormatting>
  <conditionalFormatting sqref="R1:R1048576">
    <cfRule type="cellIs" dxfId="79" priority="3" operator="equal">
      <formula>"Negate Leave"</formula>
    </cfRule>
  </conditionalFormatting>
  <dataValidations count="2">
    <dataValidation type="list" allowBlank="1" showInputMessage="1" showErrorMessage="1" sqref="X2" xr:uid="{56B37AD7-A00D-431A-98E5-DEC5AA9A56AB}">
      <formula1>$U$2:$U$7</formula1>
    </dataValidation>
    <dataValidation type="list" allowBlank="1" showInputMessage="1" showErrorMessage="1" sqref="Y2" xr:uid="{752E9EDA-4D83-442C-BBBD-F1F393A51F6B}">
      <formula1>$AC$16:$AC$17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0276CC-16B8-4D6F-A0E0-64F6B7D7B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HR Dashboard</vt:lpstr>
      <vt:lpstr>Raw_Employee_Data</vt:lpstr>
      <vt:lpstr>PivotTables</vt:lpstr>
      <vt:lpstr>Lookup_Tables</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vidhi thakar</cp:lastModifiedBy>
  <dcterms:created xsi:type="dcterms:W3CDTF">2026-07-10T10:14:45Z</dcterms:created>
  <dcterms:modified xsi:type="dcterms:W3CDTF">2026-07-21T06:25:12Z</dcterms:modified>
</cp:coreProperties>
</file>