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\Excel\"/>
    </mc:Choice>
  </mc:AlternateContent>
  <xr:revisionPtr revIDLastSave="0" documentId="13_ncr:1_{26E670E8-27C7-4FCD-9A12-BF4EA21880E6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README" sheetId="1" r:id="rId1"/>
    <sheet name="Table1" sheetId="9" r:id="rId2"/>
    <sheet name="Raw_Data" sheetId="2" r:id="rId3"/>
    <sheet name="Cleaning_Tasks" sheetId="3" r:id="rId4"/>
    <sheet name="Lookup_Tables" sheetId="4" r:id="rId5"/>
    <sheet name="Formulas_Practice" sheetId="5" r:id="rId6"/>
    <sheet name="Answer_Key" sheetId="6" r:id="rId7"/>
    <sheet name="PivotTable_Practice" sheetId="7" r:id="rId8"/>
    <sheet name="Dashboard_Practice" sheetId="8" r:id="rId9"/>
    <sheet name="Sheet1" sheetId="11" r:id="rId10"/>
  </sheets>
  <definedNames>
    <definedName name="ExternalData_1" localSheetId="1" hidden="1">Table1!$A$1:$L$321</definedName>
  </definedNames>
  <calcPr calcId="191029" iterateDelta="1E-4"/>
  <pivotCaches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6" i="11" l="1"/>
  <c r="R15" i="11"/>
  <c r="R14" i="11"/>
  <c r="R13" i="11"/>
  <c r="R12" i="11"/>
  <c r="R11" i="11"/>
  <c r="R10" i="11"/>
  <c r="R9" i="11"/>
  <c r="R8" i="11"/>
  <c r="R7" i="11"/>
  <c r="R6" i="11"/>
  <c r="R5" i="11"/>
  <c r="R22" i="11"/>
  <c r="R21" i="11"/>
  <c r="R20" i="11"/>
  <c r="R19" i="11"/>
  <c r="R29" i="11"/>
  <c r="R28" i="11"/>
  <c r="R27" i="11"/>
  <c r="R26" i="11"/>
  <c r="R25" i="11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5" i="5"/>
  <c r="C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5" i="5"/>
  <c r="I6" i="5" a="1"/>
  <c r="I6" i="5" s="1"/>
  <c r="I7" i="5" a="1"/>
  <c r="I7" i="5" s="1"/>
  <c r="I8" i="5" a="1"/>
  <c r="I8" i="5" s="1"/>
  <c r="I9" i="5" a="1"/>
  <c r="I9" i="5"/>
  <c r="I10" i="5" a="1"/>
  <c r="I10" i="5" s="1"/>
  <c r="I11" i="5" a="1"/>
  <c r="I11" i="5" s="1"/>
  <c r="I12" i="5" a="1"/>
  <c r="I12" i="5"/>
  <c r="I13" i="5" a="1"/>
  <c r="I13" i="5"/>
  <c r="I14" i="5" a="1"/>
  <c r="I14" i="5" s="1"/>
  <c r="I15" i="5" a="1"/>
  <c r="I15" i="5" s="1"/>
  <c r="I16" i="5" a="1"/>
  <c r="I16" i="5"/>
  <c r="I17" i="5" a="1"/>
  <c r="I17" i="5"/>
  <c r="I18" i="5" a="1"/>
  <c r="I18" i="5" s="1"/>
  <c r="I19" i="5" a="1"/>
  <c r="I19" i="5" s="1"/>
  <c r="I20" i="5" a="1"/>
  <c r="I20" i="5"/>
  <c r="I21" i="5" a="1"/>
  <c r="I21" i="5"/>
  <c r="I22" i="5" a="1"/>
  <c r="I22" i="5" s="1"/>
  <c r="I23" i="5" a="1"/>
  <c r="I23" i="5" s="1"/>
  <c r="I24" i="5" a="1"/>
  <c r="I24" i="5"/>
  <c r="I25" i="5" a="1"/>
  <c r="I25" i="5"/>
  <c r="I26" i="5" a="1"/>
  <c r="I26" i="5" s="1"/>
  <c r="I27" i="5" a="1"/>
  <c r="I27" i="5" s="1"/>
  <c r="I28" i="5" a="1"/>
  <c r="I28" i="5"/>
  <c r="I29" i="5" a="1"/>
  <c r="I29" i="5"/>
  <c r="I5" i="5" a="1"/>
  <c r="I5" i="5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5" i="6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I29" i="6"/>
  <c r="F29" i="6"/>
  <c r="H29" i="6" s="1"/>
  <c r="J29" i="6" s="1"/>
  <c r="E29" i="6"/>
  <c r="C29" i="6"/>
  <c r="I28" i="6"/>
  <c r="F28" i="6"/>
  <c r="H28" i="6" s="1"/>
  <c r="J28" i="6" s="1"/>
  <c r="E28" i="6"/>
  <c r="C28" i="6"/>
  <c r="I27" i="6"/>
  <c r="F27" i="6"/>
  <c r="H27" i="6" s="1"/>
  <c r="J27" i="6" s="1"/>
  <c r="E27" i="6"/>
  <c r="C27" i="6"/>
  <c r="I26" i="6"/>
  <c r="F26" i="6"/>
  <c r="H26" i="6" s="1"/>
  <c r="J26" i="6" s="1"/>
  <c r="E26" i="6"/>
  <c r="C26" i="6"/>
  <c r="I25" i="6"/>
  <c r="F25" i="6"/>
  <c r="H25" i="6" s="1"/>
  <c r="J25" i="6" s="1"/>
  <c r="E25" i="6"/>
  <c r="C25" i="6"/>
  <c r="I24" i="6"/>
  <c r="F24" i="6"/>
  <c r="H24" i="6" s="1"/>
  <c r="J24" i="6" s="1"/>
  <c r="E24" i="6"/>
  <c r="C24" i="6"/>
  <c r="I23" i="6"/>
  <c r="F23" i="6"/>
  <c r="H23" i="6" s="1"/>
  <c r="J23" i="6" s="1"/>
  <c r="E23" i="6"/>
  <c r="C23" i="6"/>
  <c r="I22" i="6"/>
  <c r="F22" i="6"/>
  <c r="H22" i="6" s="1"/>
  <c r="J22" i="6" s="1"/>
  <c r="E22" i="6"/>
  <c r="C22" i="6"/>
  <c r="I21" i="6"/>
  <c r="F21" i="6"/>
  <c r="H21" i="6" s="1"/>
  <c r="J21" i="6" s="1"/>
  <c r="E21" i="6"/>
  <c r="C21" i="6"/>
  <c r="I20" i="6"/>
  <c r="F20" i="6"/>
  <c r="H20" i="6" s="1"/>
  <c r="J20" i="6" s="1"/>
  <c r="E20" i="6"/>
  <c r="C20" i="6"/>
  <c r="I19" i="6"/>
  <c r="F19" i="6"/>
  <c r="H19" i="6" s="1"/>
  <c r="J19" i="6" s="1"/>
  <c r="E19" i="6"/>
  <c r="C19" i="6"/>
  <c r="I18" i="6"/>
  <c r="F18" i="6"/>
  <c r="H18" i="6" s="1"/>
  <c r="J18" i="6" s="1"/>
  <c r="E18" i="6"/>
  <c r="C18" i="6"/>
  <c r="I17" i="6"/>
  <c r="F17" i="6"/>
  <c r="H17" i="6" s="1"/>
  <c r="J17" i="6" s="1"/>
  <c r="E17" i="6"/>
  <c r="C17" i="6"/>
  <c r="I16" i="6"/>
  <c r="F16" i="6"/>
  <c r="H16" i="6" s="1"/>
  <c r="J16" i="6" s="1"/>
  <c r="E16" i="6"/>
  <c r="C16" i="6"/>
  <c r="I15" i="6"/>
  <c r="F15" i="6"/>
  <c r="H15" i="6" s="1"/>
  <c r="J15" i="6" s="1"/>
  <c r="E15" i="6"/>
  <c r="C15" i="6"/>
  <c r="I14" i="6"/>
  <c r="F14" i="6"/>
  <c r="H14" i="6" s="1"/>
  <c r="J14" i="6" s="1"/>
  <c r="E14" i="6"/>
  <c r="C14" i="6"/>
  <c r="I13" i="6"/>
  <c r="F13" i="6"/>
  <c r="H13" i="6" s="1"/>
  <c r="J13" i="6" s="1"/>
  <c r="E13" i="6"/>
  <c r="C13" i="6"/>
  <c r="I12" i="6"/>
  <c r="F12" i="6"/>
  <c r="H12" i="6" s="1"/>
  <c r="J12" i="6" s="1"/>
  <c r="E12" i="6"/>
  <c r="C12" i="6"/>
  <c r="I11" i="6"/>
  <c r="F11" i="6"/>
  <c r="H11" i="6" s="1"/>
  <c r="J11" i="6" s="1"/>
  <c r="E11" i="6"/>
  <c r="C11" i="6"/>
  <c r="I10" i="6"/>
  <c r="F10" i="6"/>
  <c r="H10" i="6" s="1"/>
  <c r="J10" i="6" s="1"/>
  <c r="E10" i="6"/>
  <c r="C10" i="6"/>
  <c r="I9" i="6"/>
  <c r="F9" i="6"/>
  <c r="H9" i="6" s="1"/>
  <c r="J9" i="6" s="1"/>
  <c r="E9" i="6"/>
  <c r="C9" i="6"/>
  <c r="I8" i="6"/>
  <c r="F8" i="6"/>
  <c r="H8" i="6" s="1"/>
  <c r="J8" i="6" s="1"/>
  <c r="E8" i="6"/>
  <c r="C8" i="6"/>
  <c r="I7" i="6"/>
  <c r="F7" i="6"/>
  <c r="H7" i="6" s="1"/>
  <c r="J7" i="6" s="1"/>
  <c r="E7" i="6"/>
  <c r="C7" i="6"/>
  <c r="I6" i="6"/>
  <c r="F6" i="6"/>
  <c r="H6" i="6" s="1"/>
  <c r="J6" i="6" s="1"/>
  <c r="E6" i="6"/>
  <c r="C6" i="6"/>
  <c r="I5" i="6"/>
  <c r="F5" i="6"/>
  <c r="H5" i="6" s="1"/>
  <c r="J5" i="6" s="1"/>
  <c r="E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6251B-C49A-4012-B23B-34CC80D18C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B1FC61A-230B-42FA-8F9F-2A2BB9B66148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<sst xmlns="http://schemas.openxmlformats.org/spreadsheetml/2006/main" count="6752" uniqueCount="220">
  <si>
    <t>Excel Practice Pack — Data Analyst Skills</t>
  </si>
  <si>
    <t>A corporate-style sales dataset with hands-on exercises for formulas, pivot tables, data cleaning, and dashboards.</t>
  </si>
  <si>
    <t>How this workbook is organized</t>
  </si>
  <si>
    <t>Sheet</t>
  </si>
  <si>
    <t>What to do there</t>
  </si>
  <si>
    <t>Raw_Data</t>
  </si>
  <si>
    <t>A messy 330-row corporate sales dataset — inconsistent casing, extra spaces, mixed date formats, blanks, duplicates, and text-formatted numbers. Practice cleaning it here.</t>
  </si>
  <si>
    <t>Cleaning_Tasks</t>
  </si>
  <si>
    <t>Step-by-step data cleaning checklist referencing Raw_Data. Work directly in Raw_Data or copy it to a new sheet first.</t>
  </si>
  <si>
    <t>Lookup_Tables</t>
  </si>
  <si>
    <t>Reference tables (Sales Rep directory, Product catalog) used for VLOOKUP / XLOOKUP / INDEX-MATCH practice.</t>
  </si>
  <si>
    <t>Formulas_Practice</t>
  </si>
  <si>
    <t>A trimmed, clean order table with blank columns for you to fill in using formulas (lookups, IF logic, calculations).</t>
  </si>
  <si>
    <t>Answer_Key</t>
  </si>
  <si>
    <t>Worked formulas for Formulas_Practice — check your work, don't peek early!</t>
  </si>
  <si>
    <t>PivotTable_Practice</t>
  </si>
  <si>
    <t>A clean, ready-to-use dataset plus 5 pivot table tasks that mirror real reporting requests.</t>
  </si>
  <si>
    <t>Dashboard_Practice</t>
  </si>
  <si>
    <t>Same clean dataset plus instructions to build a 1-page mini dashboard with 3 charts.</t>
  </si>
  <si>
    <t>Suggested order</t>
  </si>
  <si>
    <t>1. Clean Raw_Data using the Cleaning_Tasks checklist (this is the messiest, most realistic part).</t>
  </si>
  <si>
    <t>2. Practice lookups and logic formulas in Formulas_Practice, then self-check with Answer_Key.</t>
  </si>
  <si>
    <t>3. Build the requested pivot tables in PivotTable_Practice.</t>
  </si>
  <si>
    <t>4. Turn your pivot output into a small dashboard in Dashboard_Practice.</t>
  </si>
  <si>
    <t>Order ID</t>
  </si>
  <si>
    <t>Order Date</t>
  </si>
  <si>
    <t>Customer Name</t>
  </si>
  <si>
    <t>Region</t>
  </si>
  <si>
    <t>Product Category</t>
  </si>
  <si>
    <t>Product Name</t>
  </si>
  <si>
    <t>Quantity</t>
  </si>
  <si>
    <t>Unit Price</t>
  </si>
  <si>
    <t>Discount</t>
  </si>
  <si>
    <t>Sales Rep</t>
  </si>
  <si>
    <t>Payment Method</t>
  </si>
  <si>
    <t>Order Status</t>
  </si>
  <si>
    <t>Vivek Rao</t>
  </si>
  <si>
    <t xml:space="preserve">Electronics </t>
  </si>
  <si>
    <t>Mechanical Keyboard</t>
  </si>
  <si>
    <t>James Fernandes</t>
  </si>
  <si>
    <t>Cheque</t>
  </si>
  <si>
    <t>Completed</t>
  </si>
  <si>
    <t>Pooja Menon</t>
  </si>
  <si>
    <t>Portable SSD 1TB</t>
  </si>
  <si>
    <t>Farah Khan</t>
  </si>
  <si>
    <t>Bank Transfer</t>
  </si>
  <si>
    <t>Pending</t>
  </si>
  <si>
    <t>Kavya Reddy</t>
  </si>
  <si>
    <t>Wireless Mouse</t>
  </si>
  <si>
    <t>Credit Card</t>
  </si>
  <si>
    <t>Cancelled</t>
  </si>
  <si>
    <t>Arjun Patel</t>
  </si>
  <si>
    <t>South</t>
  </si>
  <si>
    <t>Office Supplies</t>
  </si>
  <si>
    <t>Sticky Notes Pack</t>
  </si>
  <si>
    <t>Software</t>
  </si>
  <si>
    <t>CRM Subscription</t>
  </si>
  <si>
    <t>Cash</t>
  </si>
  <si>
    <t>File Folders Box</t>
  </si>
  <si>
    <t>East</t>
  </si>
  <si>
    <t>Stapler Set</t>
  </si>
  <si>
    <t>Office Sofa</t>
  </si>
  <si>
    <t>Horizon Systems</t>
  </si>
  <si>
    <t>Standing Desk</t>
  </si>
  <si>
    <t>Webcam HD</t>
  </si>
  <si>
    <t>UPI</t>
  </si>
  <si>
    <t>USB-C Hub</t>
  </si>
  <si>
    <t>Meera Krishnan</t>
  </si>
  <si>
    <t>Filing Cabinet</t>
  </si>
  <si>
    <t>Furniture</t>
  </si>
  <si>
    <t>Storage Cabinet</t>
  </si>
  <si>
    <t>Nikhil Chawla</t>
  </si>
  <si>
    <t>Central</t>
  </si>
  <si>
    <t>Design Suite License</t>
  </si>
  <si>
    <t>North</t>
  </si>
  <si>
    <t>Electronics</t>
  </si>
  <si>
    <t xml:space="preserve">Furniture </t>
  </si>
  <si>
    <t>Ishita Sharma</t>
  </si>
  <si>
    <t xml:space="preserve">Software </t>
  </si>
  <si>
    <t>VPN License</t>
  </si>
  <si>
    <t>Neha Verma</t>
  </si>
  <si>
    <t>Priya Nair</t>
  </si>
  <si>
    <t>Ergonomic Chair</t>
  </si>
  <si>
    <t>Desk Lamp</t>
  </si>
  <si>
    <t>Apex Manufacturing</t>
  </si>
  <si>
    <t>Conference Table</t>
  </si>
  <si>
    <t>Desk Organizer</t>
  </si>
  <si>
    <t>TechNova Solutions</t>
  </si>
  <si>
    <t>Project Mgmt Tool</t>
  </si>
  <si>
    <t>Tanvi Bhatt</t>
  </si>
  <si>
    <t>Whiteboard Markers</t>
  </si>
  <si>
    <t>A4 Paper Ream</t>
  </si>
  <si>
    <t>Cloud Storage Plan</t>
  </si>
  <si>
    <t>Riya Desai</t>
  </si>
  <si>
    <t>Silverline Logistics</t>
  </si>
  <si>
    <t>West</t>
  </si>
  <si>
    <t>Karan Malhotra</t>
  </si>
  <si>
    <t>Global Retail Corp</t>
  </si>
  <si>
    <t>Aditya Kapoor</t>
  </si>
  <si>
    <t>27in Monitor</t>
  </si>
  <si>
    <t>Noise Cancelling Headphones</t>
  </si>
  <si>
    <t>Ballpoint Pens Pack</t>
  </si>
  <si>
    <t>Ink Cartridge</t>
  </si>
  <si>
    <t>Antivirus License</t>
  </si>
  <si>
    <t>Bookshelf</t>
  </si>
  <si>
    <t>Laptop Stand</t>
  </si>
  <si>
    <t>Sana Sheikh</t>
  </si>
  <si>
    <t>Siddharth Gupta</t>
  </si>
  <si>
    <t>Reetu Sharma</t>
  </si>
  <si>
    <t>Alok Bansal</t>
  </si>
  <si>
    <t>Sunrise Traders</t>
  </si>
  <si>
    <t>Rahul Saxena</t>
  </si>
  <si>
    <t>Manish Joshi</t>
  </si>
  <si>
    <t>BrightPath Industries</t>
  </si>
  <si>
    <t>Bluebird Enterprises</t>
  </si>
  <si>
    <t>Amitabh Sinha</t>
  </si>
  <si>
    <t>Divya Pillai</t>
  </si>
  <si>
    <t>Rohan Mehta</t>
  </si>
  <si>
    <t>Ananya Iyer</t>
  </si>
  <si>
    <t>Data Cleaning Checklist</t>
  </si>
  <si>
    <t>All tasks refer to the Raw_Data sheet (330 rows, 12 columns). Try each with formulas or built-in Excel tools.</t>
  </si>
  <si>
    <t>☐  1. Remove exact duplicate rows (Data &gt; Remove Duplicates). How many duplicates were removed?</t>
  </si>
  <si>
    <t>☐  2. Delete fully blank rows.</t>
  </si>
  <si>
    <t>☐  3. Trim leading/trailing spaces from Customer Name, Region, and Product Category (TRIM function).</t>
  </si>
  <si>
    <t>☐  4. Standardize Region values to exactly: North, South, East, West, Central (fix typos like 'Nrth', 'Est', 'Wst' and inconsistent casing — try PROPER + nested SUBSTITUTE, or Find &amp; Replace).</t>
  </si>
  <si>
    <t>☐  5. Standardize Product Category casing using PROPER(), then fix the 'Electronic' → 'Electronics' typo.</t>
  </si>
  <si>
    <t>☐  6. Convert Order Date into one consistent date format (some rows are DD/MM/YYYY text, some 'Mon DD, YYYY' text, some already ISO dates). Try DATEVALUE for text dates.</t>
  </si>
  <si>
    <t>☐  7. Clean Unit Price: some values are stored as text with a '$' prefix (e.g. "$18999"). Convert all to numeric.</t>
  </si>
  <si>
    <t>☐  8. Fill or flag blank Quantity and blank Sales Rep cells — decide whether to impute, flag, or drop them.</t>
  </si>
  <si>
    <t>☐  9. Standardize Sales Rep names to one format (e.g. 'Reetu Sharma' instead of 'R. Sharma' / 'reetu sharma'). Try a lookup against Lookup_Tables!SalesReps.</t>
  </si>
  <si>
    <t>☐  10. Flag invalid rows where Quantity is 0 or negative — these are likely data-entry errors, not real orders.</t>
  </si>
  <si>
    <t>☐  11. Add a calculated 'Line Total' column: Quantity × Unit Price × (1 − Discount), handling blank Discount as 0.</t>
  </si>
  <si>
    <t>Reference Tables</t>
  </si>
  <si>
    <t>Sales Rep Directory</t>
  </si>
  <si>
    <t>Rep ID</t>
  </si>
  <si>
    <t>Full Name</t>
  </si>
  <si>
    <t>Department</t>
  </si>
  <si>
    <t>Region Covered</t>
  </si>
  <si>
    <t>Target ($)</t>
  </si>
  <si>
    <t>SR01</t>
  </si>
  <si>
    <t>Enterprise Sales</t>
  </si>
  <si>
    <t>SR02</t>
  </si>
  <si>
    <t>SMB Sales</t>
  </si>
  <si>
    <t>SR03</t>
  </si>
  <si>
    <t>SR04</t>
  </si>
  <si>
    <t>SR05</t>
  </si>
  <si>
    <t>Key Accounts</t>
  </si>
  <si>
    <t>Product Catalog</t>
  </si>
  <si>
    <t>Category</t>
  </si>
  <si>
    <t>List Price</t>
  </si>
  <si>
    <t>Reorder Level</t>
  </si>
  <si>
    <t>Fill in the yellow columns using formulas. Lookup source: Lookup_Tables sheet. Check yourself in Answer_Key.</t>
  </si>
  <si>
    <t>Rep Full Name (VLOOKUP/XLOOKUP)</t>
  </si>
  <si>
    <t>Category (INDEX-MATCH)</t>
  </si>
  <si>
    <t>List Price (XLOOKUP)</t>
  </si>
  <si>
    <t>Line Total = Qty×Price</t>
  </si>
  <si>
    <t>Discount Tier (nested IF)</t>
  </si>
  <si>
    <t>Order Value Band (IF)</t>
  </si>
  <si>
    <t>Formula Hints</t>
  </si>
  <si>
    <t>• Column C: Look up Rep Full Name from Lookup_Tables!SalesReps using Rep ID.</t>
  </si>
  <si>
    <t>• Column E: Look up Category from Lookup_Tables!Product Catalog using Product Name.</t>
  </si>
  <si>
    <t>• Column F: Look up List Price from Lookup_Tables!Product Catalog using Product Name.</t>
  </si>
  <si>
    <t>• Column H: Quantity × List Price.</t>
  </si>
  <si>
    <t>• Column I: Nested IF — 'None' if Qty&lt;5, '5% (5-9 units)' if Qty 5-9, '10% (10+ units)' if Qty&gt;=10.</t>
  </si>
  <si>
    <t>• Column J: IF Line Total &gt; 50000 → 'High Value', elif &gt; 15000 → 'Medium Value', else 'Standard'.</t>
  </si>
  <si>
    <t>Answer Key — Formulas Practice</t>
  </si>
  <si>
    <t>Same table as Formulas_Practice, with worked formulas. Compare, don't copy first!</t>
  </si>
  <si>
    <t>Pivot Table Practice</t>
  </si>
  <si>
    <t>Clean dataset below. Select any cell inside it, then Insert &gt; PivotTable, and complete the 5 tasks.</t>
  </si>
  <si>
    <t>Line Total</t>
  </si>
  <si>
    <t>Pivot Table Tasks</t>
  </si>
  <si>
    <t>1. Total Line Total by Region (bar or table).</t>
  </si>
  <si>
    <t>2. Total Line Total by Product Category, broken down by Region (rows=Category, columns=Region).</t>
  </si>
  <si>
    <t>3. Total Line Total by Month (group Order Date by month).</t>
  </si>
  <si>
    <t>4. Top 5 Customers by total spend (sort descending, filter top 5).</t>
  </si>
  <si>
    <t>5. Average Line Total per Sales Rep, plus count of orders per rep.</t>
  </si>
  <si>
    <t>Dashboard Practice</t>
  </si>
  <si>
    <t>Uses a monthly + category summary below (pre-aggregated from PivotTable_Practice data). Build 3 charts to form a mini dashboard.</t>
  </si>
  <si>
    <t>Monthly Sales Summary</t>
  </si>
  <si>
    <t>Sales by Category</t>
  </si>
  <si>
    <t>Sales by Region</t>
  </si>
  <si>
    <t>Month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</si>
  <si>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</si>
  <si>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</si>
  <si>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</si>
  <si>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</si>
  <si>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</si>
  <si>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</si>
  <si>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</si>
  <si>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</si>
  <si>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</si>
  <si>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</si>
  <si>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</si>
  <si>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</si>
  <si>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</si>
  <si>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Dashboard Tasks</t>
  </si>
  <si>
    <t>1. Two starter charts are already placed (monthly trend, category pie). Add a 3rd: Sales by Region as a bar chart (data is in G5:H10).</t>
  </si>
  <si>
    <t>2. Reposition/resize charts to form a clean 2x2 or 1-row dashboard layout on this sheet.</t>
  </si>
  <si>
    <t>3. Add a title cell 'Sales Performance Dashboard' and light formatting (borders, fill) around the summary tables.</t>
  </si>
  <si>
    <t>4. Stretch goal: replace the static Monthly/Category/Region tables with live formulas (SUMIFS) pointing at PivotTable_Practice data.</t>
  </si>
  <si>
    <t>Qty</t>
  </si>
  <si>
    <t>unit Price</t>
  </si>
  <si>
    <t>Sales Rep new</t>
  </si>
  <si>
    <t>Not Updated</t>
  </si>
  <si>
    <t>Not Assigned</t>
  </si>
  <si>
    <t>Technova Solutions</t>
  </si>
  <si>
    <t>Brightpath Industries</t>
  </si>
  <si>
    <t xml:space="preserve">Order Status </t>
  </si>
  <si>
    <t xml:space="preserve">Region </t>
  </si>
  <si>
    <t>Sales Representative</t>
  </si>
  <si>
    <t>Invalid</t>
  </si>
  <si>
    <t>No Qty</t>
  </si>
  <si>
    <t>Sum of Line Total</t>
  </si>
  <si>
    <t>Row Labels</t>
  </si>
  <si>
    <t>Grand Total</t>
  </si>
  <si>
    <t>Column Labels</t>
  </si>
  <si>
    <t>Average of Line Total</t>
  </si>
  <si>
    <t>Count of Line Total</t>
  </si>
  <si>
    <t>Sales Performance Dashboard</t>
  </si>
  <si>
    <t>Two starter charts are already placed (monthly trend, category pie). Add a 3rd: Sales by Region as a bar chart (data is in G5:H10).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</si>
</sst>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5" formatCode="_([$$-409]* #,##0.00_);_([$$-409]* \(#,##0.00\);_([$$-409]* &quot;-&quot;??_);_(@_)"/>
    <numFmt numFmtId="166" formatCode="&quot;$&quot;#,##0.00"/>
    <numFmt numFmtId="167" formatCode="yyyy\-mm\-dd;@"/>
  </numFmts>
  <fonts count="20" x14ac:knownFonts="1">
    <font>
      <sz val="11"/>
      <color theme="1"/>
      <name val="Calibri"/>
      <family val="2"/>
      <charset val="1"/>
    </font>
    <font>
      <sz val="10"/>
      <name val="Arial"/>
    </font>
    <font>
      <b/>
      <sz val="20"/>
      <color rgb="FF1F3864"/>
      <name val="Arial"/>
      <charset val="1"/>
    </font>
    <font>
      <i/>
      <sz val="12"/>
      <color rgb="FF595959"/>
      <name val="Arial"/>
      <charset val="1"/>
    </font>
    <font>
      <b/>
      <sz val="13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8"/>
      <color rgb="FF1F3864"/>
      <name val="Arial"/>
      <charset val="1"/>
    </font>
    <font>
      <i/>
      <sz val="11"/>
      <color rgb="FF595959"/>
      <name val="Arial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i/>
      <sz val="10"/>
      <name val="Arial"/>
      <charset val="1"/>
    </font>
    <font>
      <sz val="8"/>
      <name val="Calibri"/>
      <family val="2"/>
      <charset val="1"/>
    </font>
    <font>
      <b/>
      <sz val="11"/>
      <color rgb="FFFFFFFF"/>
      <name val="Arial"/>
      <family val="2"/>
    </font>
    <font>
      <sz val="11"/>
      <color theme="0"/>
      <name val="Calibri"/>
      <family val="2"/>
      <charset val="1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</font>
    <font>
      <sz val="32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333399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 applyAlignment="1">
      <alignment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5" fillId="2" borderId="0" xfId="0" applyFont="1" applyFill="1"/>
    <xf numFmtId="166" fontId="1" fillId="0" borderId="0" xfId="1" applyNumberFormat="1"/>
    <xf numFmtId="2" fontId="0" fillId="0" borderId="0" xfId="0" applyNumberFormat="1"/>
    <xf numFmtId="167" fontId="0" fillId="0" borderId="0" xfId="0" applyNumberFormat="1"/>
    <xf numFmtId="0" fontId="15" fillId="5" borderId="0" xfId="0" applyFont="1" applyFill="1"/>
    <xf numFmtId="167" fontId="15" fillId="5" borderId="0" xfId="0" applyNumberFormat="1" applyFont="1" applyFill="1"/>
    <xf numFmtId="0" fontId="15" fillId="5" borderId="2" xfId="0" applyFont="1" applyFill="1" applyBorder="1"/>
    <xf numFmtId="0" fontId="0" fillId="0" borderId="2" xfId="0" applyBorder="1"/>
    <xf numFmtId="167" fontId="0" fillId="0" borderId="2" xfId="0" applyNumberFormat="1" applyBorder="1"/>
    <xf numFmtId="165" fontId="1" fillId="0" borderId="2" xfId="1" applyNumberFormat="1" applyBorder="1"/>
    <xf numFmtId="2" fontId="0" fillId="0" borderId="2" xfId="0" applyNumberFormat="1" applyBorder="1"/>
    <xf numFmtId="0" fontId="9" fillId="0" borderId="2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1" fillId="0" borderId="2" xfId="0" applyFont="1" applyBorder="1"/>
    <xf numFmtId="0" fontId="12" fillId="0" borderId="2" xfId="0" applyFont="1" applyBorder="1"/>
    <xf numFmtId="0" fontId="0" fillId="0" borderId="3" xfId="0" applyBorder="1"/>
    <xf numFmtId="0" fontId="0" fillId="0" borderId="4" xfId="0" applyBorder="1"/>
    <xf numFmtId="0" fontId="15" fillId="5" borderId="5" xfId="0" applyFont="1" applyFill="1" applyBorder="1"/>
    <xf numFmtId="167" fontId="15" fillId="5" borderId="6" xfId="0" applyNumberFormat="1" applyFont="1" applyFill="1" applyBorder="1"/>
    <xf numFmtId="0" fontId="15" fillId="5" borderId="6" xfId="0" applyFont="1" applyFill="1" applyBorder="1"/>
    <xf numFmtId="166" fontId="16" fillId="5" borderId="6" xfId="1" applyNumberFormat="1" applyFont="1" applyFill="1" applyBorder="1"/>
    <xf numFmtId="2" fontId="15" fillId="5" borderId="6" xfId="0" applyNumberFormat="1" applyFont="1" applyFill="1" applyBorder="1"/>
    <xf numFmtId="0" fontId="15" fillId="5" borderId="7" xfId="0" applyFont="1" applyFill="1" applyBorder="1"/>
    <xf numFmtId="0" fontId="0" fillId="0" borderId="8" xfId="0" applyBorder="1"/>
    <xf numFmtId="167" fontId="0" fillId="0" borderId="9" xfId="0" applyNumberFormat="1" applyBorder="1"/>
    <xf numFmtId="0" fontId="0" fillId="0" borderId="9" xfId="0" applyBorder="1"/>
    <xf numFmtId="165" fontId="1" fillId="0" borderId="9" xfId="1" applyNumberFormat="1" applyBorder="1"/>
    <xf numFmtId="2" fontId="0" fillId="0" borderId="9" xfId="0" applyNumberFormat="1" applyBorder="1"/>
    <xf numFmtId="0" fontId="0" fillId="0" borderId="10" xfId="0" applyBorder="1"/>
    <xf numFmtId="14" fontId="0" fillId="0" borderId="0" xfId="0" applyNumberFormat="1"/>
    <xf numFmtId="0" fontId="0" fillId="0" borderId="0" xfId="0" applyNumberFormat="1"/>
    <xf numFmtId="0" fontId="14" fillId="2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8" fillId="6" borderId="0" xfId="0" applyFont="1" applyFill="1"/>
    <xf numFmtId="0" fontId="19" fillId="6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8" fillId="7" borderId="0" xfId="0" applyFont="1" applyFill="1"/>
    <xf numFmtId="0" fontId="5" fillId="8" borderId="1" xfId="0" applyFont="1" applyFill="1" applyBorder="1" applyAlignment="1">
      <alignment horizontal="center" vertical="center" wrapText="1"/>
    </xf>
    <xf numFmtId="0" fontId="5" fillId="8" borderId="0" xfId="0" applyFont="1" applyFill="1"/>
    <xf numFmtId="0" fontId="17" fillId="9" borderId="0" xfId="0" applyFont="1" applyFill="1"/>
    <xf numFmtId="166" fontId="0" fillId="0" borderId="0" xfId="0" applyNumberFormat="1"/>
  </cellXfs>
  <cellStyles count="2">
    <cellStyle name="Currency" xfId="1" builtinId="4"/>
    <cellStyle name="Normal" xfId="0" builtinId="0"/>
  </cellStyles>
  <dxfs count="25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$-409]* #,##0.00_);_([$$-409]* \(#,##0.0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[Excel_Practice_Pack_DataAnalyst.xlsx]PivotTable_Practice!PivotTable2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Total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PivotTable_Practice!$P$250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PivotTable_Practice!$O$251:$O$256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PivotTable_Practice!$P$251:$P$256</c:f>
              <c:numCache>
                <c:formatCode>#,##0</c:formatCode>
                <c:ptCount val="5"/>
                <c:pt idx="0">
                  <c:v>1158778.6499999999</c:v>
                </c:pt>
                <c:pt idx="1">
                  <c:v>1229039.7500000002</c:v>
                </c:pt>
                <c:pt idx="2">
                  <c:v>759503.9</c:v>
                </c:pt>
                <c:pt idx="3">
                  <c:v>1314250.3999999999</c:v>
                </c:pt>
                <c:pt idx="4">
                  <c:v>1194408.2999999998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2-48EB-878F-808F9BD586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7309487"/>
        <c:axId val="169671727"/>
      </c:barChart>
      <c:catAx>
        <c:axId val="14273094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1727"/>
        <c:crosses val="autoZero"/>
        <c:auto val="1"/>
        <c:lblAlgn val="ctr"/>
        <c:lblOffset val="100"/>
        <c:noMultiLvlLbl val="0"/>
      </c:catAx>
      <c:valAx>
        <c:axId val="169671727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42730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 (try as Line too)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Dashboard_Practice!$B$5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Dashboard_Practice!$A$6:$A$17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Dashboard_Practice!$B$6:$B$17</c:f>
              <c:numCache>
                <c:formatCode>General</c:formatCode>
                <c:ptCount val="12"/>
                <c:pt idx="0">
                  <c:v>629523</c:v>
                </c:pt>
                <c:pt idx="1">
                  <c:v>516758</c:v>
                </c:pt>
                <c:pt idx="2">
                  <c:v>767926</c:v>
                </c:pt>
                <c:pt idx="3">
                  <c:v>877081</c:v>
                </c:pt>
                <c:pt idx="4">
                  <c:v>448711</c:v>
                </c:pt>
                <c:pt idx="5">
                  <c:v>393807</c:v>
                </c:pt>
                <c:pt idx="6">
                  <c:v>872025</c:v>
                </c:pt>
                <c:pt idx="7">
                  <c:v>651952</c:v>
                </c:pt>
                <c:pt idx="8">
                  <c:v>625713</c:v>
                </c:pt>
                <c:pt idx="9">
                  <c:v>581058</c:v>
                </c:pt>
                <c:pt idx="10">
                  <c:v>873107</c:v>
                </c:pt>
                <c:pt idx="11">
                  <c:v>947252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6-4E01-8B3F-04F6B8492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31500"/>
        <c:axId val="97628513"/>
      </c:barChart>
      <c:catAx>
        <c:axId val="37931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28513"/>
        <c:crosses val="autoZero"/>
        <c:auto val="1"/>
        <c:lblAlgn val="ctr"/>
        <c:lblOffset val="100"/>
        <c:noMultiLvlLbl val="0"/>
      </c:catAx>
      <c:valAx>
        <c:axId val="97628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31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Dashboard_Practice!$E$5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C29-4FB3-A150-A24EBFAF15F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C29-4FB3-A150-A24EBFAF15F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C29-4FB3-A150-A24EBFAF15F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C29-4FB3-A150-A24EBFAF15F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29-4FB3-A150-A24EBFAF15F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29-4FB3-A150-A24EBFAF15F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29-4FB3-A150-A24EBFAF15F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29-4FB3-A150-A24EBFAF15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Dashboard_Practice!$D$6:$D$9</c:f>
              <c:strCache>
                <c:ptCount val="4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Software</c:v>
                </c:pt>
              </c:strCache>
            </c:strRef>
          </c:cat>
          <c:val>
            <c:numRef>
              <c:f>Dashboard_Practice!$E$6:$E$9</c:f>
              <c:numCache>
                <c:formatCode>General</c:formatCode>
                <c:ptCount val="4"/>
                <c:pt idx="0">
                  <c:v>2897970</c:v>
                </c:pt>
                <c:pt idx="1">
                  <c:v>2565703</c:v>
                </c:pt>
                <c:pt idx="2">
                  <c:v>1531731</c:v>
                </c:pt>
                <c:pt idx="3">
                  <c:v>1872751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29-4FB3-A150-A24EBFAF1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Dashboard_Practice!$H$5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Dashboard_Practice!$G$6:$G$10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Dashboard_Practice!$H$6:$H$10</c:f>
              <c:numCache>
                <c:formatCode>General</c:formatCode>
                <c:ptCount val="5"/>
                <c:pt idx="0">
                  <c:v>2031399</c:v>
                </c:pt>
                <c:pt idx="1">
                  <c:v>1017975</c:v>
                </c:pt>
                <c:pt idx="2">
                  <c:v>1797190</c:v>
                </c:pt>
                <c:pt idx="3">
                  <c:v>1517756</c:v>
                </c:pt>
                <c:pt idx="4">
                  <c:v>731765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5-4916-938B-032566A96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18999"/>
        <c:axId val="53529683"/>
      </c:barChart>
      <c:catAx>
        <c:axId val="3691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29683"/>
        <c:crosses val="autoZero"/>
        <c:auto val="1"/>
        <c:lblAlgn val="ctr"/>
        <c:lblOffset val="100"/>
        <c:noMultiLvlLbl val="0"/>
      </c:catAx>
      <c:valAx>
        <c:axId val="53529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18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Dashboard_Practice!$H$5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Dashboard_Practice!$G$6:$G$10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Dashboard_Practice!$H$6:$H$10</c:f>
              <c:numCache>
                <c:formatCode>General</c:formatCode>
                <c:ptCount val="5"/>
                <c:pt idx="0">
                  <c:v>2031399</c:v>
                </c:pt>
                <c:pt idx="1">
                  <c:v>1017975</c:v>
                </c:pt>
                <c:pt idx="2">
                  <c:v>1797190</c:v>
                </c:pt>
                <c:pt idx="3">
                  <c:v>1517756</c:v>
                </c:pt>
                <c:pt idx="4">
                  <c:v>731765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B-4083-877E-A23D909824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46126255"/>
        <c:axId val="169641487"/>
      </c:barChart>
      <c:catAx>
        <c:axId val="194612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1487"/>
        <c:crosses val="autoZero"/>
        <c:auto val="1"/>
        <c:lblAlgn val="ctr"/>
        <c:lblOffset val="100"/>
        <c:noMultiLvlLbl val="0"/>
      </c:catAx>
      <c:valAx>
        <c:axId val="16964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612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Trend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Dashboard_Practice!$B$5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Dashboard_Practice!$A$6:$A$17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Dashboard_Practice!$B$6:$B$17</c:f>
              <c:numCache>
                <c:formatCode>General</c:formatCode>
                <c:ptCount val="12"/>
                <c:pt idx="0">
                  <c:v>629523</c:v>
                </c:pt>
                <c:pt idx="1">
                  <c:v>516758</c:v>
                </c:pt>
                <c:pt idx="2">
                  <c:v>767926</c:v>
                </c:pt>
                <c:pt idx="3">
                  <c:v>877081</c:v>
                </c:pt>
                <c:pt idx="4">
                  <c:v>448711</c:v>
                </c:pt>
                <c:pt idx="5">
                  <c:v>393807</c:v>
                </c:pt>
                <c:pt idx="6">
                  <c:v>872025</c:v>
                </c:pt>
                <c:pt idx="7">
                  <c:v>651952</c:v>
                </c:pt>
                <c:pt idx="8">
                  <c:v>625713</c:v>
                </c:pt>
                <c:pt idx="9">
                  <c:v>581058</c:v>
                </c:pt>
                <c:pt idx="10">
                  <c:v>873107</c:v>
                </c:pt>
                <c:pt idx="11">
                  <c:v>947252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9-4DC7-A445-59CB7471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31500"/>
        <c:axId val="97628513"/>
      </c:barChart>
      <c:catAx>
        <c:axId val="379315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28513"/>
        <c:crosses val="autoZero"/>
        <c:auto val="1"/>
        <c:lblAlgn val="ctr"/>
        <c:lblOffset val="100"/>
        <c:noMultiLvlLbl val="0"/>
      </c:catAx>
      <c:valAx>
        <c:axId val="9762851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9315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Dashboard_Practice!$E$5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58E-44DF-B3A7-8644A8DAE86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B58E-44DF-B3A7-8644A8DAE86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B58E-44DF-B3A7-8644A8DAE86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B58E-44DF-B3A7-8644A8DAE86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8E-44DF-B3A7-8644A8DAE86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8E-44DF-B3A7-8644A8DAE86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8E-44DF-B3A7-8644A8DAE86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8E-44DF-B3A7-8644A8DAE8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Dashboard_Practice!$D$6:$D$9</c:f>
              <c:strCache>
                <c:ptCount val="4"/>
                <c:pt idx="0">
                  <c:v>Electronics</c:v>
                </c:pt>
                <c:pt idx="1">
                  <c:v>Office Supplies</c:v>
                </c:pt>
                <c:pt idx="2">
                  <c:v>Furniture</c:v>
                </c:pt>
                <c:pt idx="3">
                  <c:v>Software</c:v>
                </c:pt>
              </c:strCache>
            </c:strRef>
          </c:cat>
          <c:val>
            <c:numRef>
              <c:f>Dashboard_Practice!$E$6:$E$9</c:f>
              <c:numCache>
                <c:formatCode>General</c:formatCode>
                <c:ptCount val="4"/>
                <c:pt idx="0">
                  <c:v>2897970</c:v>
                </c:pt>
                <c:pt idx="1">
                  <c:v>2565703</c:v>
                </c:pt>
                <c:pt idx="2">
                  <c:v>1531731</c:v>
                </c:pt>
                <c:pt idx="3">
                  <c:v>1872751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8E-44DF-B3A7-8644A8DAE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Dashboard_Practice!$B$5</c:f>
              <c:strCache>
                <c:ptCount val="1"/>
                <c:pt idx="0">
                  <c:v>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Dashboard_Practice!$A$6:$A$17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Dashboard_Practice!$B$6:$B$17</c:f>
              <c:numCache>
                <c:formatCode>General</c:formatCode>
                <c:ptCount val="12"/>
                <c:pt idx="0">
                  <c:v>629523</c:v>
                </c:pt>
                <c:pt idx="1">
                  <c:v>516758</c:v>
                </c:pt>
                <c:pt idx="2">
                  <c:v>767926</c:v>
                </c:pt>
                <c:pt idx="3">
                  <c:v>877081</c:v>
                </c:pt>
                <c:pt idx="4">
                  <c:v>448711</c:v>
                </c:pt>
                <c:pt idx="5">
                  <c:v>393807</c:v>
                </c:pt>
                <c:pt idx="6">
                  <c:v>872025</c:v>
                </c:pt>
                <c:pt idx="7">
                  <c:v>651952</c:v>
                </c:pt>
                <c:pt idx="8">
                  <c:v>625713</c:v>
                </c:pt>
                <c:pt idx="9">
                  <c:v>581058</c:v>
                </c:pt>
                <c:pt idx="10">
                  <c:v>873107</c:v>
                </c:pt>
                <c:pt idx="11">
                  <c:v>947252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D-4198-9F14-232726A1F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31500"/>
        <c:axId val="97628513"/>
      </c:lineChart>
      <c:catAx>
        <c:axId val="379315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28513"/>
        <c:crosses val="autoZero"/>
        <c:auto val="1"/>
        <c:lblAlgn val="ctr"/>
        <c:lblOffset val="100"/>
        <c:noMultiLvlLbl val="0"/>
      </c:catAx>
      <c:valAx>
        <c:axId val="9762851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9315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Dashboard_Practice!$H$5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Dashboard_Practice!$G$6:$G$10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Dashboard_Practice!$H$6:$H$10</c:f>
              <c:numCache>
                <c:formatCode>General</c:formatCode>
                <c:ptCount val="5"/>
                <c:pt idx="0">
                  <c:v>2031399</c:v>
                </c:pt>
                <c:pt idx="1">
                  <c:v>1017975</c:v>
                </c:pt>
                <c:pt idx="2">
                  <c:v>1797190</c:v>
                </c:pt>
                <c:pt idx="3">
                  <c:v>1517756</c:v>
                </c:pt>
                <c:pt idx="4">
                  <c:v>731765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9-48F5-9CE7-CBAB48A59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46126255"/>
        <c:axId val="169641487"/>
      </c:barChart>
      <c:catAx>
        <c:axId val="194612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1487"/>
        <c:crosses val="autoZero"/>
        <c:auto val="1"/>
        <c:lblAlgn val="ctr"/>
        <c:lblOffset val="100"/>
        <c:noMultiLvlLbl val="0"/>
      </c:catAx>
      <c:valAx>
        <c:axId val="16964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612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8.xml"/><Relationship Id="rId7" Type="http://schemas.openxmlformats.org/officeDocument/2006/relationships/image" Target="../media/image3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396240</xdr:colOff>
      <xdr:row>246</xdr:row>
      <xdr:rowOff>129540</xdr:rowOff>
    </xdr:from>
    <xdr:to>
      <xdr:col>24</xdr:col>
      <xdr:colOff>129540</xdr:colOff>
      <xdr:row>258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78CC9-11B2-FA08-4BA1-B02CD430B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130680</xdr:rowOff>
    </xdr:from>
    <xdr:to>
      <xdr:col>7</xdr:col>
      <xdr:colOff>684720</xdr:colOff>
      <xdr:row>33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131040</xdr:rowOff>
    </xdr:from>
    <xdr:to>
      <xdr:col>16</xdr:col>
      <xdr:colOff>39240</xdr:colOff>
      <xdr:row>17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18</xdr:row>
      <xdr:rowOff>130680</xdr:rowOff>
    </xdr:from>
    <xdr:to>
      <xdr:col>16</xdr:col>
      <xdr:colOff>39240</xdr:colOff>
      <xdr:row>33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266700</xdr:colOff>
      <xdr:row>2</xdr:row>
      <xdr:rowOff>160020</xdr:rowOff>
    </xdr:from>
    <xdr:to>
      <xdr:col>23</xdr:col>
      <xdr:colOff>289560</xdr:colOff>
      <xdr:row>15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7F857B-655B-F7A2-3A15-822CC144F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6843</xdr:rowOff>
    </xdr:from>
    <xdr:to>
      <xdr:col>8</xdr:col>
      <xdr:colOff>419100</xdr:colOff>
      <xdr:row>16</xdr:row>
      <xdr:rowOff>170055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47A2F-8ED7-4613-AB9F-42B205D1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426721</xdr:colOff>
      <xdr:row>3</xdr:row>
      <xdr:rowOff>6842</xdr:rowOff>
    </xdr:from>
    <xdr:to>
      <xdr:col>15</xdr:col>
      <xdr:colOff>334348</xdr:colOff>
      <xdr:row>16</xdr:row>
      <xdr:rowOff>178214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E67E5-D57E-4410-B9AA-3CAAAD69B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16</xdr:row>
      <xdr:rowOff>178214</xdr:rowOff>
    </xdr:from>
    <xdr:to>
      <xdr:col>8</xdr:col>
      <xdr:colOff>419100</xdr:colOff>
      <xdr:row>30</xdr:row>
      <xdr:rowOff>101081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311E6A-BAFE-4455-A5B6-AE4AD3D70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418945</xdr:colOff>
      <xdr:row>16</xdr:row>
      <xdr:rowOff>20903</xdr:rowOff>
    </xdr:from>
    <xdr:to>
      <xdr:col>15</xdr:col>
      <xdr:colOff>342122</xdr:colOff>
      <xdr:row>29</xdr:row>
      <xdr:rowOff>132183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C7FAF0-889C-45B1-837F-0BE2F9018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303245</xdr:colOff>
      <xdr:row>0</xdr:row>
      <xdr:rowOff>0</xdr:rowOff>
    </xdr:from>
    <xdr:to>
      <xdr:col>4</xdr:col>
      <xdr:colOff>4666</xdr:colOff>
      <xdr:row>3</xdr:row>
      <xdr:rowOff>20216</xdr:rowOff>
    </xdr:to>
    <xdr:pic>
      <xdr:nvPicPr>
        <xdr:cNvPr id="8" name="Graphic 7" descr="Downward trend graph with solid fill">
          <a:extLst>
            <a:ext uri="{FF2B5EF4-FFF2-40B4-BE49-F238E27FC236}">
              <a16:creationId xmlns:a16="http://schemas.microsoft.com/office/drawing/2014/main" id="{4A183159-6A55-6C8A-14E9-276999F3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16225" y="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142224</xdr:colOff>
      <xdr:row>0</xdr:row>
      <xdr:rowOff>0</xdr:rowOff>
    </xdr:from>
    <xdr:to>
      <xdr:col>13</xdr:col>
      <xdr:colOff>450135</xdr:colOff>
      <xdr:row>3</xdr:row>
      <xdr:rowOff>20216</xdr:rowOff>
    </xdr:to>
    <xdr:pic>
      <xdr:nvPicPr>
        <xdr:cNvPr id="10" name="Graphic 9" descr="Downward trend graph with solid fill">
          <a:extLst>
            <a:ext uri="{FF2B5EF4-FFF2-40B4-BE49-F238E27FC236}">
              <a16:creationId xmlns:a16="http://schemas.microsoft.com/office/drawing/2014/main" id="{A851651A-9123-A76A-DB6C-44FDDF8B5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420102" y="0"/>
          <a:ext cx="914400" cy="914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hi" refreshedDate="46213.555066898145" createdVersion="8" refreshedVersion="8" minRefreshableVersion="3" recordCount="260" xr:uid="{8EA3443C-2723-4A14-9981-A9B4CBD700F2}">
  <cacheSource type="worksheet">
    <worksheetSource ref="A4:M264" sheet="PivotTable_Practice"/>
  </cacheSource>
  <cacheFields count="16">
    <cacheField name="Order ID" numFmtId="0">
      <sharedItems containsSemiMixedTypes="0" containsString="0" containsNumber="1" containsInteger="1" minValue="20002" maxValue="20261"/>
    </cacheField>
    <cacheField name="Order Date" numFmtId="164">
      <sharedItems containsSemiMixedTypes="0" containsNonDate="0" containsDate="1" containsString="0" minDate="2024-01-01T00:00:00" maxDate="2025-01-30T00:00:00" count="198">
        <d v="2024-09-17T00:00:00"/>
        <d v="2024-08-16T00:00:00"/>
        <d v="2024-11-15T00:00:00"/>
        <d v="2024-06-16T00:00:00"/>
        <d v="2024-08-22T00:00:00"/>
        <d v="2024-01-16T00:00:00"/>
        <d v="2024-12-16T00:00:00"/>
        <d v="2024-02-07T00:00:00"/>
        <d v="2025-01-23T00:00:00"/>
        <d v="2024-12-15T00:00:00"/>
        <d v="2024-07-21T00:00:00"/>
        <d v="2024-07-20T00:00:00"/>
        <d v="2024-01-05T00:00:00"/>
        <d v="2024-10-25T00:00:00"/>
        <d v="2024-10-21T00:00:00"/>
        <d v="2025-01-13T00:00:00"/>
        <d v="2024-02-25T00:00:00"/>
        <d v="2024-05-30T00:00:00"/>
        <d v="2024-04-18T00:00:00"/>
        <d v="2024-03-31T00:00:00"/>
        <d v="2024-06-18T00:00:00"/>
        <d v="2024-12-24T00:00:00"/>
        <d v="2024-06-12T00:00:00"/>
        <d v="2024-06-29T00:00:00"/>
        <d v="2024-07-13T00:00:00"/>
        <d v="2025-01-07T00:00:00"/>
        <d v="2024-06-07T00:00:00"/>
        <d v="2024-01-06T00:00:00"/>
        <d v="2024-05-03T00:00:00"/>
        <d v="2024-04-22T00:00:00"/>
        <d v="2024-05-21T00:00:00"/>
        <d v="2024-11-16T00:00:00"/>
        <d v="2024-11-07T00:00:00"/>
        <d v="2024-04-07T00:00:00"/>
        <d v="2024-02-09T00:00:00"/>
        <d v="2024-04-01T00:00:00"/>
        <d v="2024-07-29T00:00:00"/>
        <d v="2024-08-25T00:00:00"/>
        <d v="2024-10-01T00:00:00"/>
        <d v="2024-10-08T00:00:00"/>
        <d v="2024-09-29T00:00:00"/>
        <d v="2024-08-12T00:00:00"/>
        <d v="2024-11-08T00:00:00"/>
        <d v="2024-09-08T00:00:00"/>
        <d v="2024-08-30T00:00:00"/>
        <d v="2024-11-12T00:00:00"/>
        <d v="2024-12-17T00:00:00"/>
        <d v="2024-09-18T00:00:00"/>
        <d v="2024-10-02T00:00:00"/>
        <d v="2024-06-10T00:00:00"/>
        <d v="2024-07-25T00:00:00"/>
        <d v="2024-09-14T00:00:00"/>
        <d v="2024-12-14T00:00:00"/>
        <d v="2024-04-17T00:00:00"/>
        <d v="2024-12-26T00:00:00"/>
        <d v="2025-01-16T00:00:00"/>
        <d v="2024-04-15T00:00:00"/>
        <d v="2024-11-23T00:00:00"/>
        <d v="2024-10-18T00:00:00"/>
        <d v="2025-01-25T00:00:00"/>
        <d v="2024-07-24T00:00:00"/>
        <d v="2024-06-23T00:00:00"/>
        <d v="2024-07-16T00:00:00"/>
        <d v="2024-05-25T00:00:00"/>
        <d v="2024-12-05T00:00:00"/>
        <d v="2024-01-28T00:00:00"/>
        <d v="2025-01-03T00:00:00"/>
        <d v="2024-11-05T00:00:00"/>
        <d v="2024-07-01T00:00:00"/>
        <d v="2024-02-28T00:00:00"/>
        <d v="2025-01-20T00:00:00"/>
        <d v="2024-05-18T00:00:00"/>
        <d v="2025-01-21T00:00:00"/>
        <d v="2024-08-05T00:00:00"/>
        <d v="2024-08-06T00:00:00"/>
        <d v="2024-10-15T00:00:00"/>
        <d v="2024-12-21T00:00:00"/>
        <d v="2024-03-01T00:00:00"/>
        <d v="2024-06-11T00:00:00"/>
        <d v="2024-12-12T00:00:00"/>
        <d v="2024-11-29T00:00:00"/>
        <d v="2024-05-20T00:00:00"/>
        <d v="2024-12-30T00:00:00"/>
        <d v="2024-12-10T00:00:00"/>
        <d v="2024-01-02T00:00:00"/>
        <d v="2024-08-03T00:00:00"/>
        <d v="2024-04-14T00:00:00"/>
        <d v="2024-06-04T00:00:00"/>
        <d v="2024-04-04T00:00:00"/>
        <d v="2024-06-24T00:00:00"/>
        <d v="2024-08-18T00:00:00"/>
        <d v="2024-05-12T00:00:00"/>
        <d v="2024-02-12T00:00:00"/>
        <d v="2024-06-08T00:00:00"/>
        <d v="2024-02-08T00:00:00"/>
        <d v="2024-01-07T00:00:00"/>
        <d v="2024-11-11T00:00:00"/>
        <d v="2024-05-11T00:00:00"/>
        <d v="2024-04-08T00:00:00"/>
        <d v="2024-03-21T00:00:00"/>
        <d v="2025-01-27T00:00:00"/>
        <d v="2024-12-04T00:00:00"/>
        <d v="2024-02-24T00:00:00"/>
        <d v="2024-11-17T00:00:00"/>
        <d v="2024-06-17T00:00:00"/>
        <d v="2024-03-03T00:00:00"/>
        <d v="2024-08-20T00:00:00"/>
        <d v="2024-04-12T00:00:00"/>
        <d v="2024-06-21T00:00:00"/>
        <d v="2024-09-05T00:00:00"/>
        <d v="2024-01-13T00:00:00"/>
        <d v="2024-10-30T00:00:00"/>
        <d v="2024-09-26T00:00:00"/>
        <d v="2024-04-23T00:00:00"/>
        <d v="2024-01-01T00:00:00"/>
        <d v="2024-09-28T00:00:00"/>
        <d v="2024-06-09T00:00:00"/>
        <d v="2024-04-10T00:00:00"/>
        <d v="2024-11-28T00:00:00"/>
        <d v="2024-02-10T00:00:00"/>
        <d v="2024-09-13T00:00:00"/>
        <d v="2024-12-07T00:00:00"/>
        <d v="2024-01-04T00:00:00"/>
        <d v="2024-11-14T00:00:00"/>
        <d v="2024-06-13T00:00:00"/>
        <d v="2024-04-30T00:00:00"/>
        <d v="2024-10-24T00:00:00"/>
        <d v="2024-03-18T00:00:00"/>
        <d v="2024-05-10T00:00:00"/>
        <d v="2024-07-05T00:00:00"/>
        <d v="2024-08-24T00:00:00"/>
        <d v="2024-10-26T00:00:00"/>
        <d v="2024-07-14T00:00:00"/>
        <d v="2024-09-06T00:00:00"/>
        <d v="2024-11-13T00:00:00"/>
        <d v="2024-02-22T00:00:00"/>
        <d v="2024-07-15T00:00:00"/>
        <d v="2024-09-07T00:00:00"/>
        <d v="2024-03-16T00:00:00"/>
        <d v="2024-10-16T00:00:00"/>
        <d v="2024-11-19T00:00:00"/>
        <d v="2024-06-28T00:00:00"/>
        <d v="2024-05-19T00:00:00"/>
        <d v="2024-11-09T00:00:00"/>
        <d v="2024-03-10T00:00:00"/>
        <d v="2024-01-10T00:00:00"/>
        <d v="2024-06-15T00:00:00"/>
        <d v="2024-08-19T00:00:00"/>
        <d v="2024-05-09T00:00:00"/>
        <d v="2024-06-19T00:00:00"/>
        <d v="2024-03-23T00:00:00"/>
        <d v="2024-08-29T00:00:00"/>
        <d v="2024-01-25T00:00:00"/>
        <d v="2024-01-14T00:00:00"/>
        <d v="2024-04-24T00:00:00"/>
        <d v="2024-06-14T00:00:00"/>
        <d v="2024-04-26T00:00:00"/>
        <d v="2024-07-28T00:00:00"/>
        <d v="2024-09-03T00:00:00"/>
        <d v="2024-07-17T00:00:00"/>
        <d v="2024-02-04T00:00:00"/>
        <d v="2024-03-20T00:00:00"/>
        <d v="2024-10-23T00:00:00"/>
        <d v="2024-02-05T00:00:00"/>
        <d v="2024-11-03T00:00:00"/>
        <d v="2024-10-31T00:00:00"/>
        <d v="2025-01-12T00:00:00"/>
        <d v="2024-01-20T00:00:00"/>
        <d v="2024-09-11T00:00:00"/>
        <d v="2024-01-19T00:00:00"/>
        <d v="2024-01-08T00:00:00"/>
        <d v="2024-03-28T00:00:00"/>
        <d v="2025-01-29T00:00:00"/>
        <d v="2024-05-22T00:00:00"/>
        <d v="2024-04-11T00:00:00"/>
        <d v="2024-05-24T00:00:00"/>
        <d v="2024-07-10T00:00:00"/>
        <d v="2024-10-06T00:00:00"/>
        <d v="2025-01-05T00:00:00"/>
        <d v="2024-09-15T00:00:00"/>
        <d v="2024-05-06T00:00:00"/>
        <d v="2024-03-11T00:00:00"/>
        <d v="2024-09-09T00:00:00"/>
        <d v="2024-05-16T00:00:00"/>
        <d v="2024-07-02T00:00:00"/>
        <d v="2024-09-27T00:00:00"/>
        <d v="2024-07-03T00:00:00"/>
        <d v="2024-10-28T00:00:00"/>
        <d v="2024-04-25T00:00:00"/>
        <d v="2024-01-30T00:00:00"/>
        <d v="2024-03-29T00:00:00"/>
        <d v="2024-08-15T00:00:00"/>
        <d v="2024-12-19T00:00:00"/>
        <d v="2024-06-26T00:00:00"/>
        <d v="2025-01-01T00:00:00"/>
        <d v="2024-10-17T00:00:00"/>
        <d v="2024-02-20T00:00:00"/>
        <d v="2024-05-14T00:00:00"/>
      </sharedItems>
      <fieldGroup par="15"/>
    </cacheField>
    <cacheField name="Customer Name" numFmtId="0">
      <sharedItems count="28">
        <s v="Horizon Systems"/>
        <s v="Kavya Reddy"/>
        <s v="Rohan Mehta"/>
        <s v="Nikhil Chawla"/>
        <s v="Global Retail Corp"/>
        <s v="Arjun Patel"/>
        <s v="Amitabh Sinha"/>
        <s v="Neha Verma"/>
        <s v="Pooja Menon"/>
        <s v="Riya Desai"/>
        <s v="Apex Manufacturing"/>
        <s v="Karan Malhotra"/>
        <s v="Sana Sheikh"/>
        <s v="Rahul Saxena"/>
        <s v="Vivek Rao"/>
        <s v="TechNova Solutions"/>
        <s v="Aditya Kapoor"/>
        <s v="Divya Pillai"/>
        <s v="Ishita Sharma"/>
        <s v="Bluebird Enterprises"/>
        <s v="Ananya Iyer"/>
        <s v="Sunrise Traders"/>
        <s v="Silverline Logistics"/>
        <s v="Tanvi Bhatt"/>
        <s v="Priya Nair"/>
        <s v="Manish Joshi"/>
        <s v="BrightPath Industries"/>
        <s v="Siddharth Gupta"/>
      </sharedItems>
    </cacheField>
    <cacheField name="Region" numFmtId="0">
      <sharedItems count="5">
        <s v="Central"/>
        <s v="South"/>
        <s v="East"/>
        <s v="West"/>
        <s v="North"/>
      </sharedItems>
    </cacheField>
    <cacheField name="Product Category" numFmtId="0">
      <sharedItems count="4">
        <s v="Software"/>
        <s v="Electronics"/>
        <s v="Office Supplies"/>
        <s v="Furniture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99" maxValue="24999"/>
    </cacheField>
    <cacheField name="Discount" numFmtId="0">
      <sharedItems containsSemiMixedTypes="0" containsString="0" containsNumber="1" minValue="0" maxValue="0.15"/>
    </cacheField>
    <cacheField name="Sales Rep" numFmtId="0">
      <sharedItems count="5">
        <s v="SR02"/>
        <s v="SR01"/>
        <s v="SR04"/>
        <s v="SR03"/>
        <s v="SR05"/>
      </sharedItems>
    </cacheField>
    <cacheField name="Payment Method" numFmtId="0">
      <sharedItems/>
    </cacheField>
    <cacheField name="Order Status" numFmtId="0">
      <sharedItems/>
    </cacheField>
    <cacheField name="Line Total" numFmtId="3">
      <sharedItems containsSemiMixedTypes="0" containsString="0" containsNumber="1" minValue="134.1" maxValue="179992.80000000002"/>
    </cacheField>
    <cacheField name="Months (Order Date)" numFmtId="0" databaseField="0">
      <fieldGroup base="1">
        <rangePr groupBy="months" startDate="2024-01-01T00:00:00" endDate="2025-01-3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30/2025"/>
        </groupItems>
      </fieldGroup>
    </cacheField>
    <cacheField name="Quarters (Order Date)" numFmtId="0" databaseField="0">
      <fieldGroup base="1">
        <rangePr groupBy="quarters" startDate="2024-01-01T00:00:00" endDate="2025-01-30T00:00:00"/>
        <groupItems count="6">
          <s v="&lt;1/1/2024"/>
          <s v="Qtr1"/>
          <s v="Qtr2"/>
          <s v="Qtr3"/>
          <s v="Qtr4"/>
          <s v="&gt;1/30/2025"/>
        </groupItems>
      </fieldGroup>
    </cacheField>
    <cacheField name="Years (Order Date)" numFmtId="0" databaseField="0">
      <fieldGroup base="1">
        <rangePr groupBy="years" startDate="2024-01-01T00:00:00" endDate="2025-01-30T00:00:00"/>
        <groupItems count="4">
          <s v="&lt;1/1/2024"/>
          <s v="2024"/>
          <s v="2025"/>
          <s v="&gt;1/3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">
  <r>
    <n v="20002"/>
    <x v="0"/>
    <x v="0"/>
    <x v="0"/>
    <x v="0"/>
    <s v="Design Suite License"/>
    <n v="8"/>
    <n v="5499"/>
    <n v="0.15"/>
    <x v="0"/>
    <s v="Bank Transfer"/>
    <s v="Cancelled"/>
    <n v="37393.199999999997"/>
  </r>
  <r>
    <n v="20003"/>
    <x v="1"/>
    <x v="1"/>
    <x v="1"/>
    <x v="0"/>
    <s v="VPN License"/>
    <n v="3"/>
    <n v="599"/>
    <n v="0"/>
    <x v="1"/>
    <s v="Cash"/>
    <s v="Cancelled"/>
    <n v="1797"/>
  </r>
  <r>
    <n v="20004"/>
    <x v="2"/>
    <x v="2"/>
    <x v="0"/>
    <x v="1"/>
    <s v="Noise Cancelling Headphones"/>
    <n v="8"/>
    <n v="5999"/>
    <n v="0.05"/>
    <x v="1"/>
    <s v="Credit Card"/>
    <s v="Completed"/>
    <n v="45592.4"/>
  </r>
  <r>
    <n v="20005"/>
    <x v="3"/>
    <x v="3"/>
    <x v="0"/>
    <x v="2"/>
    <s v="Whiteboard Markers"/>
    <n v="1"/>
    <n v="199"/>
    <n v="0.15"/>
    <x v="0"/>
    <s v="Cash"/>
    <s v="Completed"/>
    <n v="169.15"/>
  </r>
  <r>
    <n v="20006"/>
    <x v="4"/>
    <x v="4"/>
    <x v="2"/>
    <x v="3"/>
    <s v="Storage Cabinet"/>
    <n v="1"/>
    <n v="5499"/>
    <n v="0"/>
    <x v="2"/>
    <s v="Cash"/>
    <s v="Completed"/>
    <n v="5499"/>
  </r>
  <r>
    <n v="20007"/>
    <x v="5"/>
    <x v="5"/>
    <x v="0"/>
    <x v="3"/>
    <s v="Office Sofa"/>
    <n v="4"/>
    <n v="18999"/>
    <n v="0.1"/>
    <x v="1"/>
    <s v="Cheque"/>
    <s v="Completed"/>
    <n v="68396.400000000009"/>
  </r>
  <r>
    <n v="20008"/>
    <x v="6"/>
    <x v="2"/>
    <x v="1"/>
    <x v="3"/>
    <s v="Desk Lamp"/>
    <n v="2"/>
    <n v="1299"/>
    <n v="0"/>
    <x v="0"/>
    <s v="Credit Card"/>
    <s v="Pending"/>
    <n v="2598"/>
  </r>
  <r>
    <n v="20009"/>
    <x v="7"/>
    <x v="6"/>
    <x v="1"/>
    <x v="0"/>
    <s v="VPN License"/>
    <n v="7"/>
    <n v="599"/>
    <n v="0.15"/>
    <x v="3"/>
    <s v="UPI"/>
    <s v="Completed"/>
    <n v="3564.0499999999997"/>
  </r>
  <r>
    <n v="20010"/>
    <x v="8"/>
    <x v="7"/>
    <x v="1"/>
    <x v="3"/>
    <s v="Office Sofa"/>
    <n v="1"/>
    <n v="18999"/>
    <n v="0.15"/>
    <x v="0"/>
    <s v="Credit Card"/>
    <s v="Completed"/>
    <n v="16149.15"/>
  </r>
  <r>
    <n v="20011"/>
    <x v="9"/>
    <x v="8"/>
    <x v="1"/>
    <x v="1"/>
    <s v="Portable SSD 1TB"/>
    <n v="8"/>
    <n v="6499"/>
    <n v="0.05"/>
    <x v="2"/>
    <s v="Cash"/>
    <s v="Completed"/>
    <n v="49392.399999999994"/>
  </r>
  <r>
    <n v="20012"/>
    <x v="10"/>
    <x v="9"/>
    <x v="1"/>
    <x v="2"/>
    <s v="File Folders Box"/>
    <n v="7"/>
    <n v="429"/>
    <n v="0"/>
    <x v="1"/>
    <s v="UPI"/>
    <s v="Cancelled"/>
    <n v="3003"/>
  </r>
  <r>
    <n v="20013"/>
    <x v="11"/>
    <x v="0"/>
    <x v="0"/>
    <x v="3"/>
    <s v="Ergonomic Chair"/>
    <n v="4"/>
    <n v="8999"/>
    <n v="0.05"/>
    <x v="4"/>
    <s v="Credit Card"/>
    <s v="Completed"/>
    <n v="34196.199999999997"/>
  </r>
  <r>
    <n v="20014"/>
    <x v="12"/>
    <x v="10"/>
    <x v="0"/>
    <x v="2"/>
    <s v="Whiteboard Markers"/>
    <n v="8"/>
    <n v="199"/>
    <n v="0.1"/>
    <x v="3"/>
    <s v="UPI"/>
    <s v="Pending"/>
    <n v="1432.8"/>
  </r>
  <r>
    <n v="20015"/>
    <x v="13"/>
    <x v="4"/>
    <x v="1"/>
    <x v="1"/>
    <s v="USB-C Hub"/>
    <n v="2"/>
    <n v="1499"/>
    <n v="0.05"/>
    <x v="1"/>
    <s v="Cash"/>
    <s v="Pending"/>
    <n v="2848.1"/>
  </r>
  <r>
    <n v="20016"/>
    <x v="14"/>
    <x v="11"/>
    <x v="3"/>
    <x v="3"/>
    <s v="Storage Cabinet"/>
    <n v="3"/>
    <n v="5499"/>
    <n v="0.15"/>
    <x v="0"/>
    <s v="Bank Transfer"/>
    <s v="Pending"/>
    <n v="14022.449999999999"/>
  </r>
  <r>
    <n v="20017"/>
    <x v="15"/>
    <x v="4"/>
    <x v="0"/>
    <x v="2"/>
    <s v="Whiteboard Markers"/>
    <n v="4"/>
    <n v="199"/>
    <n v="0.05"/>
    <x v="0"/>
    <s v="Cheque"/>
    <s v="Pending"/>
    <n v="756.19999999999993"/>
  </r>
  <r>
    <n v="20018"/>
    <x v="16"/>
    <x v="12"/>
    <x v="0"/>
    <x v="1"/>
    <s v="Noise Cancelling Headphones"/>
    <n v="1"/>
    <n v="5999"/>
    <n v="0"/>
    <x v="3"/>
    <s v="Bank Transfer"/>
    <s v="Cancelled"/>
    <n v="5999"/>
  </r>
  <r>
    <n v="20019"/>
    <x v="17"/>
    <x v="13"/>
    <x v="1"/>
    <x v="0"/>
    <s v="Cloud Storage Plan"/>
    <n v="7"/>
    <n v="799"/>
    <n v="0.15"/>
    <x v="1"/>
    <s v="Bank Transfer"/>
    <s v="Completed"/>
    <n v="4754.05"/>
  </r>
  <r>
    <n v="20020"/>
    <x v="18"/>
    <x v="14"/>
    <x v="4"/>
    <x v="0"/>
    <s v="Design Suite License"/>
    <n v="2"/>
    <n v="5499"/>
    <n v="0.1"/>
    <x v="1"/>
    <s v="UPI"/>
    <s v="Pending"/>
    <n v="9898.2000000000007"/>
  </r>
  <r>
    <n v="20021"/>
    <x v="19"/>
    <x v="1"/>
    <x v="2"/>
    <x v="0"/>
    <s v="Project Mgmt Tool"/>
    <n v="1"/>
    <n v="2499"/>
    <n v="0"/>
    <x v="4"/>
    <s v="Cash"/>
    <s v="Completed"/>
    <n v="2499"/>
  </r>
  <r>
    <n v="20022"/>
    <x v="20"/>
    <x v="15"/>
    <x v="0"/>
    <x v="1"/>
    <s v="Webcam HD"/>
    <n v="3"/>
    <n v="1799"/>
    <n v="0.15"/>
    <x v="4"/>
    <s v="Bank Transfer"/>
    <s v="Cancelled"/>
    <n v="4587.45"/>
  </r>
  <r>
    <n v="20023"/>
    <x v="21"/>
    <x v="1"/>
    <x v="4"/>
    <x v="1"/>
    <s v="Wireless Mouse"/>
    <n v="8"/>
    <n v="799"/>
    <n v="0.1"/>
    <x v="1"/>
    <s v="Cash"/>
    <s v="Cancelled"/>
    <n v="5752.8"/>
  </r>
  <r>
    <n v="20024"/>
    <x v="22"/>
    <x v="11"/>
    <x v="4"/>
    <x v="1"/>
    <s v="Portable SSD 1TB"/>
    <n v="2"/>
    <n v="6499"/>
    <n v="0.1"/>
    <x v="1"/>
    <s v="Cheque"/>
    <s v="Cancelled"/>
    <n v="11698.2"/>
  </r>
  <r>
    <n v="20025"/>
    <x v="23"/>
    <x v="5"/>
    <x v="3"/>
    <x v="3"/>
    <s v="Ergonomic Chair"/>
    <n v="3"/>
    <n v="8999"/>
    <n v="0.1"/>
    <x v="1"/>
    <s v="Cheque"/>
    <s v="Completed"/>
    <n v="24297.3"/>
  </r>
  <r>
    <n v="20026"/>
    <x v="24"/>
    <x v="6"/>
    <x v="4"/>
    <x v="0"/>
    <s v="Design Suite License"/>
    <n v="1"/>
    <n v="5499"/>
    <n v="0.15"/>
    <x v="4"/>
    <s v="Credit Card"/>
    <s v="Completed"/>
    <n v="4674.1499999999996"/>
  </r>
  <r>
    <n v="20027"/>
    <x v="25"/>
    <x v="16"/>
    <x v="3"/>
    <x v="1"/>
    <s v="USB-C Hub"/>
    <n v="5"/>
    <n v="1499"/>
    <n v="0.15"/>
    <x v="4"/>
    <s v="Cheque"/>
    <s v="Pending"/>
    <n v="6370.75"/>
  </r>
  <r>
    <n v="20028"/>
    <x v="26"/>
    <x v="17"/>
    <x v="4"/>
    <x v="0"/>
    <s v="Design Suite License"/>
    <n v="2"/>
    <n v="5499"/>
    <n v="0"/>
    <x v="2"/>
    <s v="Credit Card"/>
    <s v="Completed"/>
    <n v="10998"/>
  </r>
  <r>
    <n v="20029"/>
    <x v="27"/>
    <x v="18"/>
    <x v="2"/>
    <x v="1"/>
    <s v="Portable SSD 1TB"/>
    <n v="8"/>
    <n v="6499"/>
    <n v="0.1"/>
    <x v="0"/>
    <s v="Cash"/>
    <s v="Completed"/>
    <n v="46792.800000000003"/>
  </r>
  <r>
    <n v="20030"/>
    <x v="28"/>
    <x v="16"/>
    <x v="3"/>
    <x v="2"/>
    <s v="Ink Cartridge"/>
    <n v="8"/>
    <n v="899"/>
    <n v="0.15"/>
    <x v="3"/>
    <s v="Bank Transfer"/>
    <s v="Cancelled"/>
    <n v="6113.2"/>
  </r>
  <r>
    <n v="20031"/>
    <x v="29"/>
    <x v="6"/>
    <x v="2"/>
    <x v="0"/>
    <s v="Project Mgmt Tool"/>
    <n v="4"/>
    <n v="2499"/>
    <n v="0.15"/>
    <x v="0"/>
    <s v="Bank Transfer"/>
    <s v="Completed"/>
    <n v="8496.6"/>
  </r>
  <r>
    <n v="20032"/>
    <x v="30"/>
    <x v="19"/>
    <x v="1"/>
    <x v="0"/>
    <s v="Cloud Storage Plan"/>
    <n v="1"/>
    <n v="799"/>
    <n v="0"/>
    <x v="1"/>
    <s v="Cheque"/>
    <s v="Pending"/>
    <n v="799"/>
  </r>
  <r>
    <n v="20033"/>
    <x v="31"/>
    <x v="13"/>
    <x v="3"/>
    <x v="3"/>
    <s v="Filing Cabinet"/>
    <n v="7"/>
    <n v="6999"/>
    <n v="0.15"/>
    <x v="3"/>
    <s v="Cash"/>
    <s v="Pending"/>
    <n v="41644.049999999996"/>
  </r>
  <r>
    <n v="20034"/>
    <x v="32"/>
    <x v="12"/>
    <x v="2"/>
    <x v="3"/>
    <s v="Standing Desk"/>
    <n v="1"/>
    <n v="15999"/>
    <n v="0.1"/>
    <x v="4"/>
    <s v="UPI"/>
    <s v="Pending"/>
    <n v="14399.1"/>
  </r>
  <r>
    <n v="20035"/>
    <x v="33"/>
    <x v="2"/>
    <x v="2"/>
    <x v="1"/>
    <s v="27in Monitor"/>
    <n v="7"/>
    <n v="12999"/>
    <n v="0.15"/>
    <x v="0"/>
    <s v="Bank Transfer"/>
    <s v="Completed"/>
    <n v="77344.05"/>
  </r>
  <r>
    <n v="20036"/>
    <x v="34"/>
    <x v="15"/>
    <x v="1"/>
    <x v="1"/>
    <s v="Portable SSD 1TB"/>
    <n v="2"/>
    <n v="6499"/>
    <n v="0.1"/>
    <x v="0"/>
    <s v="Cheque"/>
    <s v="Pending"/>
    <n v="11698.2"/>
  </r>
  <r>
    <n v="20037"/>
    <x v="35"/>
    <x v="20"/>
    <x v="2"/>
    <x v="2"/>
    <s v="A4 Paper Ream"/>
    <n v="8"/>
    <n v="249"/>
    <n v="0"/>
    <x v="3"/>
    <s v="Cash"/>
    <s v="Cancelled"/>
    <n v="1992"/>
  </r>
  <r>
    <n v="20038"/>
    <x v="36"/>
    <x v="21"/>
    <x v="3"/>
    <x v="2"/>
    <s v="File Folders Box"/>
    <n v="4"/>
    <n v="429"/>
    <n v="0"/>
    <x v="0"/>
    <s v="Cheque"/>
    <s v="Pending"/>
    <n v="1716"/>
  </r>
  <r>
    <n v="20039"/>
    <x v="37"/>
    <x v="16"/>
    <x v="1"/>
    <x v="2"/>
    <s v="A4 Paper Ream"/>
    <n v="7"/>
    <n v="249"/>
    <n v="0.1"/>
    <x v="1"/>
    <s v="Credit Card"/>
    <s v="Completed"/>
    <n v="1568.7"/>
  </r>
  <r>
    <n v="20040"/>
    <x v="38"/>
    <x v="22"/>
    <x v="2"/>
    <x v="2"/>
    <s v="File Folders Box"/>
    <n v="2"/>
    <n v="429"/>
    <n v="0.1"/>
    <x v="3"/>
    <s v="Credit Card"/>
    <s v="Pending"/>
    <n v="772.2"/>
  </r>
  <r>
    <n v="20041"/>
    <x v="39"/>
    <x v="9"/>
    <x v="2"/>
    <x v="1"/>
    <s v="Wireless Mouse"/>
    <n v="8"/>
    <n v="799"/>
    <n v="0.1"/>
    <x v="2"/>
    <s v="Credit Card"/>
    <s v="Completed"/>
    <n v="5752.8"/>
  </r>
  <r>
    <n v="20042"/>
    <x v="40"/>
    <x v="16"/>
    <x v="1"/>
    <x v="1"/>
    <s v="Noise Cancelling Headphones"/>
    <n v="1"/>
    <n v="5999"/>
    <n v="0.05"/>
    <x v="2"/>
    <s v="Bank Transfer"/>
    <s v="Cancelled"/>
    <n v="5699.05"/>
  </r>
  <r>
    <n v="20043"/>
    <x v="41"/>
    <x v="13"/>
    <x v="0"/>
    <x v="0"/>
    <s v="CRM Subscription"/>
    <n v="2"/>
    <n v="3999"/>
    <n v="0.05"/>
    <x v="3"/>
    <s v="Cash"/>
    <s v="Cancelled"/>
    <n v="7598.0999999999995"/>
  </r>
  <r>
    <n v="20044"/>
    <x v="42"/>
    <x v="14"/>
    <x v="2"/>
    <x v="2"/>
    <s v="Desk Organizer"/>
    <n v="5"/>
    <n v="599"/>
    <n v="0.15"/>
    <x v="0"/>
    <s v="Cash"/>
    <s v="Cancelled"/>
    <n v="2545.75"/>
  </r>
  <r>
    <n v="20045"/>
    <x v="38"/>
    <x v="7"/>
    <x v="0"/>
    <x v="3"/>
    <s v="Storage Cabinet"/>
    <n v="4"/>
    <n v="5499"/>
    <n v="0.15"/>
    <x v="1"/>
    <s v="Cash"/>
    <s v="Pending"/>
    <n v="18696.599999999999"/>
  </r>
  <r>
    <n v="20046"/>
    <x v="43"/>
    <x v="5"/>
    <x v="1"/>
    <x v="1"/>
    <s v="Wireless Mouse"/>
    <n v="7"/>
    <n v="799"/>
    <n v="0"/>
    <x v="1"/>
    <s v="Cash"/>
    <s v="Pending"/>
    <n v="5593"/>
  </r>
  <r>
    <n v="20047"/>
    <x v="44"/>
    <x v="23"/>
    <x v="1"/>
    <x v="0"/>
    <s v="CRM Subscription"/>
    <n v="5"/>
    <n v="3999"/>
    <n v="0.05"/>
    <x v="3"/>
    <s v="Cheque"/>
    <s v="Pending"/>
    <n v="18995.25"/>
  </r>
  <r>
    <n v="20048"/>
    <x v="45"/>
    <x v="2"/>
    <x v="2"/>
    <x v="3"/>
    <s v="Standing Desk"/>
    <n v="4"/>
    <n v="15999"/>
    <n v="0.15"/>
    <x v="0"/>
    <s v="Credit Card"/>
    <s v="Completed"/>
    <n v="54396.6"/>
  </r>
  <r>
    <n v="20049"/>
    <x v="46"/>
    <x v="1"/>
    <x v="2"/>
    <x v="2"/>
    <s v="Sticky Notes Pack"/>
    <n v="4"/>
    <n v="149"/>
    <n v="0"/>
    <x v="3"/>
    <s v="Bank Transfer"/>
    <s v="Cancelled"/>
    <n v="596"/>
  </r>
  <r>
    <n v="20050"/>
    <x v="47"/>
    <x v="17"/>
    <x v="2"/>
    <x v="0"/>
    <s v="Antivirus License"/>
    <n v="8"/>
    <n v="999"/>
    <n v="0"/>
    <x v="0"/>
    <s v="Cash"/>
    <s v="Pending"/>
    <n v="7992"/>
  </r>
  <r>
    <n v="20051"/>
    <x v="48"/>
    <x v="14"/>
    <x v="0"/>
    <x v="1"/>
    <s v="Noise Cancelling Headphones"/>
    <n v="7"/>
    <n v="5999"/>
    <n v="0.05"/>
    <x v="0"/>
    <s v="Cash"/>
    <s v="Completed"/>
    <n v="39893.35"/>
  </r>
  <r>
    <n v="20052"/>
    <x v="49"/>
    <x v="17"/>
    <x v="2"/>
    <x v="2"/>
    <s v="Whiteboard Markers"/>
    <n v="6"/>
    <n v="199"/>
    <n v="0.05"/>
    <x v="0"/>
    <s v="Bank Transfer"/>
    <s v="Completed"/>
    <n v="1134.3"/>
  </r>
  <r>
    <n v="20053"/>
    <x v="25"/>
    <x v="5"/>
    <x v="2"/>
    <x v="1"/>
    <s v="27in Monitor"/>
    <n v="4"/>
    <n v="12999"/>
    <n v="0.05"/>
    <x v="2"/>
    <s v="Credit Card"/>
    <s v="Pending"/>
    <n v="49396.2"/>
  </r>
  <r>
    <n v="20054"/>
    <x v="50"/>
    <x v="4"/>
    <x v="4"/>
    <x v="0"/>
    <s v="Design Suite License"/>
    <n v="3"/>
    <n v="5499"/>
    <n v="0.05"/>
    <x v="1"/>
    <s v="Bank Transfer"/>
    <s v="Cancelled"/>
    <n v="15672.15"/>
  </r>
  <r>
    <n v="20055"/>
    <x v="51"/>
    <x v="15"/>
    <x v="1"/>
    <x v="3"/>
    <s v="Office Sofa"/>
    <n v="2"/>
    <n v="18999"/>
    <n v="0.1"/>
    <x v="1"/>
    <s v="Cheque"/>
    <s v="Completed"/>
    <n v="34198.200000000004"/>
  </r>
  <r>
    <n v="20056"/>
    <x v="33"/>
    <x v="24"/>
    <x v="4"/>
    <x v="1"/>
    <s v="Wireless Mouse"/>
    <n v="8"/>
    <n v="799"/>
    <n v="0.05"/>
    <x v="0"/>
    <s v="Bank Transfer"/>
    <s v="Completed"/>
    <n v="6072.4"/>
  </r>
  <r>
    <n v="20057"/>
    <x v="52"/>
    <x v="3"/>
    <x v="4"/>
    <x v="3"/>
    <s v="Standing Desk"/>
    <n v="1"/>
    <n v="15999"/>
    <n v="0.05"/>
    <x v="1"/>
    <s v="UPI"/>
    <s v="Pending"/>
    <n v="15199.05"/>
  </r>
  <r>
    <n v="20058"/>
    <x v="53"/>
    <x v="17"/>
    <x v="2"/>
    <x v="0"/>
    <s v="CRM Subscription"/>
    <n v="6"/>
    <n v="3999"/>
    <n v="0.15"/>
    <x v="1"/>
    <s v="Credit Card"/>
    <s v="Completed"/>
    <n v="20394.899999999998"/>
  </r>
  <r>
    <n v="20059"/>
    <x v="15"/>
    <x v="18"/>
    <x v="3"/>
    <x v="2"/>
    <s v="File Folders Box"/>
    <n v="8"/>
    <n v="429"/>
    <n v="0.1"/>
    <x v="0"/>
    <s v="Cash"/>
    <s v="Completed"/>
    <n v="3088.8"/>
  </r>
  <r>
    <n v="20060"/>
    <x v="54"/>
    <x v="0"/>
    <x v="3"/>
    <x v="1"/>
    <s v="Wireless Mouse"/>
    <n v="6"/>
    <n v="799"/>
    <n v="0"/>
    <x v="4"/>
    <s v="Cash"/>
    <s v="Completed"/>
    <n v="4794"/>
  </r>
  <r>
    <n v="20061"/>
    <x v="55"/>
    <x v="21"/>
    <x v="1"/>
    <x v="3"/>
    <s v="Conference Table"/>
    <n v="5"/>
    <n v="24999"/>
    <n v="0"/>
    <x v="2"/>
    <s v="Bank Transfer"/>
    <s v="Pending"/>
    <n v="124995"/>
  </r>
  <r>
    <n v="20062"/>
    <x v="56"/>
    <x v="21"/>
    <x v="1"/>
    <x v="3"/>
    <s v="Desk Lamp"/>
    <n v="3"/>
    <n v="1299"/>
    <n v="0.15"/>
    <x v="1"/>
    <s v="UPI"/>
    <s v="Pending"/>
    <n v="3312.45"/>
  </r>
  <r>
    <n v="20063"/>
    <x v="57"/>
    <x v="17"/>
    <x v="4"/>
    <x v="0"/>
    <s v="Antivirus License"/>
    <n v="1"/>
    <n v="999"/>
    <n v="0.1"/>
    <x v="0"/>
    <s v="UPI"/>
    <s v="Cancelled"/>
    <n v="899.1"/>
  </r>
  <r>
    <n v="20064"/>
    <x v="58"/>
    <x v="24"/>
    <x v="0"/>
    <x v="3"/>
    <s v="Office Sofa"/>
    <n v="4"/>
    <n v="18999"/>
    <n v="0.15"/>
    <x v="1"/>
    <s v="Cheque"/>
    <s v="Cancelled"/>
    <n v="64596.6"/>
  </r>
  <r>
    <n v="20065"/>
    <x v="59"/>
    <x v="25"/>
    <x v="0"/>
    <x v="0"/>
    <s v="VPN License"/>
    <n v="4"/>
    <n v="599"/>
    <n v="0"/>
    <x v="1"/>
    <s v="Credit Card"/>
    <s v="Cancelled"/>
    <n v="2396"/>
  </r>
  <r>
    <n v="20066"/>
    <x v="60"/>
    <x v="13"/>
    <x v="4"/>
    <x v="1"/>
    <s v="Laptop Stand"/>
    <n v="5"/>
    <n v="1199"/>
    <n v="0.15"/>
    <x v="0"/>
    <s v="Cheque"/>
    <s v="Completed"/>
    <n v="5095.75"/>
  </r>
  <r>
    <n v="20067"/>
    <x v="61"/>
    <x v="8"/>
    <x v="0"/>
    <x v="1"/>
    <s v="Mechanical Keyboard"/>
    <n v="5"/>
    <n v="2999"/>
    <n v="0.1"/>
    <x v="4"/>
    <s v="Cheque"/>
    <s v="Cancelled"/>
    <n v="13495.5"/>
  </r>
  <r>
    <n v="20068"/>
    <x v="62"/>
    <x v="24"/>
    <x v="3"/>
    <x v="1"/>
    <s v="Portable SSD 1TB"/>
    <n v="2"/>
    <n v="6499"/>
    <n v="0"/>
    <x v="2"/>
    <s v="Bank Transfer"/>
    <s v="Pending"/>
    <n v="12998"/>
  </r>
  <r>
    <n v="20069"/>
    <x v="63"/>
    <x v="13"/>
    <x v="3"/>
    <x v="1"/>
    <s v="Noise Cancelling Headphones"/>
    <n v="8"/>
    <n v="5999"/>
    <n v="0.15"/>
    <x v="4"/>
    <s v="UPI"/>
    <s v="Pending"/>
    <n v="40793.199999999997"/>
  </r>
  <r>
    <n v="20070"/>
    <x v="64"/>
    <x v="26"/>
    <x v="2"/>
    <x v="3"/>
    <s v="Storage Cabinet"/>
    <n v="5"/>
    <n v="5499"/>
    <n v="0.1"/>
    <x v="1"/>
    <s v="Credit Card"/>
    <s v="Completed"/>
    <n v="24745.5"/>
  </r>
  <r>
    <n v="20071"/>
    <x v="65"/>
    <x v="16"/>
    <x v="3"/>
    <x v="1"/>
    <s v="27in Monitor"/>
    <n v="7"/>
    <n v="12999"/>
    <n v="0.15"/>
    <x v="1"/>
    <s v="Cash"/>
    <s v="Cancelled"/>
    <n v="77344.05"/>
  </r>
  <r>
    <n v="20072"/>
    <x v="66"/>
    <x v="23"/>
    <x v="2"/>
    <x v="3"/>
    <s v="Standing Desk"/>
    <n v="4"/>
    <n v="15999"/>
    <n v="0.15"/>
    <x v="0"/>
    <s v="Credit Card"/>
    <s v="Cancelled"/>
    <n v="54396.6"/>
  </r>
  <r>
    <n v="20073"/>
    <x v="67"/>
    <x v="26"/>
    <x v="4"/>
    <x v="1"/>
    <s v="Portable SSD 1TB"/>
    <n v="3"/>
    <n v="6499"/>
    <n v="0.05"/>
    <x v="1"/>
    <s v="Cash"/>
    <s v="Pending"/>
    <n v="18522.149999999998"/>
  </r>
  <r>
    <n v="20074"/>
    <x v="68"/>
    <x v="13"/>
    <x v="1"/>
    <x v="0"/>
    <s v="Antivirus License"/>
    <n v="4"/>
    <n v="999"/>
    <n v="0"/>
    <x v="1"/>
    <s v="UPI"/>
    <s v="Pending"/>
    <n v="3996"/>
  </r>
  <r>
    <n v="20075"/>
    <x v="57"/>
    <x v="6"/>
    <x v="3"/>
    <x v="2"/>
    <s v="File Folders Box"/>
    <n v="8"/>
    <n v="429"/>
    <n v="0.1"/>
    <x v="3"/>
    <s v="Cash"/>
    <s v="Completed"/>
    <n v="3088.8"/>
  </r>
  <r>
    <n v="20076"/>
    <x v="69"/>
    <x v="13"/>
    <x v="2"/>
    <x v="3"/>
    <s v="Bookshelf"/>
    <n v="4"/>
    <n v="4999"/>
    <n v="0.15"/>
    <x v="4"/>
    <s v="Cash"/>
    <s v="Pending"/>
    <n v="16996.599999999999"/>
  </r>
  <r>
    <n v="20077"/>
    <x v="70"/>
    <x v="20"/>
    <x v="1"/>
    <x v="3"/>
    <s v="Conference Table"/>
    <n v="4"/>
    <n v="24999"/>
    <n v="0.1"/>
    <x v="0"/>
    <s v="Cash"/>
    <s v="Cancelled"/>
    <n v="89996.400000000009"/>
  </r>
  <r>
    <n v="20078"/>
    <x v="71"/>
    <x v="27"/>
    <x v="3"/>
    <x v="2"/>
    <s v="A4 Paper Ream"/>
    <n v="1"/>
    <n v="249"/>
    <n v="0"/>
    <x v="1"/>
    <s v="Cash"/>
    <s v="Completed"/>
    <n v="249"/>
  </r>
  <r>
    <n v="20079"/>
    <x v="72"/>
    <x v="5"/>
    <x v="1"/>
    <x v="1"/>
    <s v="Laptop Stand"/>
    <n v="5"/>
    <n v="1199"/>
    <n v="0"/>
    <x v="4"/>
    <s v="Bank Transfer"/>
    <s v="Cancelled"/>
    <n v="5995"/>
  </r>
  <r>
    <n v="20080"/>
    <x v="53"/>
    <x v="16"/>
    <x v="2"/>
    <x v="3"/>
    <s v="Storage Cabinet"/>
    <n v="8"/>
    <n v="5499"/>
    <n v="0.1"/>
    <x v="2"/>
    <s v="Bank Transfer"/>
    <s v="Completed"/>
    <n v="39592.800000000003"/>
  </r>
  <r>
    <n v="20081"/>
    <x v="73"/>
    <x v="21"/>
    <x v="2"/>
    <x v="1"/>
    <s v="Portable SSD 1TB"/>
    <n v="4"/>
    <n v="6499"/>
    <n v="0.15"/>
    <x v="2"/>
    <s v="Bank Transfer"/>
    <s v="Pending"/>
    <n v="22096.6"/>
  </r>
  <r>
    <n v="20082"/>
    <x v="74"/>
    <x v="4"/>
    <x v="2"/>
    <x v="2"/>
    <s v="Ink Cartridge"/>
    <n v="5"/>
    <n v="899"/>
    <n v="0.05"/>
    <x v="4"/>
    <s v="Credit Card"/>
    <s v="Pending"/>
    <n v="4270.25"/>
  </r>
  <r>
    <n v="20083"/>
    <x v="75"/>
    <x v="6"/>
    <x v="3"/>
    <x v="3"/>
    <s v="Standing Desk"/>
    <n v="2"/>
    <n v="15999"/>
    <n v="0.15"/>
    <x v="2"/>
    <s v="UPI"/>
    <s v="Completed"/>
    <n v="27198.3"/>
  </r>
  <r>
    <n v="20084"/>
    <x v="76"/>
    <x v="1"/>
    <x v="3"/>
    <x v="1"/>
    <s v="Mechanical Keyboard"/>
    <n v="4"/>
    <n v="2999"/>
    <n v="0"/>
    <x v="3"/>
    <s v="UPI"/>
    <s v="Completed"/>
    <n v="11996"/>
  </r>
  <r>
    <n v="20085"/>
    <x v="77"/>
    <x v="16"/>
    <x v="3"/>
    <x v="2"/>
    <s v="Ink Cartridge"/>
    <n v="6"/>
    <n v="899"/>
    <n v="0.1"/>
    <x v="4"/>
    <s v="Cash"/>
    <s v="Cancelled"/>
    <n v="4854.6000000000004"/>
  </r>
  <r>
    <n v="20086"/>
    <x v="78"/>
    <x v="20"/>
    <x v="3"/>
    <x v="3"/>
    <s v="Storage Cabinet"/>
    <n v="5"/>
    <n v="5499"/>
    <n v="0.15"/>
    <x v="4"/>
    <s v="Bank Transfer"/>
    <s v="Completed"/>
    <n v="23370.75"/>
  </r>
  <r>
    <n v="20087"/>
    <x v="79"/>
    <x v="25"/>
    <x v="0"/>
    <x v="3"/>
    <s v="Office Sofa"/>
    <n v="1"/>
    <n v="18999"/>
    <n v="0.1"/>
    <x v="2"/>
    <s v="Bank Transfer"/>
    <s v="Cancelled"/>
    <n v="17099.100000000002"/>
  </r>
  <r>
    <n v="20088"/>
    <x v="19"/>
    <x v="5"/>
    <x v="3"/>
    <x v="3"/>
    <s v="Desk Lamp"/>
    <n v="3"/>
    <n v="1299"/>
    <n v="0.05"/>
    <x v="3"/>
    <s v="Credit Card"/>
    <s v="Completed"/>
    <n v="3702.1499999999996"/>
  </r>
  <r>
    <n v="20089"/>
    <x v="80"/>
    <x v="19"/>
    <x v="3"/>
    <x v="1"/>
    <s v="27in Monitor"/>
    <n v="5"/>
    <n v="12999"/>
    <n v="0"/>
    <x v="1"/>
    <s v="Cash"/>
    <s v="Cancelled"/>
    <n v="64995"/>
  </r>
  <r>
    <n v="20090"/>
    <x v="81"/>
    <x v="21"/>
    <x v="4"/>
    <x v="3"/>
    <s v="Standing Desk"/>
    <n v="6"/>
    <n v="15999"/>
    <n v="0"/>
    <x v="3"/>
    <s v="Credit Card"/>
    <s v="Completed"/>
    <n v="95994"/>
  </r>
  <r>
    <n v="20091"/>
    <x v="82"/>
    <x v="20"/>
    <x v="3"/>
    <x v="2"/>
    <s v="Stapler Set"/>
    <n v="7"/>
    <n v="349"/>
    <n v="0.05"/>
    <x v="4"/>
    <s v="UPI"/>
    <s v="Pending"/>
    <n v="2320.85"/>
  </r>
  <r>
    <n v="20092"/>
    <x v="83"/>
    <x v="11"/>
    <x v="3"/>
    <x v="0"/>
    <s v="Cloud Storage Plan"/>
    <n v="6"/>
    <n v="799"/>
    <n v="0.1"/>
    <x v="2"/>
    <s v="Cash"/>
    <s v="Cancelled"/>
    <n v="4314.6000000000004"/>
  </r>
  <r>
    <n v="20093"/>
    <x v="84"/>
    <x v="22"/>
    <x v="3"/>
    <x v="1"/>
    <s v="Wireless Mouse"/>
    <n v="7"/>
    <n v="799"/>
    <n v="0.1"/>
    <x v="1"/>
    <s v="Cheque"/>
    <s v="Cancelled"/>
    <n v="5033.7"/>
  </r>
  <r>
    <n v="20094"/>
    <x v="85"/>
    <x v="9"/>
    <x v="1"/>
    <x v="1"/>
    <s v="Webcam HD"/>
    <n v="1"/>
    <n v="1799"/>
    <n v="0"/>
    <x v="0"/>
    <s v="Bank Transfer"/>
    <s v="Cancelled"/>
    <n v="1799"/>
  </r>
  <r>
    <n v="20095"/>
    <x v="86"/>
    <x v="25"/>
    <x v="3"/>
    <x v="0"/>
    <s v="VPN License"/>
    <n v="3"/>
    <n v="599"/>
    <n v="0.1"/>
    <x v="4"/>
    <s v="UPI"/>
    <s v="Pending"/>
    <n v="1617.3"/>
  </r>
  <r>
    <n v="20096"/>
    <x v="87"/>
    <x v="4"/>
    <x v="1"/>
    <x v="1"/>
    <s v="Portable SSD 1TB"/>
    <n v="5"/>
    <n v="6499"/>
    <n v="0"/>
    <x v="0"/>
    <s v="Credit Card"/>
    <s v="Pending"/>
    <n v="32495"/>
  </r>
  <r>
    <n v="20097"/>
    <x v="16"/>
    <x v="14"/>
    <x v="1"/>
    <x v="1"/>
    <s v="Portable SSD 1TB"/>
    <n v="1"/>
    <n v="6499"/>
    <n v="0.1"/>
    <x v="3"/>
    <s v="Bank Transfer"/>
    <s v="Cancelled"/>
    <n v="5849.1"/>
  </r>
  <r>
    <n v="20098"/>
    <x v="88"/>
    <x v="27"/>
    <x v="3"/>
    <x v="2"/>
    <s v="Ballpoint Pens Pack"/>
    <n v="4"/>
    <n v="99"/>
    <n v="0.15"/>
    <x v="0"/>
    <s v="UPI"/>
    <s v="Cancelled"/>
    <n v="336.59999999999997"/>
  </r>
  <r>
    <n v="20099"/>
    <x v="89"/>
    <x v="15"/>
    <x v="0"/>
    <x v="0"/>
    <s v="Cloud Storage Plan"/>
    <n v="8"/>
    <n v="799"/>
    <n v="0.15"/>
    <x v="1"/>
    <s v="Cheque"/>
    <s v="Completed"/>
    <n v="5433.2"/>
  </r>
  <r>
    <n v="20100"/>
    <x v="62"/>
    <x v="13"/>
    <x v="0"/>
    <x v="0"/>
    <s v="Antivirus License"/>
    <n v="4"/>
    <n v="999"/>
    <n v="0.05"/>
    <x v="3"/>
    <s v="Credit Card"/>
    <s v="Cancelled"/>
    <n v="3796.2"/>
  </r>
  <r>
    <n v="20101"/>
    <x v="90"/>
    <x v="22"/>
    <x v="1"/>
    <x v="2"/>
    <s v="A4 Paper Ream"/>
    <n v="8"/>
    <n v="249"/>
    <n v="0.1"/>
    <x v="2"/>
    <s v="Cash"/>
    <s v="Completed"/>
    <n v="1792.8"/>
  </r>
  <r>
    <n v="20102"/>
    <x v="91"/>
    <x v="0"/>
    <x v="0"/>
    <x v="0"/>
    <s v="Project Mgmt Tool"/>
    <n v="6"/>
    <n v="2499"/>
    <n v="0.05"/>
    <x v="0"/>
    <s v="Cash"/>
    <s v="Pending"/>
    <n v="14244.3"/>
  </r>
  <r>
    <n v="20103"/>
    <x v="86"/>
    <x v="19"/>
    <x v="1"/>
    <x v="1"/>
    <s v="27in Monitor"/>
    <n v="3"/>
    <n v="12999"/>
    <n v="0"/>
    <x v="0"/>
    <s v="Credit Card"/>
    <s v="Pending"/>
    <n v="38997"/>
  </r>
  <r>
    <n v="20104"/>
    <x v="92"/>
    <x v="21"/>
    <x v="0"/>
    <x v="3"/>
    <s v="Standing Desk"/>
    <n v="8"/>
    <n v="15999"/>
    <n v="0.15"/>
    <x v="4"/>
    <s v="Cash"/>
    <s v="Pending"/>
    <n v="108793.2"/>
  </r>
  <r>
    <n v="20105"/>
    <x v="9"/>
    <x v="5"/>
    <x v="3"/>
    <x v="1"/>
    <s v="Laptop Stand"/>
    <n v="7"/>
    <n v="1199"/>
    <n v="0.05"/>
    <x v="0"/>
    <s v="Credit Card"/>
    <s v="Cancelled"/>
    <n v="7973.3499999999995"/>
  </r>
  <r>
    <n v="20106"/>
    <x v="93"/>
    <x v="16"/>
    <x v="2"/>
    <x v="0"/>
    <s v="Design Suite License"/>
    <n v="8"/>
    <n v="5499"/>
    <n v="0.05"/>
    <x v="2"/>
    <s v="Credit Card"/>
    <s v="Cancelled"/>
    <n v="41792.400000000001"/>
  </r>
  <r>
    <n v="20107"/>
    <x v="94"/>
    <x v="15"/>
    <x v="1"/>
    <x v="3"/>
    <s v="Storage Cabinet"/>
    <n v="2"/>
    <n v="5499"/>
    <n v="0.1"/>
    <x v="1"/>
    <s v="Cheque"/>
    <s v="Cancelled"/>
    <n v="9898.2000000000007"/>
  </r>
  <r>
    <n v="20108"/>
    <x v="95"/>
    <x v="0"/>
    <x v="3"/>
    <x v="0"/>
    <s v="VPN License"/>
    <n v="2"/>
    <n v="599"/>
    <n v="0.15"/>
    <x v="2"/>
    <s v="Bank Transfer"/>
    <s v="Pending"/>
    <n v="1018.3"/>
  </r>
  <r>
    <n v="20109"/>
    <x v="96"/>
    <x v="11"/>
    <x v="2"/>
    <x v="1"/>
    <s v="Portable SSD 1TB"/>
    <n v="1"/>
    <n v="6499"/>
    <n v="0.05"/>
    <x v="2"/>
    <s v="Cash"/>
    <s v="Cancelled"/>
    <n v="6174.0499999999993"/>
  </r>
  <r>
    <n v="20110"/>
    <x v="97"/>
    <x v="14"/>
    <x v="1"/>
    <x v="3"/>
    <s v="Office Sofa"/>
    <n v="7"/>
    <n v="18999"/>
    <n v="0"/>
    <x v="2"/>
    <s v="Credit Card"/>
    <s v="Pending"/>
    <n v="132993"/>
  </r>
  <r>
    <n v="20111"/>
    <x v="1"/>
    <x v="19"/>
    <x v="3"/>
    <x v="3"/>
    <s v="Conference Table"/>
    <n v="8"/>
    <n v="24999"/>
    <n v="0.1"/>
    <x v="1"/>
    <s v="Credit Card"/>
    <s v="Completed"/>
    <n v="179992.80000000002"/>
  </r>
  <r>
    <n v="20112"/>
    <x v="98"/>
    <x v="25"/>
    <x v="4"/>
    <x v="1"/>
    <s v="27in Monitor"/>
    <n v="3"/>
    <n v="12999"/>
    <n v="0.05"/>
    <x v="2"/>
    <s v="Cash"/>
    <s v="Cancelled"/>
    <n v="37047.15"/>
  </r>
  <r>
    <n v="20113"/>
    <x v="99"/>
    <x v="7"/>
    <x v="3"/>
    <x v="1"/>
    <s v="USB-C Hub"/>
    <n v="4"/>
    <n v="1499"/>
    <n v="0"/>
    <x v="2"/>
    <s v="Credit Card"/>
    <s v="Pending"/>
    <n v="5996"/>
  </r>
  <r>
    <n v="20114"/>
    <x v="100"/>
    <x v="11"/>
    <x v="3"/>
    <x v="0"/>
    <s v="Design Suite License"/>
    <n v="3"/>
    <n v="5499"/>
    <n v="0.05"/>
    <x v="2"/>
    <s v="UPI"/>
    <s v="Pending"/>
    <n v="15672.15"/>
  </r>
  <r>
    <n v="20115"/>
    <x v="101"/>
    <x v="17"/>
    <x v="0"/>
    <x v="1"/>
    <s v="Noise Cancelling Headphones"/>
    <n v="6"/>
    <n v="5999"/>
    <n v="0.05"/>
    <x v="1"/>
    <s v="UPI"/>
    <s v="Pending"/>
    <n v="34194.299999999996"/>
  </r>
  <r>
    <n v="20116"/>
    <x v="102"/>
    <x v="8"/>
    <x v="3"/>
    <x v="2"/>
    <s v="Ink Cartridge"/>
    <n v="5"/>
    <n v="899"/>
    <n v="0.15"/>
    <x v="0"/>
    <s v="Cash"/>
    <s v="Pending"/>
    <n v="3820.75"/>
  </r>
  <r>
    <n v="20117"/>
    <x v="100"/>
    <x v="8"/>
    <x v="2"/>
    <x v="3"/>
    <s v="Standing Desk"/>
    <n v="3"/>
    <n v="15999"/>
    <n v="0.1"/>
    <x v="4"/>
    <s v="Bank Transfer"/>
    <s v="Pending"/>
    <n v="43197.3"/>
  </r>
  <r>
    <n v="20118"/>
    <x v="103"/>
    <x v="15"/>
    <x v="1"/>
    <x v="2"/>
    <s v="Whiteboard Markers"/>
    <n v="4"/>
    <n v="199"/>
    <n v="0"/>
    <x v="1"/>
    <s v="Bank Transfer"/>
    <s v="Completed"/>
    <n v="796"/>
  </r>
  <r>
    <n v="20119"/>
    <x v="104"/>
    <x v="5"/>
    <x v="2"/>
    <x v="0"/>
    <s v="Design Suite License"/>
    <n v="7"/>
    <n v="5499"/>
    <n v="0.1"/>
    <x v="3"/>
    <s v="Cheque"/>
    <s v="Completed"/>
    <n v="34643.700000000004"/>
  </r>
  <r>
    <n v="20120"/>
    <x v="58"/>
    <x v="8"/>
    <x v="0"/>
    <x v="0"/>
    <s v="VPN License"/>
    <n v="3"/>
    <n v="599"/>
    <n v="0.05"/>
    <x v="4"/>
    <s v="Credit Card"/>
    <s v="Cancelled"/>
    <n v="1707.1499999999999"/>
  </r>
  <r>
    <n v="20121"/>
    <x v="105"/>
    <x v="19"/>
    <x v="4"/>
    <x v="3"/>
    <s v="Bookshelf"/>
    <n v="6"/>
    <n v="4999"/>
    <n v="0.05"/>
    <x v="3"/>
    <s v="UPI"/>
    <s v="Completed"/>
    <n v="28494.3"/>
  </r>
  <r>
    <n v="20122"/>
    <x v="106"/>
    <x v="12"/>
    <x v="3"/>
    <x v="3"/>
    <s v="Bookshelf"/>
    <n v="3"/>
    <n v="4999"/>
    <n v="0"/>
    <x v="0"/>
    <s v="Bank Transfer"/>
    <s v="Pending"/>
    <n v="14997"/>
  </r>
  <r>
    <n v="20123"/>
    <x v="107"/>
    <x v="9"/>
    <x v="3"/>
    <x v="0"/>
    <s v="Design Suite License"/>
    <n v="1"/>
    <n v="5499"/>
    <n v="0.05"/>
    <x v="1"/>
    <s v="Bank Transfer"/>
    <s v="Cancelled"/>
    <n v="5224.05"/>
  </r>
  <r>
    <n v="20124"/>
    <x v="108"/>
    <x v="13"/>
    <x v="1"/>
    <x v="0"/>
    <s v="Antivirus License"/>
    <n v="7"/>
    <n v="999"/>
    <n v="0.05"/>
    <x v="3"/>
    <s v="Bank Transfer"/>
    <s v="Cancelled"/>
    <n v="6643.3499999999995"/>
  </r>
  <r>
    <n v="20125"/>
    <x v="50"/>
    <x v="23"/>
    <x v="0"/>
    <x v="3"/>
    <s v="Ergonomic Chair"/>
    <n v="1"/>
    <n v="8999"/>
    <n v="0.05"/>
    <x v="1"/>
    <s v="Cheque"/>
    <s v="Pending"/>
    <n v="8549.0499999999993"/>
  </r>
  <r>
    <n v="20126"/>
    <x v="109"/>
    <x v="3"/>
    <x v="3"/>
    <x v="0"/>
    <s v="Design Suite License"/>
    <n v="7"/>
    <n v="5499"/>
    <n v="0.1"/>
    <x v="2"/>
    <s v="Credit Card"/>
    <s v="Cancelled"/>
    <n v="34643.700000000004"/>
  </r>
  <r>
    <n v="20127"/>
    <x v="110"/>
    <x v="16"/>
    <x v="4"/>
    <x v="1"/>
    <s v="Webcam HD"/>
    <n v="7"/>
    <n v="1799"/>
    <n v="0.15"/>
    <x v="3"/>
    <s v="Cash"/>
    <s v="Pending"/>
    <n v="10704.05"/>
  </r>
  <r>
    <n v="20128"/>
    <x v="111"/>
    <x v="5"/>
    <x v="1"/>
    <x v="0"/>
    <s v="Design Suite License"/>
    <n v="6"/>
    <n v="5499"/>
    <n v="0.1"/>
    <x v="1"/>
    <s v="Cheque"/>
    <s v="Completed"/>
    <n v="29694.600000000002"/>
  </r>
  <r>
    <n v="20129"/>
    <x v="112"/>
    <x v="20"/>
    <x v="0"/>
    <x v="0"/>
    <s v="Antivirus License"/>
    <n v="8"/>
    <n v="999"/>
    <n v="0"/>
    <x v="3"/>
    <s v="Cheque"/>
    <s v="Completed"/>
    <n v="7992"/>
  </r>
  <r>
    <n v="20130"/>
    <x v="113"/>
    <x v="4"/>
    <x v="3"/>
    <x v="1"/>
    <s v="Webcam HD"/>
    <n v="7"/>
    <n v="1799"/>
    <n v="0.05"/>
    <x v="4"/>
    <s v="Credit Card"/>
    <s v="Completed"/>
    <n v="11963.349999999999"/>
  </r>
  <r>
    <n v="20131"/>
    <x v="114"/>
    <x v="1"/>
    <x v="1"/>
    <x v="1"/>
    <s v="27in Monitor"/>
    <n v="2"/>
    <n v="12999"/>
    <n v="0.15"/>
    <x v="3"/>
    <s v="Credit Card"/>
    <s v="Pending"/>
    <n v="22098.3"/>
  </r>
  <r>
    <n v="20132"/>
    <x v="115"/>
    <x v="25"/>
    <x v="1"/>
    <x v="2"/>
    <s v="Stapler Set"/>
    <n v="8"/>
    <n v="349"/>
    <n v="0.15"/>
    <x v="3"/>
    <s v="Cash"/>
    <s v="Completed"/>
    <n v="2373.1999999999998"/>
  </r>
  <r>
    <n v="20133"/>
    <x v="116"/>
    <x v="1"/>
    <x v="2"/>
    <x v="1"/>
    <s v="Mechanical Keyboard"/>
    <n v="1"/>
    <n v="2999"/>
    <n v="0.15"/>
    <x v="2"/>
    <s v="Bank Transfer"/>
    <s v="Pending"/>
    <n v="2549.15"/>
  </r>
  <r>
    <n v="20134"/>
    <x v="117"/>
    <x v="16"/>
    <x v="2"/>
    <x v="2"/>
    <s v="Whiteboard Markers"/>
    <n v="5"/>
    <n v="199"/>
    <n v="0"/>
    <x v="2"/>
    <s v="Credit Card"/>
    <s v="Completed"/>
    <n v="995"/>
  </r>
  <r>
    <n v="20135"/>
    <x v="118"/>
    <x v="7"/>
    <x v="2"/>
    <x v="2"/>
    <s v="Whiteboard Markers"/>
    <n v="4"/>
    <n v="199"/>
    <n v="0"/>
    <x v="3"/>
    <s v="UPI"/>
    <s v="Pending"/>
    <n v="796"/>
  </r>
  <r>
    <n v="20136"/>
    <x v="119"/>
    <x v="24"/>
    <x v="1"/>
    <x v="2"/>
    <s v="Ink Cartridge"/>
    <n v="8"/>
    <n v="899"/>
    <n v="0.15"/>
    <x v="3"/>
    <s v="Credit Card"/>
    <s v="Cancelled"/>
    <n v="6113.2"/>
  </r>
  <r>
    <n v="20137"/>
    <x v="120"/>
    <x v="15"/>
    <x v="2"/>
    <x v="2"/>
    <s v="Desk Organizer"/>
    <n v="3"/>
    <n v="599"/>
    <n v="0.05"/>
    <x v="3"/>
    <s v="UPI"/>
    <s v="Cancelled"/>
    <n v="1707.1499999999999"/>
  </r>
  <r>
    <n v="20138"/>
    <x v="121"/>
    <x v="20"/>
    <x v="2"/>
    <x v="1"/>
    <s v="Laptop Stand"/>
    <n v="5"/>
    <n v="1199"/>
    <n v="0.05"/>
    <x v="0"/>
    <s v="Credit Card"/>
    <s v="Pending"/>
    <n v="5695.25"/>
  </r>
  <r>
    <n v="20139"/>
    <x v="122"/>
    <x v="17"/>
    <x v="0"/>
    <x v="1"/>
    <s v="Portable SSD 1TB"/>
    <n v="2"/>
    <n v="6499"/>
    <n v="0"/>
    <x v="3"/>
    <s v="Cash"/>
    <s v="Pending"/>
    <n v="12998"/>
  </r>
  <r>
    <n v="20140"/>
    <x v="63"/>
    <x v="10"/>
    <x v="1"/>
    <x v="0"/>
    <s v="Design Suite License"/>
    <n v="2"/>
    <n v="5499"/>
    <n v="0.05"/>
    <x v="0"/>
    <s v="Bank Transfer"/>
    <s v="Pending"/>
    <n v="10448.1"/>
  </r>
  <r>
    <n v="20141"/>
    <x v="123"/>
    <x v="3"/>
    <x v="0"/>
    <x v="1"/>
    <s v="27in Monitor"/>
    <n v="3"/>
    <n v="12999"/>
    <n v="0"/>
    <x v="2"/>
    <s v="Credit Card"/>
    <s v="Pending"/>
    <n v="38997"/>
  </r>
  <r>
    <n v="20142"/>
    <x v="124"/>
    <x v="15"/>
    <x v="3"/>
    <x v="1"/>
    <s v="27in Monitor"/>
    <n v="2"/>
    <n v="12999"/>
    <n v="0.1"/>
    <x v="1"/>
    <s v="Cash"/>
    <s v="Pending"/>
    <n v="23398.2"/>
  </r>
  <r>
    <n v="20143"/>
    <x v="125"/>
    <x v="15"/>
    <x v="3"/>
    <x v="2"/>
    <s v="Sticky Notes Pack"/>
    <n v="2"/>
    <n v="149"/>
    <n v="0.15"/>
    <x v="4"/>
    <s v="UPI"/>
    <s v="Cancelled"/>
    <n v="253.29999999999998"/>
  </r>
  <r>
    <n v="20144"/>
    <x v="126"/>
    <x v="17"/>
    <x v="3"/>
    <x v="2"/>
    <s v="Desk Organizer"/>
    <n v="8"/>
    <n v="599"/>
    <n v="0.05"/>
    <x v="3"/>
    <s v="Credit Card"/>
    <s v="Completed"/>
    <n v="4552.3999999999996"/>
  </r>
  <r>
    <n v="20145"/>
    <x v="127"/>
    <x v="17"/>
    <x v="4"/>
    <x v="1"/>
    <s v="Portable SSD 1TB"/>
    <n v="3"/>
    <n v="6499"/>
    <n v="0.1"/>
    <x v="4"/>
    <s v="Cheque"/>
    <s v="Pending"/>
    <n v="17547.3"/>
  </r>
  <r>
    <n v="20146"/>
    <x v="7"/>
    <x v="7"/>
    <x v="1"/>
    <x v="0"/>
    <s v="VPN License"/>
    <n v="5"/>
    <n v="599"/>
    <n v="0"/>
    <x v="4"/>
    <s v="Cash"/>
    <s v="Cancelled"/>
    <n v="2995"/>
  </r>
  <r>
    <n v="20147"/>
    <x v="73"/>
    <x v="12"/>
    <x v="2"/>
    <x v="2"/>
    <s v="Sticky Notes Pack"/>
    <n v="1"/>
    <n v="149"/>
    <n v="0.1"/>
    <x v="4"/>
    <s v="Cash"/>
    <s v="Pending"/>
    <n v="134.1"/>
  </r>
  <r>
    <n v="20148"/>
    <x v="128"/>
    <x v="20"/>
    <x v="1"/>
    <x v="0"/>
    <s v="Antivirus License"/>
    <n v="3"/>
    <n v="999"/>
    <n v="0.15"/>
    <x v="2"/>
    <s v="Cash"/>
    <s v="Pending"/>
    <n v="2547.4499999999998"/>
  </r>
  <r>
    <n v="20149"/>
    <x v="129"/>
    <x v="26"/>
    <x v="1"/>
    <x v="1"/>
    <s v="Webcam HD"/>
    <n v="7"/>
    <n v="1799"/>
    <n v="0.15"/>
    <x v="1"/>
    <s v="Bank Transfer"/>
    <s v="Pending"/>
    <n v="10704.05"/>
  </r>
  <r>
    <n v="20150"/>
    <x v="84"/>
    <x v="20"/>
    <x v="3"/>
    <x v="2"/>
    <s v="Sticky Notes Pack"/>
    <n v="8"/>
    <n v="149"/>
    <n v="0"/>
    <x v="4"/>
    <s v="Bank Transfer"/>
    <s v="Completed"/>
    <n v="1192"/>
  </r>
  <r>
    <n v="20151"/>
    <x v="73"/>
    <x v="5"/>
    <x v="4"/>
    <x v="0"/>
    <s v="Design Suite License"/>
    <n v="5"/>
    <n v="5499"/>
    <n v="0.15"/>
    <x v="4"/>
    <s v="Bank Transfer"/>
    <s v="Pending"/>
    <n v="23370.75"/>
  </r>
  <r>
    <n v="20152"/>
    <x v="130"/>
    <x v="5"/>
    <x v="1"/>
    <x v="3"/>
    <s v="Standing Desk"/>
    <n v="4"/>
    <n v="15999"/>
    <n v="0.15"/>
    <x v="3"/>
    <s v="UPI"/>
    <s v="Pending"/>
    <n v="54396.6"/>
  </r>
  <r>
    <n v="20153"/>
    <x v="131"/>
    <x v="4"/>
    <x v="4"/>
    <x v="2"/>
    <s v="A4 Paper Ream"/>
    <n v="3"/>
    <n v="249"/>
    <n v="0.15"/>
    <x v="3"/>
    <s v="Cash"/>
    <s v="Cancelled"/>
    <n v="634.94999999999993"/>
  </r>
  <r>
    <n v="20154"/>
    <x v="132"/>
    <x v="25"/>
    <x v="4"/>
    <x v="2"/>
    <s v="Ballpoint Pens Pack"/>
    <n v="7"/>
    <n v="99"/>
    <n v="0.05"/>
    <x v="0"/>
    <s v="Cheque"/>
    <s v="Pending"/>
    <n v="658.35"/>
  </r>
  <r>
    <n v="20155"/>
    <x v="86"/>
    <x v="25"/>
    <x v="1"/>
    <x v="2"/>
    <s v="Sticky Notes Pack"/>
    <n v="3"/>
    <n v="149"/>
    <n v="0.15"/>
    <x v="4"/>
    <s v="Cheque"/>
    <s v="Pending"/>
    <n v="379.95"/>
  </r>
  <r>
    <n v="20156"/>
    <x v="133"/>
    <x v="14"/>
    <x v="0"/>
    <x v="0"/>
    <s v="CRM Subscription"/>
    <n v="8"/>
    <n v="3999"/>
    <n v="0.05"/>
    <x v="2"/>
    <s v="Cheque"/>
    <s v="Completed"/>
    <n v="30392.399999999998"/>
  </r>
  <r>
    <n v="20157"/>
    <x v="134"/>
    <x v="2"/>
    <x v="0"/>
    <x v="1"/>
    <s v="Mechanical Keyboard"/>
    <n v="6"/>
    <n v="2999"/>
    <n v="0.1"/>
    <x v="0"/>
    <s v="UPI"/>
    <s v="Cancelled"/>
    <n v="16194.6"/>
  </r>
  <r>
    <n v="20158"/>
    <x v="135"/>
    <x v="18"/>
    <x v="4"/>
    <x v="0"/>
    <s v="Design Suite License"/>
    <n v="4"/>
    <n v="5499"/>
    <n v="0.1"/>
    <x v="0"/>
    <s v="UPI"/>
    <s v="Completed"/>
    <n v="19796.400000000001"/>
  </r>
  <r>
    <n v="20159"/>
    <x v="136"/>
    <x v="3"/>
    <x v="4"/>
    <x v="2"/>
    <s v="Stapler Set"/>
    <n v="1"/>
    <n v="349"/>
    <n v="0.1"/>
    <x v="2"/>
    <s v="UPI"/>
    <s v="Pending"/>
    <n v="314.10000000000002"/>
  </r>
  <r>
    <n v="20160"/>
    <x v="137"/>
    <x v="12"/>
    <x v="1"/>
    <x v="1"/>
    <s v="Mechanical Keyboard"/>
    <n v="7"/>
    <n v="2999"/>
    <n v="0.05"/>
    <x v="0"/>
    <s v="Cash"/>
    <s v="Cancelled"/>
    <n v="19943.349999999999"/>
  </r>
  <r>
    <n v="20161"/>
    <x v="36"/>
    <x v="9"/>
    <x v="3"/>
    <x v="2"/>
    <s v="A4 Paper Ream"/>
    <n v="4"/>
    <n v="249"/>
    <n v="0.1"/>
    <x v="4"/>
    <s v="Bank Transfer"/>
    <s v="Cancelled"/>
    <n v="896.4"/>
  </r>
  <r>
    <n v="20162"/>
    <x v="138"/>
    <x v="14"/>
    <x v="2"/>
    <x v="3"/>
    <s v="Office Sofa"/>
    <n v="8"/>
    <n v="18999"/>
    <n v="0.15"/>
    <x v="4"/>
    <s v="Cheque"/>
    <s v="Pending"/>
    <n v="129193.2"/>
  </r>
  <r>
    <n v="20163"/>
    <x v="135"/>
    <x v="1"/>
    <x v="2"/>
    <x v="2"/>
    <s v="File Folders Box"/>
    <n v="6"/>
    <n v="429"/>
    <n v="0.05"/>
    <x v="3"/>
    <s v="Cash"/>
    <s v="Completed"/>
    <n v="2445.2999999999997"/>
  </r>
  <r>
    <n v="20164"/>
    <x v="139"/>
    <x v="2"/>
    <x v="2"/>
    <x v="2"/>
    <s v="A4 Paper Ream"/>
    <n v="1"/>
    <n v="249"/>
    <n v="0.15"/>
    <x v="1"/>
    <s v="Bank Transfer"/>
    <s v="Cancelled"/>
    <n v="211.65"/>
  </r>
  <r>
    <n v="20165"/>
    <x v="140"/>
    <x v="27"/>
    <x v="4"/>
    <x v="3"/>
    <s v="Standing Desk"/>
    <n v="6"/>
    <n v="15999"/>
    <n v="0.05"/>
    <x v="2"/>
    <s v="Credit Card"/>
    <s v="Pending"/>
    <n v="91194.3"/>
  </r>
  <r>
    <n v="20166"/>
    <x v="104"/>
    <x v="1"/>
    <x v="3"/>
    <x v="0"/>
    <s v="Antivirus License"/>
    <n v="8"/>
    <n v="999"/>
    <n v="0.15"/>
    <x v="3"/>
    <s v="Bank Transfer"/>
    <s v="Completed"/>
    <n v="6793.2"/>
  </r>
  <r>
    <n v="20167"/>
    <x v="141"/>
    <x v="15"/>
    <x v="1"/>
    <x v="0"/>
    <s v="Project Mgmt Tool"/>
    <n v="8"/>
    <n v="2499"/>
    <n v="0.05"/>
    <x v="4"/>
    <s v="Credit Card"/>
    <s v="Cancelled"/>
    <n v="18992.399999999998"/>
  </r>
  <r>
    <n v="20168"/>
    <x v="13"/>
    <x v="27"/>
    <x v="0"/>
    <x v="3"/>
    <s v="Desk Lamp"/>
    <n v="3"/>
    <n v="1299"/>
    <n v="0.15"/>
    <x v="3"/>
    <s v="Credit Card"/>
    <s v="Pending"/>
    <n v="3312.45"/>
  </r>
  <r>
    <n v="20169"/>
    <x v="142"/>
    <x v="12"/>
    <x v="3"/>
    <x v="1"/>
    <s v="Webcam HD"/>
    <n v="2"/>
    <n v="1799"/>
    <n v="0.15"/>
    <x v="2"/>
    <s v="Cash"/>
    <s v="Pending"/>
    <n v="3058.2999999999997"/>
  </r>
  <r>
    <n v="20170"/>
    <x v="7"/>
    <x v="2"/>
    <x v="4"/>
    <x v="0"/>
    <s v="VPN License"/>
    <n v="6"/>
    <n v="599"/>
    <n v="0.1"/>
    <x v="3"/>
    <s v="UPI"/>
    <s v="Pending"/>
    <n v="3234.6"/>
  </r>
  <r>
    <n v="20171"/>
    <x v="136"/>
    <x v="17"/>
    <x v="2"/>
    <x v="3"/>
    <s v="Conference Table"/>
    <n v="3"/>
    <n v="24999"/>
    <n v="0.15"/>
    <x v="3"/>
    <s v="Credit Card"/>
    <s v="Cancelled"/>
    <n v="63747.45"/>
  </r>
  <r>
    <n v="20172"/>
    <x v="143"/>
    <x v="9"/>
    <x v="4"/>
    <x v="2"/>
    <s v="Stapler Set"/>
    <n v="1"/>
    <n v="349"/>
    <n v="0.15"/>
    <x v="3"/>
    <s v="Credit Card"/>
    <s v="Pending"/>
    <n v="296.64999999999998"/>
  </r>
  <r>
    <n v="20173"/>
    <x v="144"/>
    <x v="15"/>
    <x v="0"/>
    <x v="0"/>
    <s v="CRM Subscription"/>
    <n v="7"/>
    <n v="3999"/>
    <n v="0"/>
    <x v="3"/>
    <s v="UPI"/>
    <s v="Pending"/>
    <n v="27993"/>
  </r>
  <r>
    <n v="20174"/>
    <x v="67"/>
    <x v="14"/>
    <x v="2"/>
    <x v="3"/>
    <s v="Storage Cabinet"/>
    <n v="1"/>
    <n v="5499"/>
    <n v="0.05"/>
    <x v="0"/>
    <s v="UPI"/>
    <s v="Cancelled"/>
    <n v="5224.05"/>
  </r>
  <r>
    <n v="20175"/>
    <x v="84"/>
    <x v="20"/>
    <x v="0"/>
    <x v="2"/>
    <s v="Whiteboard Markers"/>
    <n v="1"/>
    <n v="199"/>
    <n v="0.15"/>
    <x v="2"/>
    <s v="Cash"/>
    <s v="Completed"/>
    <n v="169.15"/>
  </r>
  <r>
    <n v="20176"/>
    <x v="145"/>
    <x v="16"/>
    <x v="1"/>
    <x v="3"/>
    <s v="Conference Table"/>
    <n v="6"/>
    <n v="24999"/>
    <n v="0"/>
    <x v="2"/>
    <s v="Bank Transfer"/>
    <s v="Completed"/>
    <n v="149994"/>
  </r>
  <r>
    <n v="20177"/>
    <x v="75"/>
    <x v="1"/>
    <x v="2"/>
    <x v="2"/>
    <s v="Sticky Notes Pack"/>
    <n v="6"/>
    <n v="149"/>
    <n v="0.15"/>
    <x v="2"/>
    <s v="UPI"/>
    <s v="Pending"/>
    <n v="759.9"/>
  </r>
  <r>
    <n v="20178"/>
    <x v="146"/>
    <x v="26"/>
    <x v="1"/>
    <x v="0"/>
    <s v="Project Mgmt Tool"/>
    <n v="4"/>
    <n v="2499"/>
    <n v="0.1"/>
    <x v="4"/>
    <s v="Bank Transfer"/>
    <s v="Completed"/>
    <n v="8996.4"/>
  </r>
  <r>
    <n v="20179"/>
    <x v="147"/>
    <x v="13"/>
    <x v="3"/>
    <x v="1"/>
    <s v="USB-C Hub"/>
    <n v="5"/>
    <n v="1499"/>
    <n v="0"/>
    <x v="1"/>
    <s v="Bank Transfer"/>
    <s v="Cancelled"/>
    <n v="7495"/>
  </r>
  <r>
    <n v="20180"/>
    <x v="148"/>
    <x v="25"/>
    <x v="0"/>
    <x v="0"/>
    <s v="CRM Subscription"/>
    <n v="1"/>
    <n v="3999"/>
    <n v="0.1"/>
    <x v="2"/>
    <s v="UPI"/>
    <s v="Cancelled"/>
    <n v="3599.1"/>
  </r>
  <r>
    <n v="20181"/>
    <x v="149"/>
    <x v="0"/>
    <x v="1"/>
    <x v="3"/>
    <s v="Office Sofa"/>
    <n v="6"/>
    <n v="18999"/>
    <n v="0.05"/>
    <x v="4"/>
    <s v="Bank Transfer"/>
    <s v="Cancelled"/>
    <n v="108294.29999999999"/>
  </r>
  <r>
    <n v="20182"/>
    <x v="150"/>
    <x v="11"/>
    <x v="1"/>
    <x v="0"/>
    <s v="VPN License"/>
    <n v="3"/>
    <n v="599"/>
    <n v="0.1"/>
    <x v="2"/>
    <s v="Cash"/>
    <s v="Cancelled"/>
    <n v="1617.3"/>
  </r>
  <r>
    <n v="20183"/>
    <x v="151"/>
    <x v="6"/>
    <x v="1"/>
    <x v="3"/>
    <s v="Filing Cabinet"/>
    <n v="3"/>
    <n v="6999"/>
    <n v="0"/>
    <x v="3"/>
    <s v="UPI"/>
    <s v="Pending"/>
    <n v="20997"/>
  </r>
  <r>
    <n v="20184"/>
    <x v="152"/>
    <x v="24"/>
    <x v="4"/>
    <x v="3"/>
    <s v="Desk Lamp"/>
    <n v="7"/>
    <n v="1299"/>
    <n v="0.05"/>
    <x v="1"/>
    <s v="Bank Transfer"/>
    <s v="Pending"/>
    <n v="8638.35"/>
  </r>
  <r>
    <n v="20185"/>
    <x v="153"/>
    <x v="19"/>
    <x v="0"/>
    <x v="3"/>
    <s v="Standing Desk"/>
    <n v="7"/>
    <n v="15999"/>
    <n v="0.1"/>
    <x v="2"/>
    <s v="Bank Transfer"/>
    <s v="Pending"/>
    <n v="100793.7"/>
  </r>
  <r>
    <n v="20186"/>
    <x v="154"/>
    <x v="25"/>
    <x v="0"/>
    <x v="1"/>
    <s v="Mechanical Keyboard"/>
    <n v="8"/>
    <n v="2999"/>
    <n v="0.1"/>
    <x v="2"/>
    <s v="Bank Transfer"/>
    <s v="Cancelled"/>
    <n v="21592.799999999999"/>
  </r>
  <r>
    <n v="20187"/>
    <x v="138"/>
    <x v="3"/>
    <x v="1"/>
    <x v="0"/>
    <s v="VPN License"/>
    <n v="4"/>
    <n v="599"/>
    <n v="0.1"/>
    <x v="1"/>
    <s v="Cash"/>
    <s v="Pending"/>
    <n v="2156.4"/>
  </r>
  <r>
    <n v="20188"/>
    <x v="155"/>
    <x v="2"/>
    <x v="2"/>
    <x v="0"/>
    <s v="CRM Subscription"/>
    <n v="2"/>
    <n v="3999"/>
    <n v="0.05"/>
    <x v="4"/>
    <s v="Cash"/>
    <s v="Completed"/>
    <n v="7598.0999999999995"/>
  </r>
  <r>
    <n v="20189"/>
    <x v="156"/>
    <x v="5"/>
    <x v="3"/>
    <x v="3"/>
    <s v="Desk Lamp"/>
    <n v="5"/>
    <n v="1299"/>
    <n v="0.1"/>
    <x v="0"/>
    <s v="UPI"/>
    <s v="Cancelled"/>
    <n v="5845.5"/>
  </r>
  <r>
    <n v="20190"/>
    <x v="122"/>
    <x v="10"/>
    <x v="2"/>
    <x v="3"/>
    <s v="Ergonomic Chair"/>
    <n v="3"/>
    <n v="8999"/>
    <n v="0"/>
    <x v="1"/>
    <s v="Credit Card"/>
    <s v="Completed"/>
    <n v="26997"/>
  </r>
  <r>
    <n v="20191"/>
    <x v="157"/>
    <x v="23"/>
    <x v="4"/>
    <x v="3"/>
    <s v="Storage Cabinet"/>
    <n v="3"/>
    <n v="5499"/>
    <n v="0.05"/>
    <x v="2"/>
    <s v="UPI"/>
    <s v="Cancelled"/>
    <n v="15672.15"/>
  </r>
  <r>
    <n v="20192"/>
    <x v="39"/>
    <x v="17"/>
    <x v="0"/>
    <x v="0"/>
    <s v="Design Suite License"/>
    <n v="1"/>
    <n v="5499"/>
    <n v="0.05"/>
    <x v="3"/>
    <s v="UPI"/>
    <s v="Completed"/>
    <n v="5224.05"/>
  </r>
  <r>
    <n v="20193"/>
    <x v="19"/>
    <x v="0"/>
    <x v="4"/>
    <x v="3"/>
    <s v="Filing Cabinet"/>
    <n v="8"/>
    <n v="6999"/>
    <n v="0"/>
    <x v="0"/>
    <s v="Cash"/>
    <s v="Completed"/>
    <n v="55992"/>
  </r>
  <r>
    <n v="20194"/>
    <x v="70"/>
    <x v="8"/>
    <x v="2"/>
    <x v="1"/>
    <s v="Mechanical Keyboard"/>
    <n v="6"/>
    <n v="2999"/>
    <n v="0"/>
    <x v="1"/>
    <s v="Cash"/>
    <s v="Pending"/>
    <n v="17994"/>
  </r>
  <r>
    <n v="20195"/>
    <x v="27"/>
    <x v="10"/>
    <x v="0"/>
    <x v="1"/>
    <s v="Laptop Stand"/>
    <n v="2"/>
    <n v="1199"/>
    <n v="0.1"/>
    <x v="3"/>
    <s v="Bank Transfer"/>
    <s v="Cancelled"/>
    <n v="2158.2000000000003"/>
  </r>
  <r>
    <n v="20196"/>
    <x v="158"/>
    <x v="25"/>
    <x v="3"/>
    <x v="0"/>
    <s v="CRM Subscription"/>
    <n v="5"/>
    <n v="3999"/>
    <n v="0"/>
    <x v="3"/>
    <s v="Cash"/>
    <s v="Completed"/>
    <n v="19995"/>
  </r>
  <r>
    <n v="20197"/>
    <x v="159"/>
    <x v="21"/>
    <x v="2"/>
    <x v="1"/>
    <s v="27in Monitor"/>
    <n v="4"/>
    <n v="12999"/>
    <n v="0.1"/>
    <x v="4"/>
    <s v="UPI"/>
    <s v="Pending"/>
    <n v="46796.4"/>
  </r>
  <r>
    <n v="20198"/>
    <x v="160"/>
    <x v="4"/>
    <x v="2"/>
    <x v="0"/>
    <s v="Cloud Storage Plan"/>
    <n v="5"/>
    <n v="799"/>
    <n v="0.1"/>
    <x v="4"/>
    <s v="Credit Card"/>
    <s v="Pending"/>
    <n v="3595.5"/>
  </r>
  <r>
    <n v="20199"/>
    <x v="152"/>
    <x v="21"/>
    <x v="1"/>
    <x v="3"/>
    <s v="Filing Cabinet"/>
    <n v="3"/>
    <n v="6999"/>
    <n v="0.05"/>
    <x v="4"/>
    <s v="UPI"/>
    <s v="Cancelled"/>
    <n v="19947.149999999998"/>
  </r>
  <r>
    <n v="20200"/>
    <x v="161"/>
    <x v="11"/>
    <x v="2"/>
    <x v="2"/>
    <s v="Sticky Notes Pack"/>
    <n v="6"/>
    <n v="149"/>
    <n v="0"/>
    <x v="3"/>
    <s v="Bank Transfer"/>
    <s v="Pending"/>
    <n v="894"/>
  </r>
  <r>
    <n v="20201"/>
    <x v="50"/>
    <x v="7"/>
    <x v="2"/>
    <x v="1"/>
    <s v="Wireless Mouse"/>
    <n v="7"/>
    <n v="799"/>
    <n v="0"/>
    <x v="4"/>
    <s v="Bank Transfer"/>
    <s v="Completed"/>
    <n v="5593"/>
  </r>
  <r>
    <n v="20202"/>
    <x v="162"/>
    <x v="16"/>
    <x v="3"/>
    <x v="2"/>
    <s v="Ink Cartridge"/>
    <n v="2"/>
    <n v="899"/>
    <n v="0"/>
    <x v="2"/>
    <s v="Bank Transfer"/>
    <s v="Pending"/>
    <n v="1798"/>
  </r>
  <r>
    <n v="20203"/>
    <x v="163"/>
    <x v="15"/>
    <x v="3"/>
    <x v="0"/>
    <s v="VPN License"/>
    <n v="3"/>
    <n v="599"/>
    <n v="0.1"/>
    <x v="3"/>
    <s v="Bank Transfer"/>
    <s v="Pending"/>
    <n v="1617.3"/>
  </r>
  <r>
    <n v="20204"/>
    <x v="18"/>
    <x v="17"/>
    <x v="0"/>
    <x v="1"/>
    <s v="27in Monitor"/>
    <n v="7"/>
    <n v="12999"/>
    <n v="0"/>
    <x v="3"/>
    <s v="Cheque"/>
    <s v="Cancelled"/>
    <n v="90993"/>
  </r>
  <r>
    <n v="20205"/>
    <x v="15"/>
    <x v="26"/>
    <x v="3"/>
    <x v="0"/>
    <s v="Design Suite License"/>
    <n v="2"/>
    <n v="5499"/>
    <n v="0"/>
    <x v="2"/>
    <s v="Cheque"/>
    <s v="Pending"/>
    <n v="10998"/>
  </r>
  <r>
    <n v="20206"/>
    <x v="164"/>
    <x v="8"/>
    <x v="0"/>
    <x v="0"/>
    <s v="Design Suite License"/>
    <n v="4"/>
    <n v="5499"/>
    <n v="0.15"/>
    <x v="1"/>
    <s v="Cash"/>
    <s v="Completed"/>
    <n v="18696.599999999999"/>
  </r>
  <r>
    <n v="20207"/>
    <x v="165"/>
    <x v="12"/>
    <x v="2"/>
    <x v="0"/>
    <s v="CRM Subscription"/>
    <n v="5"/>
    <n v="3999"/>
    <n v="0"/>
    <x v="0"/>
    <s v="Cash"/>
    <s v="Pending"/>
    <n v="19995"/>
  </r>
  <r>
    <n v="20208"/>
    <x v="166"/>
    <x v="23"/>
    <x v="0"/>
    <x v="3"/>
    <s v="Conference Table"/>
    <n v="6"/>
    <n v="24999"/>
    <n v="0.05"/>
    <x v="2"/>
    <s v="Credit Card"/>
    <s v="Completed"/>
    <n v="142494.29999999999"/>
  </r>
  <r>
    <n v="20209"/>
    <x v="118"/>
    <x v="22"/>
    <x v="1"/>
    <x v="0"/>
    <s v="Antivirus License"/>
    <n v="4"/>
    <n v="999"/>
    <n v="0.05"/>
    <x v="1"/>
    <s v="Credit Card"/>
    <s v="Cancelled"/>
    <n v="3796.2"/>
  </r>
  <r>
    <n v="20210"/>
    <x v="167"/>
    <x v="26"/>
    <x v="2"/>
    <x v="3"/>
    <s v="Conference Table"/>
    <n v="2"/>
    <n v="24999"/>
    <n v="0.05"/>
    <x v="3"/>
    <s v="Cash"/>
    <s v="Pending"/>
    <n v="47498.1"/>
  </r>
  <r>
    <n v="20211"/>
    <x v="117"/>
    <x v="23"/>
    <x v="2"/>
    <x v="0"/>
    <s v="Project Mgmt Tool"/>
    <n v="1"/>
    <n v="2499"/>
    <n v="0.15"/>
    <x v="0"/>
    <s v="Credit Card"/>
    <s v="Completed"/>
    <n v="2124.15"/>
  </r>
  <r>
    <n v="20212"/>
    <x v="168"/>
    <x v="0"/>
    <x v="4"/>
    <x v="0"/>
    <s v="CRM Subscription"/>
    <n v="4"/>
    <n v="3999"/>
    <n v="0"/>
    <x v="4"/>
    <s v="Credit Card"/>
    <s v="Completed"/>
    <n v="15996"/>
  </r>
  <r>
    <n v="20213"/>
    <x v="169"/>
    <x v="18"/>
    <x v="1"/>
    <x v="3"/>
    <s v="Bookshelf"/>
    <n v="2"/>
    <n v="4999"/>
    <n v="0.1"/>
    <x v="3"/>
    <s v="Credit Card"/>
    <s v="Pending"/>
    <n v="8998.2000000000007"/>
  </r>
  <r>
    <n v="20214"/>
    <x v="137"/>
    <x v="5"/>
    <x v="4"/>
    <x v="2"/>
    <s v="File Folders Box"/>
    <n v="1"/>
    <n v="429"/>
    <n v="0.15"/>
    <x v="0"/>
    <s v="Cash"/>
    <s v="Cancelled"/>
    <n v="364.65"/>
  </r>
  <r>
    <n v="20215"/>
    <x v="170"/>
    <x v="19"/>
    <x v="2"/>
    <x v="3"/>
    <s v="Filing Cabinet"/>
    <n v="7"/>
    <n v="6999"/>
    <n v="0.15"/>
    <x v="3"/>
    <s v="UPI"/>
    <s v="Cancelled"/>
    <n v="41644.049999999996"/>
  </r>
  <r>
    <n v="20216"/>
    <x v="171"/>
    <x v="26"/>
    <x v="0"/>
    <x v="2"/>
    <s v="Whiteboard Markers"/>
    <n v="3"/>
    <n v="199"/>
    <n v="0.05"/>
    <x v="2"/>
    <s v="Credit Card"/>
    <s v="Completed"/>
    <n v="567.15"/>
  </r>
  <r>
    <n v="20217"/>
    <x v="42"/>
    <x v="17"/>
    <x v="2"/>
    <x v="3"/>
    <s v="Standing Desk"/>
    <n v="5"/>
    <n v="15999"/>
    <n v="0.1"/>
    <x v="3"/>
    <s v="Bank Transfer"/>
    <s v="Completed"/>
    <n v="71995.5"/>
  </r>
  <r>
    <n v="20218"/>
    <x v="172"/>
    <x v="9"/>
    <x v="1"/>
    <x v="1"/>
    <s v="Laptop Stand"/>
    <n v="6"/>
    <n v="1199"/>
    <n v="0.1"/>
    <x v="0"/>
    <s v="Credit Card"/>
    <s v="Cancelled"/>
    <n v="6474.6"/>
  </r>
  <r>
    <n v="20219"/>
    <x v="173"/>
    <x v="3"/>
    <x v="1"/>
    <x v="3"/>
    <s v="Desk Lamp"/>
    <n v="6"/>
    <n v="1299"/>
    <n v="0.15"/>
    <x v="4"/>
    <s v="Credit Card"/>
    <s v="Completed"/>
    <n v="6624.9"/>
  </r>
  <r>
    <n v="20220"/>
    <x v="162"/>
    <x v="7"/>
    <x v="2"/>
    <x v="3"/>
    <s v="Desk Lamp"/>
    <n v="4"/>
    <n v="1299"/>
    <n v="0.15"/>
    <x v="1"/>
    <s v="UPI"/>
    <s v="Completed"/>
    <n v="4416.5999999999995"/>
  </r>
  <r>
    <n v="20221"/>
    <x v="174"/>
    <x v="21"/>
    <x v="3"/>
    <x v="0"/>
    <s v="Project Mgmt Tool"/>
    <n v="8"/>
    <n v="2499"/>
    <n v="0.15"/>
    <x v="4"/>
    <s v="Bank Transfer"/>
    <s v="Pending"/>
    <n v="16993.2"/>
  </r>
  <r>
    <n v="20222"/>
    <x v="175"/>
    <x v="6"/>
    <x v="3"/>
    <x v="1"/>
    <s v="Webcam HD"/>
    <n v="7"/>
    <n v="1799"/>
    <n v="0.1"/>
    <x v="3"/>
    <s v="UPI"/>
    <s v="Cancelled"/>
    <n v="11333.7"/>
  </r>
  <r>
    <n v="20223"/>
    <x v="176"/>
    <x v="11"/>
    <x v="0"/>
    <x v="1"/>
    <s v="Laptop Stand"/>
    <n v="1"/>
    <n v="1199"/>
    <n v="0.15"/>
    <x v="3"/>
    <s v="Cheque"/>
    <s v="Pending"/>
    <n v="1019.15"/>
  </r>
  <r>
    <n v="20224"/>
    <x v="177"/>
    <x v="15"/>
    <x v="4"/>
    <x v="3"/>
    <s v="Office Sofa"/>
    <n v="2"/>
    <n v="18999"/>
    <n v="0"/>
    <x v="2"/>
    <s v="Bank Transfer"/>
    <s v="Completed"/>
    <n v="37998"/>
  </r>
  <r>
    <n v="20225"/>
    <x v="178"/>
    <x v="6"/>
    <x v="2"/>
    <x v="3"/>
    <s v="Ergonomic Chair"/>
    <n v="6"/>
    <n v="8999"/>
    <n v="0"/>
    <x v="1"/>
    <s v="Bank Transfer"/>
    <s v="Pending"/>
    <n v="53994"/>
  </r>
  <r>
    <n v="20226"/>
    <x v="179"/>
    <x v="16"/>
    <x v="3"/>
    <x v="1"/>
    <s v="Webcam HD"/>
    <n v="3"/>
    <n v="1799"/>
    <n v="0.15"/>
    <x v="4"/>
    <s v="Credit Card"/>
    <s v="Completed"/>
    <n v="4587.45"/>
  </r>
  <r>
    <n v="20227"/>
    <x v="118"/>
    <x v="8"/>
    <x v="4"/>
    <x v="1"/>
    <s v="Noise Cancelling Headphones"/>
    <n v="7"/>
    <n v="5999"/>
    <n v="0.05"/>
    <x v="1"/>
    <s v="Credit Card"/>
    <s v="Pending"/>
    <n v="39893.35"/>
  </r>
  <r>
    <n v="20228"/>
    <x v="168"/>
    <x v="18"/>
    <x v="1"/>
    <x v="0"/>
    <s v="VPN License"/>
    <n v="4"/>
    <n v="599"/>
    <n v="0.05"/>
    <x v="4"/>
    <s v="Cheque"/>
    <s v="Completed"/>
    <n v="2276.1999999999998"/>
  </r>
  <r>
    <n v="20229"/>
    <x v="64"/>
    <x v="22"/>
    <x v="3"/>
    <x v="1"/>
    <s v="Wireless Mouse"/>
    <n v="3"/>
    <n v="799"/>
    <n v="0.1"/>
    <x v="1"/>
    <s v="Cheque"/>
    <s v="Pending"/>
    <n v="2157.3000000000002"/>
  </r>
  <r>
    <n v="20230"/>
    <x v="110"/>
    <x v="7"/>
    <x v="2"/>
    <x v="2"/>
    <s v="A4 Paper Ream"/>
    <n v="6"/>
    <n v="249"/>
    <n v="0.1"/>
    <x v="2"/>
    <s v="Cash"/>
    <s v="Cancelled"/>
    <n v="1344.6000000000001"/>
  </r>
  <r>
    <n v="20231"/>
    <x v="160"/>
    <x v="6"/>
    <x v="1"/>
    <x v="1"/>
    <s v="USB-C Hub"/>
    <n v="5"/>
    <n v="1499"/>
    <n v="0"/>
    <x v="0"/>
    <s v="Credit Card"/>
    <s v="Cancelled"/>
    <n v="7495"/>
  </r>
  <r>
    <n v="20232"/>
    <x v="180"/>
    <x v="6"/>
    <x v="3"/>
    <x v="3"/>
    <s v="Conference Table"/>
    <n v="6"/>
    <n v="24999"/>
    <n v="0.05"/>
    <x v="2"/>
    <s v="Credit Card"/>
    <s v="Completed"/>
    <n v="142494.29999999999"/>
  </r>
  <r>
    <n v="20233"/>
    <x v="181"/>
    <x v="0"/>
    <x v="4"/>
    <x v="0"/>
    <s v="Project Mgmt Tool"/>
    <n v="2"/>
    <n v="2499"/>
    <n v="0.15"/>
    <x v="4"/>
    <s v="Bank Transfer"/>
    <s v="Completed"/>
    <n v="4248.3"/>
  </r>
  <r>
    <n v="20234"/>
    <x v="27"/>
    <x v="20"/>
    <x v="1"/>
    <x v="2"/>
    <s v="File Folders Box"/>
    <n v="2"/>
    <n v="429"/>
    <n v="0.15"/>
    <x v="1"/>
    <s v="Cheque"/>
    <s v="Completed"/>
    <n v="729.3"/>
  </r>
  <r>
    <n v="20235"/>
    <x v="182"/>
    <x v="1"/>
    <x v="0"/>
    <x v="3"/>
    <s v="Ergonomic Chair"/>
    <n v="7"/>
    <n v="8999"/>
    <n v="0"/>
    <x v="1"/>
    <s v="Cheque"/>
    <s v="Pending"/>
    <n v="62993"/>
  </r>
  <r>
    <n v="20236"/>
    <x v="38"/>
    <x v="7"/>
    <x v="3"/>
    <x v="3"/>
    <s v="Standing Desk"/>
    <n v="4"/>
    <n v="15999"/>
    <n v="0.1"/>
    <x v="3"/>
    <s v="Cheque"/>
    <s v="Completed"/>
    <n v="57596.4"/>
  </r>
  <r>
    <n v="20237"/>
    <x v="183"/>
    <x v="21"/>
    <x v="0"/>
    <x v="2"/>
    <s v="Stapler Set"/>
    <n v="7"/>
    <n v="349"/>
    <n v="0.1"/>
    <x v="3"/>
    <s v="Bank Transfer"/>
    <s v="Pending"/>
    <n v="2198.7000000000003"/>
  </r>
  <r>
    <n v="20238"/>
    <x v="184"/>
    <x v="4"/>
    <x v="3"/>
    <x v="1"/>
    <s v="Noise Cancelling Headphones"/>
    <n v="8"/>
    <n v="5999"/>
    <n v="0.15"/>
    <x v="3"/>
    <s v="Cheque"/>
    <s v="Completed"/>
    <n v="40793.199999999997"/>
  </r>
  <r>
    <n v="20239"/>
    <x v="185"/>
    <x v="25"/>
    <x v="0"/>
    <x v="1"/>
    <s v="Mechanical Keyboard"/>
    <n v="1"/>
    <n v="2999"/>
    <n v="0.05"/>
    <x v="3"/>
    <s v="Cheque"/>
    <s v="Completed"/>
    <n v="2849.0499999999997"/>
  </r>
  <r>
    <n v="20240"/>
    <x v="186"/>
    <x v="23"/>
    <x v="1"/>
    <x v="1"/>
    <s v="Webcam HD"/>
    <n v="1"/>
    <n v="1799"/>
    <n v="0.1"/>
    <x v="4"/>
    <s v="Cash"/>
    <s v="Pending"/>
    <n v="1619.1000000000001"/>
  </r>
  <r>
    <n v="20241"/>
    <x v="122"/>
    <x v="26"/>
    <x v="0"/>
    <x v="1"/>
    <s v="Webcam HD"/>
    <n v="7"/>
    <n v="1799"/>
    <n v="0"/>
    <x v="3"/>
    <s v="Bank Transfer"/>
    <s v="Pending"/>
    <n v="12593"/>
  </r>
  <r>
    <n v="20242"/>
    <x v="49"/>
    <x v="24"/>
    <x v="3"/>
    <x v="3"/>
    <s v="Conference Table"/>
    <n v="4"/>
    <n v="24999"/>
    <n v="0"/>
    <x v="1"/>
    <s v="Cash"/>
    <s v="Pending"/>
    <n v="99996"/>
  </r>
  <r>
    <n v="20243"/>
    <x v="187"/>
    <x v="27"/>
    <x v="3"/>
    <x v="1"/>
    <s v="USB-C Hub"/>
    <n v="4"/>
    <n v="1499"/>
    <n v="0.1"/>
    <x v="3"/>
    <s v="Cheque"/>
    <s v="Completed"/>
    <n v="5396.4000000000005"/>
  </r>
  <r>
    <n v="20244"/>
    <x v="188"/>
    <x v="19"/>
    <x v="2"/>
    <x v="3"/>
    <s v="Standing Desk"/>
    <n v="2"/>
    <n v="15999"/>
    <n v="0.15"/>
    <x v="3"/>
    <s v="Credit Card"/>
    <s v="Pending"/>
    <n v="27198.3"/>
  </r>
  <r>
    <n v="20245"/>
    <x v="189"/>
    <x v="10"/>
    <x v="3"/>
    <x v="2"/>
    <s v="Sticky Notes Pack"/>
    <n v="5"/>
    <n v="149"/>
    <n v="0.1"/>
    <x v="1"/>
    <s v="Cheque"/>
    <s v="Cancelled"/>
    <n v="670.5"/>
  </r>
  <r>
    <n v="20246"/>
    <x v="96"/>
    <x v="15"/>
    <x v="1"/>
    <x v="1"/>
    <s v="27in Monitor"/>
    <n v="6"/>
    <n v="12999"/>
    <n v="0"/>
    <x v="4"/>
    <s v="Cash"/>
    <s v="Completed"/>
    <n v="77994"/>
  </r>
  <r>
    <n v="20247"/>
    <x v="190"/>
    <x v="22"/>
    <x v="4"/>
    <x v="0"/>
    <s v="CRM Subscription"/>
    <n v="6"/>
    <n v="3999"/>
    <n v="0"/>
    <x v="2"/>
    <s v="Bank Transfer"/>
    <s v="Pending"/>
    <n v="23994"/>
  </r>
  <r>
    <n v="20248"/>
    <x v="191"/>
    <x v="16"/>
    <x v="4"/>
    <x v="0"/>
    <s v="VPN License"/>
    <n v="7"/>
    <n v="599"/>
    <n v="0"/>
    <x v="1"/>
    <s v="UPI"/>
    <s v="Cancelled"/>
    <n v="4193"/>
  </r>
  <r>
    <n v="20249"/>
    <x v="192"/>
    <x v="4"/>
    <x v="0"/>
    <x v="1"/>
    <s v="USB-C Hub"/>
    <n v="7"/>
    <n v="1499"/>
    <n v="0.1"/>
    <x v="1"/>
    <s v="Bank Transfer"/>
    <s v="Completed"/>
    <n v="9443.7000000000007"/>
  </r>
  <r>
    <n v="20250"/>
    <x v="161"/>
    <x v="0"/>
    <x v="2"/>
    <x v="0"/>
    <s v="Cloud Storage Plan"/>
    <n v="3"/>
    <n v="799"/>
    <n v="0"/>
    <x v="2"/>
    <s v="Cheque"/>
    <s v="Completed"/>
    <n v="2397"/>
  </r>
  <r>
    <n v="20251"/>
    <x v="182"/>
    <x v="9"/>
    <x v="3"/>
    <x v="0"/>
    <s v="CRM Subscription"/>
    <n v="4"/>
    <n v="3999"/>
    <n v="0.15"/>
    <x v="4"/>
    <s v="Cheque"/>
    <s v="Completed"/>
    <n v="13596.6"/>
  </r>
  <r>
    <n v="20252"/>
    <x v="193"/>
    <x v="19"/>
    <x v="1"/>
    <x v="2"/>
    <s v="Ink Cartridge"/>
    <n v="4"/>
    <n v="899"/>
    <n v="0"/>
    <x v="3"/>
    <s v="Cheque"/>
    <s v="Cancelled"/>
    <n v="3596"/>
  </r>
  <r>
    <n v="20253"/>
    <x v="172"/>
    <x v="6"/>
    <x v="1"/>
    <x v="0"/>
    <s v="CRM Subscription"/>
    <n v="8"/>
    <n v="3999"/>
    <n v="0.1"/>
    <x v="2"/>
    <s v="Cheque"/>
    <s v="Pending"/>
    <n v="28792.799999999999"/>
  </r>
  <r>
    <n v="20254"/>
    <x v="141"/>
    <x v="21"/>
    <x v="3"/>
    <x v="1"/>
    <s v="Portable SSD 1TB"/>
    <n v="4"/>
    <n v="6499"/>
    <n v="0.1"/>
    <x v="4"/>
    <s v="Credit Card"/>
    <s v="Pending"/>
    <n v="23396.400000000001"/>
  </r>
  <r>
    <n v="20255"/>
    <x v="194"/>
    <x v="14"/>
    <x v="3"/>
    <x v="1"/>
    <s v="Mechanical Keyboard"/>
    <n v="7"/>
    <n v="2999"/>
    <n v="0.05"/>
    <x v="4"/>
    <s v="Credit Card"/>
    <s v="Cancelled"/>
    <n v="19943.349999999999"/>
  </r>
  <r>
    <n v="20256"/>
    <x v="133"/>
    <x v="7"/>
    <x v="1"/>
    <x v="2"/>
    <s v="File Folders Box"/>
    <n v="8"/>
    <n v="429"/>
    <n v="0.15"/>
    <x v="0"/>
    <s v="Cash"/>
    <s v="Completed"/>
    <n v="2917.2"/>
  </r>
  <r>
    <n v="20257"/>
    <x v="195"/>
    <x v="24"/>
    <x v="0"/>
    <x v="3"/>
    <s v="Bookshelf"/>
    <n v="1"/>
    <n v="4999"/>
    <n v="0.1"/>
    <x v="2"/>
    <s v="UPI"/>
    <s v="Pending"/>
    <n v="4499.1000000000004"/>
  </r>
  <r>
    <n v="20258"/>
    <x v="196"/>
    <x v="20"/>
    <x v="1"/>
    <x v="2"/>
    <s v="Ballpoint Pens Pack"/>
    <n v="6"/>
    <n v="99"/>
    <n v="0.1"/>
    <x v="0"/>
    <s v="Bank Transfer"/>
    <s v="Cancelled"/>
    <n v="534.6"/>
  </r>
  <r>
    <n v="20259"/>
    <x v="13"/>
    <x v="24"/>
    <x v="2"/>
    <x v="3"/>
    <s v="Standing Desk"/>
    <n v="3"/>
    <n v="15999"/>
    <n v="0.05"/>
    <x v="3"/>
    <s v="UPI"/>
    <s v="Completed"/>
    <n v="45597.15"/>
  </r>
  <r>
    <n v="20260"/>
    <x v="184"/>
    <x v="2"/>
    <x v="1"/>
    <x v="3"/>
    <s v="Conference Table"/>
    <n v="2"/>
    <n v="24999"/>
    <n v="0.05"/>
    <x v="4"/>
    <s v="UPI"/>
    <s v="Cancelled"/>
    <n v="47498.1"/>
  </r>
  <r>
    <n v="20261"/>
    <x v="197"/>
    <x v="23"/>
    <x v="4"/>
    <x v="3"/>
    <s v="Conference Table"/>
    <n v="5"/>
    <n v="24999"/>
    <n v="0.05"/>
    <x v="3"/>
    <s v="Credit Card"/>
    <s v="Pending"/>
    <n v="11874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DEA5A-7F34-4D94-A0D6-48519B208EE7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R285:S290" firstHeaderRow="1" firstDataRow="1" firstDataCol="1"/>
  <pivotFields count="16">
    <pivotField showAll="0"/>
    <pivotField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showAll="0" measureFilter="1" sortType="descending">
      <items count="29">
        <item x="16"/>
        <item x="6"/>
        <item x="20"/>
        <item x="10"/>
        <item x="5"/>
        <item x="19"/>
        <item x="26"/>
        <item x="17"/>
        <item x="4"/>
        <item x="0"/>
        <item x="18"/>
        <item x="11"/>
        <item x="1"/>
        <item x="25"/>
        <item x="7"/>
        <item x="3"/>
        <item x="8"/>
        <item x="24"/>
        <item x="13"/>
        <item x="9"/>
        <item x="2"/>
        <item x="12"/>
        <item x="27"/>
        <item x="22"/>
        <item x="21"/>
        <item x="23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4"/>
        <item x="1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ine Total" fld="12" baseField="2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B616A-E067-484F-9FA1-FAE08D69BEC8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94:Q300" firstHeaderRow="0" firstDataRow="1" firstDataCol="1"/>
  <pivotFields count="16">
    <pivotField showAll="0"/>
    <pivotField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showAll="0" measureFilter="1" sortType="descending">
      <items count="29">
        <item x="16"/>
        <item x="6"/>
        <item x="20"/>
        <item x="10"/>
        <item x="5"/>
        <item x="19"/>
        <item x="26"/>
        <item x="17"/>
        <item x="4"/>
        <item x="0"/>
        <item x="18"/>
        <item x="11"/>
        <item x="1"/>
        <item x="25"/>
        <item x="7"/>
        <item x="3"/>
        <item x="8"/>
        <item x="24"/>
        <item x="13"/>
        <item x="9"/>
        <item x="2"/>
        <item x="12"/>
        <item x="27"/>
        <item x="22"/>
        <item x="21"/>
        <item x="23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numFmtId="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ne Total" fld="12" subtotal="average" baseField="9" baseItem="0" numFmtId="3"/>
    <dataField name="Count of Line Total" fld="12" subtotal="count" baseField="9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59C3E-9EBD-4FE1-9789-EC977C5A58A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85:P291" firstHeaderRow="1" firstDataRow="1" firstDataCol="1"/>
  <pivotFields count="16">
    <pivotField showAll="0"/>
    <pivotField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axis="axisRow" showAll="0" measureFilter="1" sortType="descending">
      <items count="29">
        <item x="16"/>
        <item x="6"/>
        <item x="20"/>
        <item x="10"/>
        <item x="5"/>
        <item x="19"/>
        <item x="26"/>
        <item x="17"/>
        <item x="4"/>
        <item x="0"/>
        <item x="18"/>
        <item x="11"/>
        <item x="1"/>
        <item x="25"/>
        <item x="7"/>
        <item x="3"/>
        <item x="8"/>
        <item x="24"/>
        <item x="13"/>
        <item x="9"/>
        <item x="2"/>
        <item x="12"/>
        <item x="27"/>
        <item x="22"/>
        <item x="21"/>
        <item x="23"/>
        <item x="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6">
    <i>
      <x v="5"/>
    </i>
    <i>
      <x v="24"/>
    </i>
    <i>
      <x v="27"/>
    </i>
    <i>
      <x v="25"/>
    </i>
    <i>
      <x/>
    </i>
    <i t="grand">
      <x/>
    </i>
  </rowItems>
  <colItems count="1">
    <i/>
  </colItems>
  <dataFields count="1">
    <dataField name="Sum of Line Total" fld="12" baseField="2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35ECA-52A2-45D5-B83D-96BE07927C67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70:P283" firstHeaderRow="1" firstDataRow="1" firstDataCol="1"/>
  <pivotFields count="16">
    <pivotField showAll="0"/>
    <pivotField axis="axisRow"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showAll="0"/>
    <pivotField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Line Total" fld="1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3E51-2857-41BE-A96F-7B44E3878E6A}" name="PivotTable3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O262:T267" firstHeaderRow="1" firstDataRow="2" firstDataCol="1"/>
  <pivotFields count="16">
    <pivotField showAll="0"/>
    <pivotField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Sum of Line Total" fld="1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3F12E-EAB0-45C5-A02E-C76CA4DDFAED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250:P256" firstHeaderRow="1" firstDataRow="1" firstDataCol="1"/>
  <pivotFields count="16">
    <pivotField showAll="0"/>
    <pivotField numFmtId="164" showAll="0">
      <items count="199">
        <item x="114"/>
        <item x="84"/>
        <item x="122"/>
        <item x="12"/>
        <item x="27"/>
        <item x="95"/>
        <item x="170"/>
        <item x="145"/>
        <item x="110"/>
        <item x="153"/>
        <item x="5"/>
        <item x="169"/>
        <item x="167"/>
        <item x="152"/>
        <item x="65"/>
        <item x="189"/>
        <item x="160"/>
        <item x="163"/>
        <item x="7"/>
        <item x="94"/>
        <item x="34"/>
        <item x="119"/>
        <item x="92"/>
        <item x="196"/>
        <item x="135"/>
        <item x="102"/>
        <item x="16"/>
        <item x="69"/>
        <item x="77"/>
        <item x="105"/>
        <item x="144"/>
        <item x="181"/>
        <item x="138"/>
        <item x="127"/>
        <item x="161"/>
        <item x="99"/>
        <item x="150"/>
        <item x="171"/>
        <item x="190"/>
        <item x="19"/>
        <item x="35"/>
        <item x="88"/>
        <item x="33"/>
        <item x="98"/>
        <item x="117"/>
        <item x="174"/>
        <item x="107"/>
        <item x="86"/>
        <item x="56"/>
        <item x="53"/>
        <item x="18"/>
        <item x="29"/>
        <item x="113"/>
        <item x="154"/>
        <item x="188"/>
        <item x="156"/>
        <item x="125"/>
        <item x="28"/>
        <item x="180"/>
        <item x="148"/>
        <item x="128"/>
        <item x="97"/>
        <item x="91"/>
        <item x="197"/>
        <item x="183"/>
        <item x="71"/>
        <item x="142"/>
        <item x="81"/>
        <item x="30"/>
        <item x="173"/>
        <item x="175"/>
        <item x="63"/>
        <item x="17"/>
        <item x="87"/>
        <item x="26"/>
        <item x="93"/>
        <item x="116"/>
        <item x="49"/>
        <item x="78"/>
        <item x="22"/>
        <item x="124"/>
        <item x="155"/>
        <item x="146"/>
        <item x="3"/>
        <item x="104"/>
        <item x="20"/>
        <item x="149"/>
        <item x="108"/>
        <item x="61"/>
        <item x="89"/>
        <item x="193"/>
        <item x="141"/>
        <item x="23"/>
        <item x="68"/>
        <item x="184"/>
        <item x="186"/>
        <item x="129"/>
        <item x="176"/>
        <item x="24"/>
        <item x="132"/>
        <item x="136"/>
        <item x="62"/>
        <item x="159"/>
        <item x="11"/>
        <item x="10"/>
        <item x="60"/>
        <item x="50"/>
        <item x="157"/>
        <item x="36"/>
        <item x="85"/>
        <item x="73"/>
        <item x="74"/>
        <item x="41"/>
        <item x="191"/>
        <item x="1"/>
        <item x="90"/>
        <item x="147"/>
        <item x="106"/>
        <item x="4"/>
        <item x="130"/>
        <item x="37"/>
        <item x="151"/>
        <item x="44"/>
        <item x="158"/>
        <item x="109"/>
        <item x="133"/>
        <item x="137"/>
        <item x="43"/>
        <item x="182"/>
        <item x="168"/>
        <item x="120"/>
        <item x="51"/>
        <item x="179"/>
        <item x="0"/>
        <item x="47"/>
        <item x="112"/>
        <item x="185"/>
        <item x="115"/>
        <item x="40"/>
        <item x="38"/>
        <item x="48"/>
        <item x="177"/>
        <item x="39"/>
        <item x="75"/>
        <item x="139"/>
        <item x="195"/>
        <item x="58"/>
        <item x="14"/>
        <item x="162"/>
        <item x="126"/>
        <item x="13"/>
        <item x="131"/>
        <item x="187"/>
        <item x="111"/>
        <item x="165"/>
        <item x="164"/>
        <item x="67"/>
        <item x="32"/>
        <item x="42"/>
        <item x="143"/>
        <item x="96"/>
        <item x="45"/>
        <item x="134"/>
        <item x="123"/>
        <item x="2"/>
        <item x="31"/>
        <item x="103"/>
        <item x="140"/>
        <item x="57"/>
        <item x="118"/>
        <item x="80"/>
        <item x="101"/>
        <item x="64"/>
        <item x="121"/>
        <item x="83"/>
        <item x="79"/>
        <item x="52"/>
        <item x="9"/>
        <item x="6"/>
        <item x="46"/>
        <item x="192"/>
        <item x="76"/>
        <item x="21"/>
        <item x="54"/>
        <item x="82"/>
        <item x="194"/>
        <item x="66"/>
        <item x="178"/>
        <item x="25"/>
        <item x="166"/>
        <item x="15"/>
        <item x="55"/>
        <item x="70"/>
        <item x="72"/>
        <item x="8"/>
        <item x="59"/>
        <item x="100"/>
        <item x="172"/>
        <item t="default"/>
      </items>
    </pivotField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ine Total" fld="1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A26EB2-2B88-428F-B122-CD8A5EBD7532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Order Date" tableColumnId="2"/>
      <queryTableField id="3" name="Customer Name" tableColumnId="3"/>
      <queryTableField id="4" name="Region " tableColumnId="4"/>
      <queryTableField id="5" name="Product Category" tableColumnId="5"/>
      <queryTableField id="6" name="Product Name" tableColumnId="6"/>
      <queryTableField id="7" name="Qty" tableColumnId="7"/>
      <queryTableField id="8" name="unit Price" tableColumnId="8"/>
      <queryTableField id="9" name="Discount" tableColumnId="9"/>
      <queryTableField id="10" name="Sales Rep new" tableColumnId="10"/>
      <queryTableField id="11" name="Payment Method" tableColumnId="11"/>
      <queryTableField id="12" name="Order Status 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D2B276-89C6-469C-86AF-6D57F2C2F9B5}" name="Table1_1" displayName="Table1_1" ref="A1:L321" tableType="queryTable" totalsRowShown="0">
  <autoFilter ref="A1:L321" xr:uid="{7ED2B276-89C6-469C-86AF-6D57F2C2F9B5}"/>
  <tableColumns count="12">
    <tableColumn id="1" xr3:uid="{558B4B81-8F0E-40D2-979C-63A85E1116FC}" uniqueName="1" name="Order ID" queryTableFieldId="1"/>
    <tableColumn id="2" xr3:uid="{A23F2B65-B153-4898-B29A-79F13D422BAE}" uniqueName="2" name="Order Date" queryTableFieldId="2" dataDxfId="9"/>
    <tableColumn id="3" xr3:uid="{00BDFCFB-C789-4D24-95F0-9B48FA9B5713}" uniqueName="3" name="Customer Name" queryTableFieldId="3" dataDxfId="8"/>
    <tableColumn id="4" xr3:uid="{E9F394FD-4417-4850-8F7F-AFFAA2543D52}" uniqueName="4" name="Region " queryTableFieldId="4" dataDxfId="7"/>
    <tableColumn id="5" xr3:uid="{E962CFD2-14E6-4E32-8206-88C781FDE3D0}" uniqueName="5" name="Product Category" queryTableFieldId="5" dataDxfId="6"/>
    <tableColumn id="6" xr3:uid="{A715B7ED-94E7-4F8E-874E-EB2EFA4AB943}" uniqueName="6" name="Product Name" queryTableFieldId="6" dataDxfId="5"/>
    <tableColumn id="7" xr3:uid="{483BAA47-68E0-4D4B-9F9B-9F98A374DB76}" uniqueName="7" name="Qty" queryTableFieldId="7"/>
    <tableColumn id="8" xr3:uid="{C72428A7-39A1-4B45-9339-A0421297C029}" uniqueName="8" name="unit Price" queryTableFieldId="8"/>
    <tableColumn id="9" xr3:uid="{0B96B047-C0C5-47B3-8CF5-911A92E69586}" uniqueName="9" name="Discount" queryTableFieldId="9"/>
    <tableColumn id="10" xr3:uid="{947890CE-BD86-45DA-A9EA-405737B56205}" uniqueName="10" name="Sales Rep new" queryTableFieldId="10" dataDxfId="4"/>
    <tableColumn id="11" xr3:uid="{EA8CA84D-44A5-4362-9D54-47E1A49592EF}" uniqueName="11" name="Payment Method" queryTableFieldId="11" dataDxfId="3"/>
    <tableColumn id="12" xr3:uid="{D48A5DA8-3AD6-4934-BAA9-D314F7A3266A}" uniqueName="12" name="Order Status " queryTableFieldId="1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D39CA-E326-4A48-BE0E-E160130C6A82}" name="Table1" displayName="Table1" ref="A1:M321" totalsRowShown="0" headerRowDxfId="10" headerRowBorderDxfId="23" tableBorderDxfId="24" totalsRowBorderDxfId="22">
  <autoFilter ref="A1:M321" xr:uid="{D2CD39CA-E326-4A48-BE0E-E160130C6A82}"/>
  <tableColumns count="13">
    <tableColumn id="1" xr3:uid="{1757F23C-4ADA-483A-AE1D-DFB56F301E27}" name="Order ID" dataDxfId="21"/>
    <tableColumn id="15" xr3:uid="{E2D750A1-18ED-4DA9-A022-A755736FCBE7}" name="Order Date" dataDxfId="1"/>
    <tableColumn id="3" xr3:uid="{587C1288-EA5E-4D35-A7D1-B0F06ADD3623}" name="Customer Name" dataDxfId="20"/>
    <tableColumn id="4" xr3:uid="{A34AD761-75DA-4057-99F2-F614665DC8EA}" name="Region " dataDxfId="19"/>
    <tableColumn id="5" xr3:uid="{CBC39792-20BE-4AF2-B3F4-0981FBC86181}" name="Product Category" dataDxfId="18"/>
    <tableColumn id="6" xr3:uid="{5888CDD9-160C-4896-81E9-5624DDCA8267}" name="Product Name" dataDxfId="17"/>
    <tableColumn id="7" xr3:uid="{273F1F8C-8550-4019-8730-3C1349C5C9A6}" name="Qty" dataDxfId="16"/>
    <tableColumn id="8" xr3:uid="{1324FF43-7130-4993-B6B2-BBC3AC8ADED0}" name="unit Price" dataDxfId="15" dataCellStyle="Currency"/>
    <tableColumn id="9" xr3:uid="{D4F73DBB-874E-4F8D-87A4-D3665B5F6D90}" name="Discount" dataDxfId="14"/>
    <tableColumn id="17" xr3:uid="{0D23C0B2-E101-408A-ACB4-1A2B26B1C926}" name="Line Total" dataDxfId="0"/>
    <tableColumn id="10" xr3:uid="{DDFD2A54-223B-4FE8-99FD-50C6FE640444}" name="Sales Representative" dataDxfId="13"/>
    <tableColumn id="11" xr3:uid="{6371DFAD-EE3A-423E-9226-99C39221B3B2}" name="Payment Method" dataDxfId="12"/>
    <tableColumn id="12" xr3:uid="{F79FC6BE-05DD-42E9-B299-B43DBB48A7C5}" name="Order Status 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90" customWidth="1"/>
  </cols>
  <sheetData>
    <row r="1" spans="1:2" ht="24.6" x14ac:dyDescent="0.4">
      <c r="A1" s="1" t="s">
        <v>0</v>
      </c>
    </row>
    <row r="2" spans="1:2" ht="15.6" x14ac:dyDescent="0.3">
      <c r="A2" s="2" t="s">
        <v>1</v>
      </c>
    </row>
    <row r="4" spans="1:2" ht="16.8" x14ac:dyDescent="0.3">
      <c r="A4" s="3" t="s">
        <v>2</v>
      </c>
    </row>
    <row r="5" spans="1:2" x14ac:dyDescent="0.3">
      <c r="A5" s="4" t="s">
        <v>3</v>
      </c>
      <c r="B5" s="4" t="s">
        <v>4</v>
      </c>
    </row>
    <row r="6" spans="1:2" ht="33.75" customHeight="1" x14ac:dyDescent="0.3">
      <c r="A6" s="5" t="s">
        <v>5</v>
      </c>
      <c r="B6" s="6" t="s">
        <v>6</v>
      </c>
    </row>
    <row r="7" spans="1:2" ht="33.75" customHeight="1" x14ac:dyDescent="0.3">
      <c r="A7" s="7" t="s">
        <v>7</v>
      </c>
      <c r="B7" s="8" t="s">
        <v>8</v>
      </c>
    </row>
    <row r="8" spans="1:2" ht="33.75" customHeight="1" x14ac:dyDescent="0.3">
      <c r="A8" s="5" t="s">
        <v>9</v>
      </c>
      <c r="B8" s="6" t="s">
        <v>10</v>
      </c>
    </row>
    <row r="9" spans="1:2" ht="33.75" customHeight="1" x14ac:dyDescent="0.3">
      <c r="A9" s="7" t="s">
        <v>11</v>
      </c>
      <c r="B9" s="8" t="s">
        <v>12</v>
      </c>
    </row>
    <row r="10" spans="1:2" ht="33.75" customHeight="1" x14ac:dyDescent="0.3">
      <c r="A10" s="5" t="s">
        <v>13</v>
      </c>
      <c r="B10" s="6" t="s">
        <v>14</v>
      </c>
    </row>
    <row r="11" spans="1:2" ht="33.75" customHeight="1" x14ac:dyDescent="0.3">
      <c r="A11" s="7" t="s">
        <v>15</v>
      </c>
      <c r="B11" s="8" t="s">
        <v>16</v>
      </c>
    </row>
    <row r="12" spans="1:2" ht="33.75" customHeight="1" x14ac:dyDescent="0.3">
      <c r="A12" s="5" t="s">
        <v>17</v>
      </c>
      <c r="B12" s="6" t="s">
        <v>18</v>
      </c>
    </row>
    <row r="14" spans="1:2" ht="16.8" x14ac:dyDescent="0.3">
      <c r="A14" s="3" t="s">
        <v>19</v>
      </c>
    </row>
    <row r="15" spans="1:2" x14ac:dyDescent="0.3">
      <c r="A15" s="9" t="s">
        <v>20</v>
      </c>
    </row>
    <row r="16" spans="1:2" x14ac:dyDescent="0.3">
      <c r="A16" s="9" t="s">
        <v>21</v>
      </c>
    </row>
    <row r="17" spans="1:1" x14ac:dyDescent="0.3">
      <c r="A17" s="9" t="s">
        <v>22</v>
      </c>
    </row>
    <row r="18" spans="1:1" x14ac:dyDescent="0.3">
      <c r="A18" s="9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E54C-CC1E-40DA-BB1E-2AD65FD0CE66}">
  <dimension ref="A1:L321"/>
  <sheetViews>
    <sheetView workbookViewId="0"/>
  </sheetViews>
  <sheetFormatPr defaultRowHeight="14.4" x14ac:dyDescent="0.3"/>
  <cols>
    <col min="1" max="1" width="10.21875" bestFit="1" customWidth="1"/>
    <col min="2" max="2" width="12.33203125" bestFit="1" customWidth="1"/>
    <col min="3" max="3" width="18" bestFit="1" customWidth="1"/>
    <col min="4" max="4" width="9.44140625" bestFit="1" customWidth="1"/>
    <col min="5" max="5" width="18" bestFit="1" customWidth="1"/>
    <col min="6" max="6" width="25.21875" bestFit="1" customWidth="1"/>
    <col min="7" max="7" width="6.21875" bestFit="1" customWidth="1"/>
    <col min="8" max="8" width="11.109375" bestFit="1" customWidth="1"/>
    <col min="9" max="9" width="10.5546875" bestFit="1" customWidth="1"/>
    <col min="10" max="10" width="15.109375" bestFit="1" customWidth="1"/>
    <col min="11" max="11" width="18.109375" bestFit="1" customWidth="1"/>
    <col min="12" max="12" width="14.109375" bestFit="1" customWidth="1"/>
  </cols>
  <sheetData>
    <row r="1" spans="1:12" x14ac:dyDescent="0.3">
      <c r="A1" t="s">
        <v>24</v>
      </c>
      <c r="B1" t="s">
        <v>25</v>
      </c>
      <c r="C1" t="s">
        <v>26</v>
      </c>
      <c r="D1" t="s">
        <v>208</v>
      </c>
      <c r="E1" t="s">
        <v>28</v>
      </c>
      <c r="F1" t="s">
        <v>29</v>
      </c>
      <c r="G1" t="s">
        <v>200</v>
      </c>
      <c r="H1" t="s">
        <v>201</v>
      </c>
      <c r="I1" t="s">
        <v>32</v>
      </c>
      <c r="J1" t="s">
        <v>202</v>
      </c>
      <c r="K1" t="s">
        <v>34</v>
      </c>
      <c r="L1" t="s">
        <v>207</v>
      </c>
    </row>
    <row r="2" spans="1:12" x14ac:dyDescent="0.3">
      <c r="A2">
        <v>10261</v>
      </c>
      <c r="B2" s="48">
        <v>45389</v>
      </c>
      <c r="C2" s="49" t="s">
        <v>36</v>
      </c>
      <c r="D2" s="49" t="s">
        <v>74</v>
      </c>
      <c r="E2" s="49" t="s">
        <v>37</v>
      </c>
      <c r="F2" s="49" t="s">
        <v>38</v>
      </c>
      <c r="G2">
        <v>1</v>
      </c>
      <c r="H2">
        <v>2999</v>
      </c>
      <c r="I2">
        <v>0.05</v>
      </c>
      <c r="J2" s="49" t="s">
        <v>39</v>
      </c>
      <c r="K2" s="49" t="s">
        <v>40</v>
      </c>
      <c r="L2" s="49" t="s">
        <v>41</v>
      </c>
    </row>
    <row r="3" spans="1:12" x14ac:dyDescent="0.3">
      <c r="A3">
        <v>10205</v>
      </c>
      <c r="B3" s="48">
        <v>45316</v>
      </c>
      <c r="C3" s="49" t="s">
        <v>42</v>
      </c>
      <c r="D3" s="49" t="s">
        <v>95</v>
      </c>
      <c r="E3" s="49" t="s">
        <v>75</v>
      </c>
      <c r="F3" s="49" t="s">
        <v>43</v>
      </c>
      <c r="G3">
        <v>2</v>
      </c>
      <c r="H3">
        <v>6499</v>
      </c>
      <c r="I3">
        <v>0.1</v>
      </c>
      <c r="J3" s="49" t="s">
        <v>44</v>
      </c>
      <c r="K3" s="49" t="s">
        <v>45</v>
      </c>
      <c r="L3" s="49" t="s">
        <v>46</v>
      </c>
    </row>
    <row r="4" spans="1:12" x14ac:dyDescent="0.3">
      <c r="A4">
        <v>10175</v>
      </c>
      <c r="B4" s="48">
        <v>45336</v>
      </c>
      <c r="C4" s="49" t="s">
        <v>47</v>
      </c>
      <c r="D4" s="49" t="s">
        <v>95</v>
      </c>
      <c r="E4" s="49" t="s">
        <v>75</v>
      </c>
      <c r="F4" s="49" t="s">
        <v>48</v>
      </c>
      <c r="G4">
        <v>4</v>
      </c>
      <c r="H4">
        <v>799</v>
      </c>
      <c r="I4">
        <v>0.05</v>
      </c>
      <c r="J4" s="49" t="s">
        <v>44</v>
      </c>
      <c r="K4" s="49" t="s">
        <v>49</v>
      </c>
      <c r="L4" s="49" t="s">
        <v>50</v>
      </c>
    </row>
    <row r="5" spans="1:12" x14ac:dyDescent="0.3">
      <c r="A5">
        <v>10111</v>
      </c>
      <c r="B5" s="48">
        <v>45482</v>
      </c>
      <c r="C5" s="49" t="s">
        <v>51</v>
      </c>
      <c r="D5" s="49" t="s">
        <v>52</v>
      </c>
      <c r="E5" s="49" t="s">
        <v>53</v>
      </c>
      <c r="F5" s="49" t="s">
        <v>54</v>
      </c>
      <c r="G5">
        <v>4</v>
      </c>
      <c r="H5">
        <v>149</v>
      </c>
      <c r="I5">
        <v>0.1</v>
      </c>
      <c r="J5" s="49" t="s">
        <v>67</v>
      </c>
      <c r="K5" s="49" t="s">
        <v>49</v>
      </c>
      <c r="L5" s="49" t="s">
        <v>41</v>
      </c>
    </row>
    <row r="6" spans="1:12" x14ac:dyDescent="0.3">
      <c r="A6">
        <v>10071</v>
      </c>
      <c r="B6" s="48">
        <v>45734</v>
      </c>
      <c r="C6" s="49" t="s">
        <v>97</v>
      </c>
      <c r="D6" s="49" t="s">
        <v>72</v>
      </c>
      <c r="E6" s="49" t="s">
        <v>55</v>
      </c>
      <c r="F6" s="49" t="s">
        <v>56</v>
      </c>
      <c r="G6">
        <v>5</v>
      </c>
      <c r="H6">
        <v>3999</v>
      </c>
      <c r="I6">
        <v>0.05</v>
      </c>
      <c r="J6" s="49" t="s">
        <v>44</v>
      </c>
      <c r="K6" s="49" t="s">
        <v>57</v>
      </c>
      <c r="L6" s="49" t="s">
        <v>50</v>
      </c>
    </row>
    <row r="7" spans="1:12" x14ac:dyDescent="0.3">
      <c r="A7">
        <v>10128</v>
      </c>
      <c r="B7" s="48">
        <v>45344</v>
      </c>
      <c r="C7" s="49" t="s">
        <v>96</v>
      </c>
      <c r="D7" s="49" t="s">
        <v>59</v>
      </c>
      <c r="E7" s="49" t="s">
        <v>53</v>
      </c>
      <c r="F7" s="49" t="s">
        <v>58</v>
      </c>
      <c r="G7">
        <v>1</v>
      </c>
      <c r="H7">
        <v>429</v>
      </c>
      <c r="I7">
        <v>0.05</v>
      </c>
      <c r="J7" s="49" t="s">
        <v>67</v>
      </c>
      <c r="K7" s="49" t="s">
        <v>49</v>
      </c>
      <c r="L7" s="49" t="s">
        <v>41</v>
      </c>
    </row>
    <row r="8" spans="1:12" x14ac:dyDescent="0.3">
      <c r="A8">
        <v>10308</v>
      </c>
      <c r="B8" s="48">
        <v>45349</v>
      </c>
      <c r="C8" s="49" t="s">
        <v>116</v>
      </c>
      <c r="D8" s="49" t="s">
        <v>59</v>
      </c>
      <c r="E8" s="49" t="s">
        <v>53</v>
      </c>
      <c r="F8" s="49" t="s">
        <v>60</v>
      </c>
      <c r="G8">
        <v>3</v>
      </c>
      <c r="H8">
        <v>349</v>
      </c>
      <c r="I8">
        <v>0.1</v>
      </c>
      <c r="J8" s="49" t="s">
        <v>67</v>
      </c>
      <c r="K8" s="49" t="s">
        <v>45</v>
      </c>
      <c r="L8" s="49" t="s">
        <v>50</v>
      </c>
    </row>
    <row r="9" spans="1:12" x14ac:dyDescent="0.3">
      <c r="A9">
        <v>10265</v>
      </c>
      <c r="B9" s="48">
        <v>45667</v>
      </c>
      <c r="C9" s="49" t="s">
        <v>51</v>
      </c>
      <c r="D9" s="49" t="s">
        <v>72</v>
      </c>
      <c r="E9" s="49" t="s">
        <v>69</v>
      </c>
      <c r="F9" s="49" t="s">
        <v>61</v>
      </c>
      <c r="G9">
        <v>3</v>
      </c>
      <c r="H9">
        <v>18999</v>
      </c>
      <c r="I9">
        <v>0</v>
      </c>
      <c r="J9" s="49" t="s">
        <v>39</v>
      </c>
      <c r="K9" s="49" t="s">
        <v>57</v>
      </c>
      <c r="L9" s="49" t="s">
        <v>41</v>
      </c>
    </row>
    <row r="10" spans="1:12" x14ac:dyDescent="0.3">
      <c r="A10">
        <v>10198</v>
      </c>
      <c r="B10" s="48">
        <v>45645</v>
      </c>
      <c r="C10" s="49" t="s">
        <v>62</v>
      </c>
      <c r="D10" s="49" t="s">
        <v>59</v>
      </c>
      <c r="E10" s="49" t="s">
        <v>69</v>
      </c>
      <c r="F10" s="49" t="s">
        <v>63</v>
      </c>
      <c r="G10">
        <v>4</v>
      </c>
      <c r="H10">
        <v>15999</v>
      </c>
      <c r="I10">
        <v>0.05</v>
      </c>
      <c r="J10" s="49" t="s">
        <v>67</v>
      </c>
      <c r="K10" s="49" t="s">
        <v>49</v>
      </c>
      <c r="L10" s="49" t="s">
        <v>46</v>
      </c>
    </row>
    <row r="11" spans="1:12" x14ac:dyDescent="0.3">
      <c r="A11">
        <v>10309</v>
      </c>
      <c r="B11" s="48">
        <v>45686</v>
      </c>
      <c r="C11" s="49" t="s">
        <v>112</v>
      </c>
      <c r="D11" s="49" t="s">
        <v>74</v>
      </c>
      <c r="E11" s="49" t="s">
        <v>75</v>
      </c>
      <c r="F11" s="49" t="s">
        <v>64</v>
      </c>
      <c r="G11">
        <v>2</v>
      </c>
      <c r="H11">
        <v>1799</v>
      </c>
      <c r="I11">
        <v>0.05</v>
      </c>
      <c r="J11" s="49" t="s">
        <v>39</v>
      </c>
      <c r="K11" s="49" t="s">
        <v>65</v>
      </c>
      <c r="L11" s="49" t="s">
        <v>41</v>
      </c>
    </row>
    <row r="12" spans="1:12" x14ac:dyDescent="0.3">
      <c r="A12">
        <v>10145</v>
      </c>
      <c r="B12" s="48">
        <v>45545</v>
      </c>
      <c r="C12" s="49" t="s">
        <v>107</v>
      </c>
      <c r="D12" s="49" t="s">
        <v>95</v>
      </c>
      <c r="E12" s="49" t="s">
        <v>75</v>
      </c>
      <c r="F12" s="49" t="s">
        <v>66</v>
      </c>
      <c r="G12">
        <v>5</v>
      </c>
      <c r="H12">
        <v>1499</v>
      </c>
      <c r="I12">
        <v>0</v>
      </c>
      <c r="J12" s="49" t="s">
        <v>67</v>
      </c>
      <c r="K12" s="49" t="s">
        <v>65</v>
      </c>
      <c r="L12" s="49" t="s">
        <v>41</v>
      </c>
    </row>
    <row r="13" spans="1:12" x14ac:dyDescent="0.3">
      <c r="A13">
        <v>10158</v>
      </c>
      <c r="B13" s="48">
        <v>45753</v>
      </c>
      <c r="C13" s="49" t="s">
        <v>42</v>
      </c>
      <c r="D13" s="49" t="s">
        <v>95</v>
      </c>
      <c r="E13" s="49" t="s">
        <v>69</v>
      </c>
      <c r="F13" s="49" t="s">
        <v>68</v>
      </c>
      <c r="G13">
        <v>4</v>
      </c>
      <c r="H13">
        <v>6999</v>
      </c>
      <c r="I13">
        <v>0.1</v>
      </c>
      <c r="J13" s="49" t="s">
        <v>204</v>
      </c>
      <c r="K13" s="49" t="s">
        <v>57</v>
      </c>
      <c r="L13" s="49" t="s">
        <v>46</v>
      </c>
    </row>
    <row r="14" spans="1:12" x14ac:dyDescent="0.3">
      <c r="A14">
        <v>10073</v>
      </c>
      <c r="B14" s="48"/>
      <c r="C14" s="49" t="s">
        <v>51</v>
      </c>
      <c r="D14" s="49" t="s">
        <v>72</v>
      </c>
      <c r="E14" s="49" t="s">
        <v>69</v>
      </c>
      <c r="F14" s="49" t="s">
        <v>70</v>
      </c>
      <c r="G14">
        <v>4</v>
      </c>
      <c r="H14">
        <v>5499</v>
      </c>
      <c r="I14">
        <v>0.05</v>
      </c>
      <c r="J14" s="49" t="s">
        <v>39</v>
      </c>
      <c r="K14" s="49" t="s">
        <v>57</v>
      </c>
      <c r="L14" s="49" t="s">
        <v>41</v>
      </c>
    </row>
    <row r="15" spans="1:12" x14ac:dyDescent="0.3">
      <c r="A15">
        <v>10155</v>
      </c>
      <c r="B15" s="48"/>
      <c r="C15" s="49" t="s">
        <v>115</v>
      </c>
      <c r="D15" s="49" t="s">
        <v>59</v>
      </c>
      <c r="E15" s="49" t="s">
        <v>69</v>
      </c>
      <c r="F15" s="49" t="s">
        <v>63</v>
      </c>
      <c r="G15">
        <v>0</v>
      </c>
      <c r="H15">
        <v>15999</v>
      </c>
      <c r="I15">
        <v>0.05</v>
      </c>
      <c r="J15" s="49" t="s">
        <v>44</v>
      </c>
      <c r="K15" s="49" t="s">
        <v>45</v>
      </c>
      <c r="L15" s="49" t="s">
        <v>41</v>
      </c>
    </row>
    <row r="16" spans="1:12" x14ac:dyDescent="0.3">
      <c r="A16">
        <v>10279</v>
      </c>
      <c r="B16" s="48">
        <v>45347</v>
      </c>
      <c r="C16" s="49" t="s">
        <v>71</v>
      </c>
      <c r="D16" s="49" t="s">
        <v>72</v>
      </c>
      <c r="E16" s="49" t="s">
        <v>55</v>
      </c>
      <c r="F16" s="49" t="s">
        <v>73</v>
      </c>
      <c r="G16">
        <v>6</v>
      </c>
      <c r="H16">
        <v>5499</v>
      </c>
      <c r="I16">
        <v>0.1</v>
      </c>
      <c r="J16" s="49" t="s">
        <v>44</v>
      </c>
      <c r="K16" s="49" t="s">
        <v>57</v>
      </c>
      <c r="L16" s="49" t="s">
        <v>41</v>
      </c>
    </row>
    <row r="17" spans="1:12" x14ac:dyDescent="0.3">
      <c r="A17">
        <v>10219</v>
      </c>
      <c r="B17" s="48">
        <v>45627</v>
      </c>
      <c r="C17" s="49" t="s">
        <v>118</v>
      </c>
      <c r="D17" s="49" t="s">
        <v>74</v>
      </c>
      <c r="E17" s="49" t="s">
        <v>75</v>
      </c>
      <c r="F17" s="49" t="s">
        <v>38</v>
      </c>
      <c r="G17">
        <v>4</v>
      </c>
      <c r="H17">
        <v>2999</v>
      </c>
      <c r="I17">
        <v>0.1</v>
      </c>
      <c r="J17" s="49" t="s">
        <v>39</v>
      </c>
      <c r="K17" s="49" t="s">
        <v>57</v>
      </c>
      <c r="L17" s="49" t="s">
        <v>50</v>
      </c>
    </row>
    <row r="18" spans="1:12" x14ac:dyDescent="0.3">
      <c r="A18">
        <v>10152</v>
      </c>
      <c r="B18" s="48">
        <v>45684</v>
      </c>
      <c r="C18" s="49" t="s">
        <v>93</v>
      </c>
      <c r="D18" s="49" t="s">
        <v>52</v>
      </c>
      <c r="E18" s="49" t="s">
        <v>75</v>
      </c>
      <c r="F18" s="49" t="s">
        <v>38</v>
      </c>
      <c r="G18">
        <v>4</v>
      </c>
      <c r="H18">
        <v>2999</v>
      </c>
      <c r="I18">
        <v>0.1</v>
      </c>
      <c r="J18" s="49" t="s">
        <v>108</v>
      </c>
      <c r="K18" s="49" t="s">
        <v>49</v>
      </c>
      <c r="L18" s="49" t="s">
        <v>50</v>
      </c>
    </row>
    <row r="19" spans="1:12" x14ac:dyDescent="0.3">
      <c r="A19">
        <v>10041</v>
      </c>
      <c r="B19" s="48">
        <v>45328</v>
      </c>
      <c r="C19" s="49" t="s">
        <v>106</v>
      </c>
      <c r="D19" s="49" t="s">
        <v>95</v>
      </c>
      <c r="E19" s="49" t="s">
        <v>76</v>
      </c>
      <c r="F19" s="49" t="s">
        <v>68</v>
      </c>
      <c r="G19">
        <v>6</v>
      </c>
      <c r="H19">
        <v>6999</v>
      </c>
      <c r="I19">
        <v>0</v>
      </c>
      <c r="J19" s="49" t="s">
        <v>108</v>
      </c>
      <c r="K19" s="49" t="s">
        <v>49</v>
      </c>
      <c r="L19" s="49" t="s">
        <v>41</v>
      </c>
    </row>
    <row r="20" spans="1:12" x14ac:dyDescent="0.3">
      <c r="A20">
        <v>10191</v>
      </c>
      <c r="B20" s="48">
        <v>45901</v>
      </c>
      <c r="C20" s="49" t="s">
        <v>77</v>
      </c>
      <c r="D20" s="49" t="s">
        <v>95</v>
      </c>
      <c r="E20" s="49" t="s">
        <v>78</v>
      </c>
      <c r="F20" s="49" t="s">
        <v>79</v>
      </c>
      <c r="G20">
        <v>4</v>
      </c>
      <c r="H20">
        <v>599</v>
      </c>
      <c r="I20">
        <v>0.05</v>
      </c>
      <c r="J20" s="49" t="s">
        <v>109</v>
      </c>
      <c r="K20" s="49" t="s">
        <v>45</v>
      </c>
      <c r="L20" s="49" t="s">
        <v>203</v>
      </c>
    </row>
    <row r="21" spans="1:12" x14ac:dyDescent="0.3">
      <c r="A21">
        <v>10181</v>
      </c>
      <c r="B21" s="48">
        <v>45642</v>
      </c>
      <c r="C21" s="49" t="s">
        <v>80</v>
      </c>
      <c r="D21" s="49" t="s">
        <v>59</v>
      </c>
      <c r="E21" s="49" t="s">
        <v>75</v>
      </c>
      <c r="F21" s="49" t="s">
        <v>43</v>
      </c>
      <c r="G21">
        <v>5</v>
      </c>
      <c r="H21">
        <v>6499</v>
      </c>
      <c r="I21">
        <v>0.1</v>
      </c>
      <c r="J21" s="49" t="s">
        <v>67</v>
      </c>
      <c r="K21" s="49" t="s">
        <v>65</v>
      </c>
      <c r="L21" s="49" t="s">
        <v>50</v>
      </c>
    </row>
    <row r="22" spans="1:12" x14ac:dyDescent="0.3">
      <c r="A22">
        <v>10238</v>
      </c>
      <c r="B22" s="48">
        <v>45575</v>
      </c>
      <c r="C22" s="49" t="s">
        <v>81</v>
      </c>
      <c r="D22" s="49" t="s">
        <v>59</v>
      </c>
      <c r="E22" s="49" t="s">
        <v>69</v>
      </c>
      <c r="F22" s="49" t="s">
        <v>82</v>
      </c>
      <c r="G22">
        <v>4</v>
      </c>
      <c r="H22">
        <v>8999</v>
      </c>
      <c r="I22">
        <v>0</v>
      </c>
      <c r="J22" s="49" t="s">
        <v>39</v>
      </c>
      <c r="K22" s="49" t="s">
        <v>40</v>
      </c>
      <c r="L22" s="49" t="s">
        <v>46</v>
      </c>
    </row>
    <row r="23" spans="1:12" x14ac:dyDescent="0.3">
      <c r="A23">
        <v>10217</v>
      </c>
      <c r="B23" s="48"/>
      <c r="C23" s="49" t="s">
        <v>77</v>
      </c>
      <c r="D23" s="49" t="s">
        <v>72</v>
      </c>
      <c r="E23" s="49" t="s">
        <v>53</v>
      </c>
      <c r="F23" s="49" t="s">
        <v>58</v>
      </c>
      <c r="G23">
        <v>2</v>
      </c>
      <c r="H23">
        <v>429</v>
      </c>
      <c r="I23">
        <v>0.1</v>
      </c>
      <c r="J23" s="49" t="s">
        <v>67</v>
      </c>
      <c r="K23" s="49" t="s">
        <v>57</v>
      </c>
      <c r="L23" s="49" t="s">
        <v>41</v>
      </c>
    </row>
    <row r="24" spans="1:12" x14ac:dyDescent="0.3">
      <c r="A24">
        <v>10085</v>
      </c>
      <c r="B24" s="48">
        <v>45605</v>
      </c>
      <c r="C24" s="49" t="s">
        <v>77</v>
      </c>
      <c r="D24" s="49" t="s">
        <v>95</v>
      </c>
      <c r="E24" s="49" t="s">
        <v>69</v>
      </c>
      <c r="F24" s="49" t="s">
        <v>83</v>
      </c>
      <c r="G24">
        <v>4</v>
      </c>
      <c r="H24">
        <v>1299</v>
      </c>
      <c r="I24">
        <v>0.1</v>
      </c>
      <c r="J24" s="49" t="s">
        <v>109</v>
      </c>
      <c r="K24" s="49" t="s">
        <v>57</v>
      </c>
      <c r="L24" s="49" t="s">
        <v>41</v>
      </c>
    </row>
    <row r="25" spans="1:12" x14ac:dyDescent="0.3">
      <c r="A25">
        <v>10053</v>
      </c>
      <c r="B25" s="48">
        <v>45643</v>
      </c>
      <c r="C25" s="49" t="s">
        <v>84</v>
      </c>
      <c r="D25" s="49" t="s">
        <v>59</v>
      </c>
      <c r="E25" s="49" t="s">
        <v>76</v>
      </c>
      <c r="F25" s="49" t="s">
        <v>85</v>
      </c>
      <c r="G25">
        <v>6</v>
      </c>
      <c r="H25">
        <v>24999</v>
      </c>
      <c r="I25">
        <v>0</v>
      </c>
      <c r="J25" s="49" t="s">
        <v>108</v>
      </c>
      <c r="K25" s="49" t="s">
        <v>57</v>
      </c>
      <c r="L25" s="49" t="s">
        <v>46</v>
      </c>
    </row>
    <row r="26" spans="1:12" x14ac:dyDescent="0.3">
      <c r="A26">
        <v>10022</v>
      </c>
      <c r="B26" s="48">
        <v>45665</v>
      </c>
      <c r="C26" s="49" t="s">
        <v>94</v>
      </c>
      <c r="D26" s="49" t="s">
        <v>74</v>
      </c>
      <c r="E26" s="49" t="s">
        <v>76</v>
      </c>
      <c r="F26" s="49" t="s">
        <v>82</v>
      </c>
      <c r="G26">
        <v>3</v>
      </c>
      <c r="H26">
        <v>8999</v>
      </c>
      <c r="I26">
        <v>0.05</v>
      </c>
      <c r="J26" s="49" t="s">
        <v>67</v>
      </c>
      <c r="K26" s="49" t="s">
        <v>40</v>
      </c>
      <c r="L26" s="49" t="s">
        <v>41</v>
      </c>
    </row>
    <row r="27" spans="1:12" x14ac:dyDescent="0.3">
      <c r="A27">
        <v>10018</v>
      </c>
      <c r="B27" s="48"/>
      <c r="C27" s="49" t="s">
        <v>89</v>
      </c>
      <c r="D27" s="49" t="s">
        <v>59</v>
      </c>
      <c r="E27" s="49" t="s">
        <v>53</v>
      </c>
      <c r="F27" s="49" t="s">
        <v>86</v>
      </c>
      <c r="G27">
        <v>3</v>
      </c>
      <c r="H27">
        <v>599</v>
      </c>
      <c r="I27">
        <v>0.05</v>
      </c>
      <c r="J27" s="49" t="s">
        <v>44</v>
      </c>
      <c r="K27" s="49" t="s">
        <v>65</v>
      </c>
      <c r="L27" s="49" t="s">
        <v>203</v>
      </c>
    </row>
    <row r="28" spans="1:12" x14ac:dyDescent="0.3">
      <c r="A28">
        <v>10089</v>
      </c>
      <c r="B28" s="48"/>
      <c r="C28" s="49" t="s">
        <v>205</v>
      </c>
      <c r="D28" s="49" t="s">
        <v>74</v>
      </c>
      <c r="E28" s="49" t="s">
        <v>55</v>
      </c>
      <c r="F28" s="49" t="s">
        <v>88</v>
      </c>
      <c r="G28">
        <v>4</v>
      </c>
      <c r="H28">
        <v>2499</v>
      </c>
      <c r="I28">
        <v>0</v>
      </c>
      <c r="J28" s="49" t="s">
        <v>39</v>
      </c>
      <c r="K28" s="49" t="s">
        <v>45</v>
      </c>
      <c r="L28" s="49" t="s">
        <v>50</v>
      </c>
    </row>
    <row r="29" spans="1:12" x14ac:dyDescent="0.3">
      <c r="A29">
        <v>10277</v>
      </c>
      <c r="B29" s="48">
        <v>45423</v>
      </c>
      <c r="C29" s="49" t="s">
        <v>89</v>
      </c>
      <c r="D29" s="49" t="s">
        <v>52</v>
      </c>
      <c r="E29" s="49" t="s">
        <v>53</v>
      </c>
      <c r="F29" s="49" t="s">
        <v>90</v>
      </c>
      <c r="G29">
        <v>6</v>
      </c>
      <c r="H29">
        <v>199</v>
      </c>
      <c r="I29">
        <v>0</v>
      </c>
      <c r="J29" s="49" t="s">
        <v>108</v>
      </c>
      <c r="K29" s="49" t="s">
        <v>45</v>
      </c>
      <c r="L29" s="49" t="s">
        <v>46</v>
      </c>
    </row>
    <row r="30" spans="1:12" x14ac:dyDescent="0.3">
      <c r="A30">
        <v>10165</v>
      </c>
      <c r="B30" s="48">
        <v>45331</v>
      </c>
      <c r="C30" s="49" t="s">
        <v>106</v>
      </c>
      <c r="D30" s="49" t="s">
        <v>72</v>
      </c>
      <c r="E30" s="49" t="s">
        <v>53</v>
      </c>
      <c r="F30" s="49" t="s">
        <v>91</v>
      </c>
      <c r="G30">
        <v>6</v>
      </c>
      <c r="H30">
        <v>249</v>
      </c>
      <c r="I30">
        <v>0.1</v>
      </c>
      <c r="J30" s="49" t="s">
        <v>44</v>
      </c>
      <c r="K30" s="49" t="s">
        <v>45</v>
      </c>
      <c r="L30" s="49" t="s">
        <v>41</v>
      </c>
    </row>
    <row r="31" spans="1:12" x14ac:dyDescent="0.3">
      <c r="A31">
        <v>10300</v>
      </c>
      <c r="B31" s="48"/>
      <c r="C31" s="49" t="s">
        <v>205</v>
      </c>
      <c r="D31" s="49" t="s">
        <v>72</v>
      </c>
      <c r="E31" s="49" t="s">
        <v>55</v>
      </c>
      <c r="F31" s="49" t="s">
        <v>92</v>
      </c>
      <c r="G31">
        <v>2</v>
      </c>
      <c r="H31">
        <v>799</v>
      </c>
      <c r="I31">
        <v>0.1</v>
      </c>
      <c r="J31" s="49" t="s">
        <v>108</v>
      </c>
      <c r="K31" s="49" t="s">
        <v>45</v>
      </c>
      <c r="L31" s="49" t="s">
        <v>46</v>
      </c>
    </row>
    <row r="32" spans="1:12" x14ac:dyDescent="0.3">
      <c r="A32">
        <v>10014</v>
      </c>
      <c r="B32" s="48"/>
      <c r="C32" s="49" t="s">
        <v>93</v>
      </c>
      <c r="D32" s="49" t="s">
        <v>74</v>
      </c>
      <c r="E32" s="49" t="s">
        <v>53</v>
      </c>
      <c r="F32" s="49" t="s">
        <v>58</v>
      </c>
      <c r="G32">
        <v>4</v>
      </c>
      <c r="H32">
        <v>429</v>
      </c>
      <c r="I32">
        <v>0.05</v>
      </c>
      <c r="J32" s="49" t="s">
        <v>39</v>
      </c>
      <c r="K32" s="49" t="s">
        <v>57</v>
      </c>
      <c r="L32" s="49" t="s">
        <v>41</v>
      </c>
    </row>
    <row r="33" spans="1:12" x14ac:dyDescent="0.3">
      <c r="A33">
        <v>10133</v>
      </c>
      <c r="B33" s="48">
        <v>45651</v>
      </c>
      <c r="C33" s="49" t="s">
        <v>94</v>
      </c>
      <c r="D33" s="49" t="s">
        <v>95</v>
      </c>
      <c r="E33" s="49" t="s">
        <v>55</v>
      </c>
      <c r="F33" s="49" t="s">
        <v>73</v>
      </c>
      <c r="G33">
        <v>6</v>
      </c>
      <c r="H33">
        <v>5499</v>
      </c>
      <c r="I33">
        <v>0.1</v>
      </c>
      <c r="J33" s="49" t="s">
        <v>44</v>
      </c>
      <c r="K33" s="49" t="s">
        <v>57</v>
      </c>
      <c r="L33" s="49" t="s">
        <v>46</v>
      </c>
    </row>
    <row r="34" spans="1:12" x14ac:dyDescent="0.3">
      <c r="A34">
        <v>10169</v>
      </c>
      <c r="B34" s="48">
        <v>45761</v>
      </c>
      <c r="C34" s="49" t="s">
        <v>96</v>
      </c>
      <c r="D34" s="49" t="s">
        <v>59</v>
      </c>
      <c r="E34" s="49" t="s">
        <v>53</v>
      </c>
      <c r="F34" s="49" t="s">
        <v>54</v>
      </c>
      <c r="G34">
        <v>3</v>
      </c>
      <c r="H34">
        <v>149</v>
      </c>
      <c r="I34">
        <v>0.1</v>
      </c>
      <c r="J34" s="49" t="s">
        <v>39</v>
      </c>
      <c r="K34" s="49" t="s">
        <v>57</v>
      </c>
      <c r="L34" s="49" t="s">
        <v>41</v>
      </c>
    </row>
    <row r="35" spans="1:12" x14ac:dyDescent="0.3">
      <c r="A35">
        <v>10245</v>
      </c>
      <c r="B35" s="48">
        <v>45507</v>
      </c>
      <c r="C35" s="49" t="s">
        <v>97</v>
      </c>
      <c r="D35" s="49" t="s">
        <v>59</v>
      </c>
      <c r="E35" s="49" t="s">
        <v>55</v>
      </c>
      <c r="F35" s="49" t="s">
        <v>73</v>
      </c>
      <c r="G35">
        <v>2</v>
      </c>
      <c r="H35">
        <v>5499</v>
      </c>
      <c r="I35">
        <v>0.05</v>
      </c>
      <c r="J35" s="49" t="s">
        <v>204</v>
      </c>
      <c r="K35" s="49" t="s">
        <v>65</v>
      </c>
      <c r="L35" s="49" t="s">
        <v>50</v>
      </c>
    </row>
    <row r="36" spans="1:12" x14ac:dyDescent="0.3">
      <c r="A36">
        <v>10197</v>
      </c>
      <c r="B36" s="48">
        <v>45351</v>
      </c>
      <c r="C36" s="49" t="s">
        <v>80</v>
      </c>
      <c r="D36" s="49" t="s">
        <v>52</v>
      </c>
      <c r="E36" s="49" t="s">
        <v>75</v>
      </c>
      <c r="F36" s="49" t="s">
        <v>66</v>
      </c>
      <c r="G36">
        <v>3</v>
      </c>
      <c r="H36">
        <v>1499</v>
      </c>
      <c r="I36">
        <v>0.1</v>
      </c>
      <c r="J36" s="49" t="s">
        <v>108</v>
      </c>
      <c r="K36" s="49" t="s">
        <v>65</v>
      </c>
      <c r="L36" s="49" t="s">
        <v>50</v>
      </c>
    </row>
    <row r="37" spans="1:12" x14ac:dyDescent="0.3">
      <c r="A37">
        <v>10140</v>
      </c>
      <c r="B37" s="48">
        <v>45501</v>
      </c>
      <c r="C37" s="49" t="s">
        <v>205</v>
      </c>
      <c r="D37" s="49" t="s">
        <v>95</v>
      </c>
      <c r="E37" s="49" t="s">
        <v>69</v>
      </c>
      <c r="F37" s="49" t="s">
        <v>82</v>
      </c>
      <c r="G37">
        <v>4</v>
      </c>
      <c r="H37">
        <v>8999</v>
      </c>
      <c r="I37">
        <v>0.05</v>
      </c>
      <c r="J37" s="49" t="s">
        <v>39</v>
      </c>
      <c r="K37" s="49" t="s">
        <v>45</v>
      </c>
      <c r="L37" s="49" t="s">
        <v>203</v>
      </c>
    </row>
    <row r="38" spans="1:12" x14ac:dyDescent="0.3">
      <c r="A38">
        <v>10094</v>
      </c>
      <c r="B38" s="48">
        <v>45689</v>
      </c>
      <c r="C38" s="49" t="s">
        <v>98</v>
      </c>
      <c r="D38" s="49" t="s">
        <v>95</v>
      </c>
      <c r="E38" s="49" t="s">
        <v>75</v>
      </c>
      <c r="F38" s="49" t="s">
        <v>99</v>
      </c>
      <c r="G38">
        <v>2</v>
      </c>
      <c r="H38">
        <v>12999</v>
      </c>
      <c r="I38">
        <v>0</v>
      </c>
      <c r="J38" s="49" t="s">
        <v>109</v>
      </c>
      <c r="K38" s="49" t="s">
        <v>65</v>
      </c>
      <c r="L38" s="49" t="s">
        <v>41</v>
      </c>
    </row>
    <row r="39" spans="1:12" x14ac:dyDescent="0.3">
      <c r="A39">
        <v>10315</v>
      </c>
      <c r="B39" s="48">
        <v>45566</v>
      </c>
      <c r="C39" s="49" t="s">
        <v>89</v>
      </c>
      <c r="D39" s="49" t="s">
        <v>59</v>
      </c>
      <c r="E39" s="49" t="s">
        <v>75</v>
      </c>
      <c r="F39" s="49" t="s">
        <v>43</v>
      </c>
      <c r="G39">
        <v>0</v>
      </c>
      <c r="H39">
        <v>6499</v>
      </c>
      <c r="I39">
        <v>0.05</v>
      </c>
      <c r="J39" s="49" t="s">
        <v>108</v>
      </c>
      <c r="K39" s="49" t="s">
        <v>40</v>
      </c>
      <c r="L39" s="49" t="s">
        <v>50</v>
      </c>
    </row>
    <row r="40" spans="1:12" x14ac:dyDescent="0.3">
      <c r="A40">
        <v>10098</v>
      </c>
      <c r="B40" s="48"/>
      <c r="C40" s="49" t="s">
        <v>111</v>
      </c>
      <c r="D40" s="49" t="s">
        <v>59</v>
      </c>
      <c r="E40" s="49" t="s">
        <v>75</v>
      </c>
      <c r="F40" s="49" t="s">
        <v>100</v>
      </c>
      <c r="G40">
        <v>3</v>
      </c>
      <c r="H40">
        <v>5999</v>
      </c>
      <c r="I40">
        <v>0</v>
      </c>
      <c r="J40" s="49" t="s">
        <v>67</v>
      </c>
      <c r="K40" s="49" t="s">
        <v>57</v>
      </c>
      <c r="L40" s="49" t="s">
        <v>46</v>
      </c>
    </row>
    <row r="41" spans="1:12" x14ac:dyDescent="0.3">
      <c r="A41">
        <v>10190</v>
      </c>
      <c r="B41" s="48">
        <v>45616</v>
      </c>
      <c r="C41" s="49" t="s">
        <v>106</v>
      </c>
      <c r="D41" s="49" t="s">
        <v>59</v>
      </c>
      <c r="E41" s="49" t="s">
        <v>55</v>
      </c>
      <c r="F41" s="49" t="s">
        <v>88</v>
      </c>
      <c r="G41">
        <v>4</v>
      </c>
      <c r="H41">
        <v>2499</v>
      </c>
      <c r="I41">
        <v>0.05</v>
      </c>
      <c r="J41" s="49" t="s">
        <v>39</v>
      </c>
      <c r="K41" s="49" t="s">
        <v>40</v>
      </c>
      <c r="L41" s="49" t="s">
        <v>46</v>
      </c>
    </row>
    <row r="42" spans="1:12" x14ac:dyDescent="0.3">
      <c r="A42">
        <v>10201</v>
      </c>
      <c r="B42" s="48">
        <v>45317</v>
      </c>
      <c r="C42" s="49" t="s">
        <v>111</v>
      </c>
      <c r="D42" s="49" t="s">
        <v>95</v>
      </c>
      <c r="E42" s="49" t="s">
        <v>53</v>
      </c>
      <c r="F42" s="49" t="s">
        <v>101</v>
      </c>
      <c r="G42">
        <v>4</v>
      </c>
      <c r="H42">
        <v>99</v>
      </c>
      <c r="I42">
        <v>0.05</v>
      </c>
      <c r="J42" s="49" t="s">
        <v>39</v>
      </c>
      <c r="K42" s="49" t="s">
        <v>40</v>
      </c>
      <c r="L42" s="49" t="s">
        <v>41</v>
      </c>
    </row>
    <row r="43" spans="1:12" x14ac:dyDescent="0.3">
      <c r="A43">
        <v>10173</v>
      </c>
      <c r="B43" s="48">
        <v>45475</v>
      </c>
      <c r="C43" s="49" t="s">
        <v>98</v>
      </c>
      <c r="D43" s="49" t="s">
        <v>95</v>
      </c>
      <c r="E43" s="49" t="s">
        <v>53</v>
      </c>
      <c r="F43" s="49" t="s">
        <v>54</v>
      </c>
      <c r="G43">
        <v>1</v>
      </c>
      <c r="H43">
        <v>149</v>
      </c>
      <c r="I43">
        <v>0</v>
      </c>
      <c r="J43" s="49" t="s">
        <v>108</v>
      </c>
      <c r="K43" s="49" t="s">
        <v>65</v>
      </c>
      <c r="L43" s="49" t="s">
        <v>41</v>
      </c>
    </row>
    <row r="44" spans="1:12" x14ac:dyDescent="0.3">
      <c r="A44">
        <v>10200</v>
      </c>
      <c r="B44" s="48">
        <v>45538</v>
      </c>
      <c r="C44" s="49" t="s">
        <v>77</v>
      </c>
      <c r="D44" s="49" t="s">
        <v>72</v>
      </c>
      <c r="E44" s="49" t="s">
        <v>53</v>
      </c>
      <c r="F44" s="49" t="s">
        <v>102</v>
      </c>
      <c r="G44">
        <v>5</v>
      </c>
      <c r="H44">
        <v>899</v>
      </c>
      <c r="I44">
        <v>0</v>
      </c>
      <c r="J44" s="49" t="s">
        <v>44</v>
      </c>
      <c r="K44" s="49" t="s">
        <v>49</v>
      </c>
      <c r="L44" s="49" t="s">
        <v>41</v>
      </c>
    </row>
    <row r="45" spans="1:12" x14ac:dyDescent="0.3">
      <c r="A45">
        <v>10153</v>
      </c>
      <c r="B45" s="48">
        <v>45325</v>
      </c>
      <c r="C45" s="49" t="s">
        <v>47</v>
      </c>
      <c r="D45" s="49" t="s">
        <v>72</v>
      </c>
      <c r="E45" s="49" t="s">
        <v>53</v>
      </c>
      <c r="F45" s="49" t="s">
        <v>54</v>
      </c>
      <c r="G45">
        <v>6</v>
      </c>
      <c r="H45">
        <v>149</v>
      </c>
      <c r="I45">
        <v>0.1</v>
      </c>
      <c r="J45" s="49" t="s">
        <v>67</v>
      </c>
      <c r="K45" s="49" t="s">
        <v>57</v>
      </c>
      <c r="L45" s="49" t="s">
        <v>41</v>
      </c>
    </row>
    <row r="46" spans="1:12" x14ac:dyDescent="0.3">
      <c r="A46">
        <v>10236</v>
      </c>
      <c r="B46" s="48">
        <v>45425</v>
      </c>
      <c r="C46" s="49" t="s">
        <v>81</v>
      </c>
      <c r="D46" s="49" t="s">
        <v>59</v>
      </c>
      <c r="E46" s="49" t="s">
        <v>76</v>
      </c>
      <c r="F46" s="49" t="s">
        <v>61</v>
      </c>
      <c r="G46">
        <v>2</v>
      </c>
      <c r="H46">
        <v>18999</v>
      </c>
      <c r="I46">
        <v>0</v>
      </c>
      <c r="J46" s="49" t="s">
        <v>204</v>
      </c>
      <c r="K46" s="49" t="s">
        <v>57</v>
      </c>
      <c r="L46" s="49" t="s">
        <v>41</v>
      </c>
    </row>
    <row r="47" spans="1:12" x14ac:dyDescent="0.3">
      <c r="A47">
        <v>10294</v>
      </c>
      <c r="B47" s="48">
        <v>45431</v>
      </c>
      <c r="C47" s="49" t="s">
        <v>96</v>
      </c>
      <c r="D47" s="49" t="s">
        <v>52</v>
      </c>
      <c r="E47" s="49" t="s">
        <v>53</v>
      </c>
      <c r="F47" s="49" t="s">
        <v>102</v>
      </c>
      <c r="G47">
        <v>5</v>
      </c>
      <c r="H47">
        <v>899</v>
      </c>
      <c r="I47">
        <v>0</v>
      </c>
      <c r="J47" s="49" t="s">
        <v>39</v>
      </c>
      <c r="K47" s="49" t="s">
        <v>57</v>
      </c>
      <c r="L47" s="49" t="s">
        <v>46</v>
      </c>
    </row>
    <row r="48" spans="1:12" x14ac:dyDescent="0.3">
      <c r="A48">
        <v>10033</v>
      </c>
      <c r="B48" s="48"/>
      <c r="C48" s="49" t="s">
        <v>93</v>
      </c>
      <c r="D48" s="49" t="s">
        <v>59</v>
      </c>
      <c r="E48" s="49" t="s">
        <v>69</v>
      </c>
      <c r="F48" s="49" t="s">
        <v>83</v>
      </c>
      <c r="G48">
        <v>3</v>
      </c>
      <c r="H48">
        <v>1299</v>
      </c>
      <c r="I48">
        <v>0.05</v>
      </c>
      <c r="J48" s="49" t="s">
        <v>108</v>
      </c>
      <c r="K48" s="49" t="s">
        <v>57</v>
      </c>
      <c r="L48" s="49" t="s">
        <v>50</v>
      </c>
    </row>
    <row r="49" spans="1:12" x14ac:dyDescent="0.3">
      <c r="A49">
        <v>10011</v>
      </c>
      <c r="B49" s="48"/>
      <c r="C49" s="49" t="s">
        <v>106</v>
      </c>
      <c r="D49" s="49" t="s">
        <v>59</v>
      </c>
      <c r="E49" s="49" t="s">
        <v>53</v>
      </c>
      <c r="F49" s="49" t="s">
        <v>60</v>
      </c>
      <c r="G49">
        <v>2</v>
      </c>
      <c r="H49">
        <v>349</v>
      </c>
      <c r="I49">
        <v>0.1</v>
      </c>
      <c r="J49" s="49" t="s">
        <v>204</v>
      </c>
      <c r="K49" s="49" t="s">
        <v>45</v>
      </c>
      <c r="L49" s="49" t="s">
        <v>41</v>
      </c>
    </row>
    <row r="50" spans="1:12" x14ac:dyDescent="0.3">
      <c r="A50">
        <v>10283</v>
      </c>
      <c r="B50" s="48">
        <v>45526</v>
      </c>
      <c r="C50" s="49" t="s">
        <v>89</v>
      </c>
      <c r="D50" s="49" t="s">
        <v>52</v>
      </c>
      <c r="E50" s="49" t="s">
        <v>55</v>
      </c>
      <c r="F50" s="49" t="s">
        <v>92</v>
      </c>
      <c r="G50">
        <v>2</v>
      </c>
      <c r="H50">
        <v>799</v>
      </c>
      <c r="I50">
        <v>0</v>
      </c>
      <c r="J50" s="49" t="s">
        <v>108</v>
      </c>
      <c r="K50" s="49" t="s">
        <v>40</v>
      </c>
      <c r="L50" s="49" t="s">
        <v>41</v>
      </c>
    </row>
    <row r="51" spans="1:12" x14ac:dyDescent="0.3">
      <c r="A51">
        <v>10137</v>
      </c>
      <c r="B51" s="48">
        <v>45706</v>
      </c>
      <c r="C51" s="49" t="s">
        <v>94</v>
      </c>
      <c r="D51" s="49" t="s">
        <v>72</v>
      </c>
      <c r="E51" s="49" t="s">
        <v>53</v>
      </c>
      <c r="F51" s="49" t="s">
        <v>101</v>
      </c>
      <c r="G51">
        <v>6</v>
      </c>
      <c r="H51">
        <v>99</v>
      </c>
      <c r="I51">
        <v>0.1</v>
      </c>
      <c r="J51" s="49" t="s">
        <v>109</v>
      </c>
      <c r="K51" s="49" t="s">
        <v>65</v>
      </c>
      <c r="L51" s="49" t="s">
        <v>41</v>
      </c>
    </row>
    <row r="52" spans="1:12" x14ac:dyDescent="0.3">
      <c r="A52">
        <v>10235</v>
      </c>
      <c r="B52" s="48">
        <v>45634</v>
      </c>
      <c r="C52" s="49" t="s">
        <v>112</v>
      </c>
      <c r="D52" s="49" t="s">
        <v>52</v>
      </c>
      <c r="E52" s="49" t="s">
        <v>37</v>
      </c>
      <c r="F52" s="49" t="s">
        <v>64</v>
      </c>
      <c r="G52">
        <v>1</v>
      </c>
      <c r="H52">
        <v>1799</v>
      </c>
      <c r="I52">
        <v>0.05</v>
      </c>
      <c r="J52" s="49" t="s">
        <v>204</v>
      </c>
      <c r="K52" s="49" t="s">
        <v>57</v>
      </c>
      <c r="L52" s="49" t="s">
        <v>41</v>
      </c>
    </row>
    <row r="53" spans="1:12" x14ac:dyDescent="0.3">
      <c r="A53">
        <v>10289</v>
      </c>
      <c r="B53" s="48"/>
      <c r="C53" s="49" t="s">
        <v>114</v>
      </c>
      <c r="D53" s="49" t="s">
        <v>59</v>
      </c>
      <c r="E53" s="49" t="s">
        <v>75</v>
      </c>
      <c r="F53" s="49" t="s">
        <v>64</v>
      </c>
      <c r="G53">
        <v>5</v>
      </c>
      <c r="H53">
        <v>1799</v>
      </c>
      <c r="I53">
        <v>0</v>
      </c>
      <c r="J53" s="49" t="s">
        <v>109</v>
      </c>
      <c r="K53" s="49" t="s">
        <v>40</v>
      </c>
      <c r="L53" s="49" t="s">
        <v>46</v>
      </c>
    </row>
    <row r="54" spans="1:12" x14ac:dyDescent="0.3">
      <c r="A54">
        <v>10207</v>
      </c>
      <c r="B54" s="48"/>
      <c r="C54" s="49" t="s">
        <v>42</v>
      </c>
      <c r="D54" s="49" t="s">
        <v>72</v>
      </c>
      <c r="E54" s="49" t="s">
        <v>53</v>
      </c>
      <c r="F54" s="49" t="s">
        <v>90</v>
      </c>
      <c r="G54">
        <v>6</v>
      </c>
      <c r="H54">
        <v>199</v>
      </c>
      <c r="I54">
        <v>0</v>
      </c>
      <c r="J54" s="49" t="s">
        <v>67</v>
      </c>
      <c r="K54" s="49" t="s">
        <v>40</v>
      </c>
      <c r="L54" s="49" t="s">
        <v>41</v>
      </c>
    </row>
    <row r="55" spans="1:12" x14ac:dyDescent="0.3">
      <c r="A55">
        <v>10302</v>
      </c>
      <c r="B55" s="48">
        <v>45712</v>
      </c>
      <c r="C55" s="49" t="s">
        <v>77</v>
      </c>
      <c r="D55" s="49" t="s">
        <v>59</v>
      </c>
      <c r="E55" s="49" t="s">
        <v>55</v>
      </c>
      <c r="F55" s="49" t="s">
        <v>88</v>
      </c>
      <c r="G55">
        <v>5</v>
      </c>
      <c r="H55">
        <v>2499</v>
      </c>
      <c r="I55">
        <v>0</v>
      </c>
      <c r="J55" s="49" t="s">
        <v>108</v>
      </c>
      <c r="K55" s="49" t="s">
        <v>40</v>
      </c>
      <c r="L55" s="49" t="s">
        <v>50</v>
      </c>
    </row>
    <row r="56" spans="1:12" x14ac:dyDescent="0.3">
      <c r="A56">
        <v>10135</v>
      </c>
      <c r="B56" s="48">
        <v>45470</v>
      </c>
      <c r="C56" s="49" t="s">
        <v>47</v>
      </c>
      <c r="D56" s="49" t="s">
        <v>59</v>
      </c>
      <c r="E56" s="49" t="s">
        <v>78</v>
      </c>
      <c r="F56" s="49" t="s">
        <v>103</v>
      </c>
      <c r="G56">
        <v>1</v>
      </c>
      <c r="H56">
        <v>999</v>
      </c>
      <c r="I56">
        <v>0</v>
      </c>
      <c r="J56" s="49" t="s">
        <v>109</v>
      </c>
      <c r="K56" s="49" t="s">
        <v>65</v>
      </c>
      <c r="L56" s="49" t="s">
        <v>41</v>
      </c>
    </row>
    <row r="57" spans="1:12" x14ac:dyDescent="0.3">
      <c r="A57">
        <v>10295</v>
      </c>
      <c r="B57" s="48"/>
      <c r="C57" s="49" t="s">
        <v>106</v>
      </c>
      <c r="D57" s="49" t="s">
        <v>59</v>
      </c>
      <c r="E57" s="49" t="s">
        <v>69</v>
      </c>
      <c r="F57" s="49" t="s">
        <v>104</v>
      </c>
      <c r="G57">
        <v>1</v>
      </c>
      <c r="H57">
        <v>4999</v>
      </c>
      <c r="I57">
        <v>0.1</v>
      </c>
      <c r="J57" s="49" t="s">
        <v>44</v>
      </c>
      <c r="K57" s="49" t="s">
        <v>45</v>
      </c>
      <c r="L57" s="49" t="s">
        <v>41</v>
      </c>
    </row>
    <row r="58" spans="1:12" x14ac:dyDescent="0.3">
      <c r="A58">
        <v>10162</v>
      </c>
      <c r="B58" s="48">
        <v>45638</v>
      </c>
      <c r="C58" s="49" t="s">
        <v>47</v>
      </c>
      <c r="D58" s="49" t="s">
        <v>59</v>
      </c>
      <c r="E58" s="49" t="s">
        <v>75</v>
      </c>
      <c r="F58" s="49" t="s">
        <v>105</v>
      </c>
      <c r="G58">
        <v>2</v>
      </c>
      <c r="H58">
        <v>1199</v>
      </c>
      <c r="I58">
        <v>0</v>
      </c>
      <c r="J58" s="49" t="s">
        <v>39</v>
      </c>
      <c r="K58" s="49" t="s">
        <v>45</v>
      </c>
      <c r="L58" s="49" t="s">
        <v>41</v>
      </c>
    </row>
    <row r="59" spans="1:12" x14ac:dyDescent="0.3">
      <c r="A59">
        <v>10307</v>
      </c>
      <c r="B59" s="48">
        <v>45425</v>
      </c>
      <c r="C59" s="49" t="s">
        <v>106</v>
      </c>
      <c r="D59" s="49" t="s">
        <v>52</v>
      </c>
      <c r="E59" s="49" t="s">
        <v>69</v>
      </c>
      <c r="F59" s="49" t="s">
        <v>85</v>
      </c>
      <c r="G59">
        <v>5</v>
      </c>
      <c r="H59">
        <v>24999</v>
      </c>
      <c r="I59">
        <v>0.1</v>
      </c>
      <c r="J59" s="49" t="s">
        <v>108</v>
      </c>
      <c r="K59" s="49" t="s">
        <v>49</v>
      </c>
      <c r="L59" s="49" t="s">
        <v>41</v>
      </c>
    </row>
    <row r="60" spans="1:12" x14ac:dyDescent="0.3">
      <c r="A60">
        <v>10172</v>
      </c>
      <c r="B60" s="48">
        <v>45931</v>
      </c>
      <c r="C60" s="49" t="s">
        <v>93</v>
      </c>
      <c r="D60" s="49" t="s">
        <v>74</v>
      </c>
      <c r="E60" s="49" t="s">
        <v>53</v>
      </c>
      <c r="F60" s="49" t="s">
        <v>90</v>
      </c>
      <c r="G60">
        <v>1</v>
      </c>
      <c r="H60">
        <v>199</v>
      </c>
      <c r="I60">
        <v>0.15</v>
      </c>
      <c r="J60" s="49" t="s">
        <v>67</v>
      </c>
      <c r="K60" s="49" t="s">
        <v>40</v>
      </c>
      <c r="L60" s="49" t="s">
        <v>41</v>
      </c>
    </row>
    <row r="61" spans="1:12" x14ac:dyDescent="0.3">
      <c r="A61">
        <v>10031</v>
      </c>
      <c r="B61" s="48">
        <v>45394</v>
      </c>
      <c r="C61" s="49" t="s">
        <v>114</v>
      </c>
      <c r="D61" s="49" t="s">
        <v>52</v>
      </c>
      <c r="E61" s="49" t="s">
        <v>75</v>
      </c>
      <c r="F61" s="49" t="s">
        <v>64</v>
      </c>
      <c r="G61">
        <v>6</v>
      </c>
      <c r="H61">
        <v>1799</v>
      </c>
      <c r="I61">
        <v>0.05</v>
      </c>
      <c r="J61" s="49" t="s">
        <v>108</v>
      </c>
      <c r="K61" s="49" t="s">
        <v>40</v>
      </c>
      <c r="L61" s="49" t="s">
        <v>46</v>
      </c>
    </row>
    <row r="62" spans="1:12" x14ac:dyDescent="0.3">
      <c r="A62">
        <v>10215</v>
      </c>
      <c r="B62" s="48">
        <v>45698</v>
      </c>
      <c r="C62" s="49" t="s">
        <v>107</v>
      </c>
      <c r="D62" s="49" t="s">
        <v>74</v>
      </c>
      <c r="E62" s="49" t="s">
        <v>55</v>
      </c>
      <c r="F62" s="49" t="s">
        <v>79</v>
      </c>
      <c r="G62">
        <v>0</v>
      </c>
      <c r="H62">
        <v>599</v>
      </c>
      <c r="I62">
        <v>0.05</v>
      </c>
      <c r="J62" s="49" t="s">
        <v>39</v>
      </c>
      <c r="K62" s="49" t="s">
        <v>40</v>
      </c>
      <c r="L62" s="49" t="s">
        <v>41</v>
      </c>
    </row>
    <row r="63" spans="1:12" x14ac:dyDescent="0.3">
      <c r="A63">
        <v>10067</v>
      </c>
      <c r="B63" s="48"/>
      <c r="C63" s="49" t="s">
        <v>205</v>
      </c>
      <c r="D63" s="49" t="s">
        <v>72</v>
      </c>
      <c r="E63" s="49" t="s">
        <v>69</v>
      </c>
      <c r="F63" s="49" t="s">
        <v>68</v>
      </c>
      <c r="G63">
        <v>1</v>
      </c>
      <c r="H63">
        <v>6999</v>
      </c>
      <c r="I63">
        <v>0.05</v>
      </c>
      <c r="J63" s="49" t="s">
        <v>108</v>
      </c>
      <c r="K63" s="49" t="s">
        <v>65</v>
      </c>
      <c r="L63" s="49" t="s">
        <v>203</v>
      </c>
    </row>
    <row r="64" spans="1:12" x14ac:dyDescent="0.3">
      <c r="A64">
        <v>10026</v>
      </c>
      <c r="B64" s="48"/>
      <c r="C64" s="49" t="s">
        <v>62</v>
      </c>
      <c r="D64" s="49" t="s">
        <v>95</v>
      </c>
      <c r="E64" s="49" t="s">
        <v>75</v>
      </c>
      <c r="F64" s="49" t="s">
        <v>66</v>
      </c>
      <c r="G64">
        <v>6</v>
      </c>
      <c r="H64">
        <v>1499</v>
      </c>
      <c r="I64">
        <v>0.05</v>
      </c>
      <c r="J64" s="49" t="s">
        <v>39</v>
      </c>
      <c r="K64" s="49" t="s">
        <v>57</v>
      </c>
      <c r="L64" s="49" t="s">
        <v>41</v>
      </c>
    </row>
    <row r="65" spans="1:12" x14ac:dyDescent="0.3">
      <c r="A65">
        <v>10174</v>
      </c>
      <c r="B65" s="48">
        <v>45343</v>
      </c>
      <c r="C65" s="49" t="s">
        <v>98</v>
      </c>
      <c r="D65" s="49" t="s">
        <v>74</v>
      </c>
      <c r="E65" s="49" t="s">
        <v>55</v>
      </c>
      <c r="F65" s="49" t="s">
        <v>79</v>
      </c>
      <c r="G65">
        <v>2</v>
      </c>
      <c r="H65">
        <v>599</v>
      </c>
      <c r="I65">
        <v>0</v>
      </c>
      <c r="J65" s="49" t="s">
        <v>109</v>
      </c>
      <c r="K65" s="49" t="s">
        <v>65</v>
      </c>
      <c r="L65" s="49" t="s">
        <v>41</v>
      </c>
    </row>
    <row r="66" spans="1:12" x14ac:dyDescent="0.3">
      <c r="A66">
        <v>10078</v>
      </c>
      <c r="B66" s="48">
        <v>45738</v>
      </c>
      <c r="C66" s="49" t="s">
        <v>107</v>
      </c>
      <c r="D66" s="49" t="s">
        <v>95</v>
      </c>
      <c r="E66" s="49" t="s">
        <v>55</v>
      </c>
      <c r="F66" s="49" t="s">
        <v>92</v>
      </c>
      <c r="G66">
        <v>2</v>
      </c>
      <c r="H66">
        <v>799</v>
      </c>
      <c r="I66">
        <v>0</v>
      </c>
      <c r="J66" s="49" t="s">
        <v>44</v>
      </c>
      <c r="K66" s="49" t="s">
        <v>49</v>
      </c>
      <c r="L66" s="49" t="s">
        <v>41</v>
      </c>
    </row>
    <row r="67" spans="1:12" x14ac:dyDescent="0.3">
      <c r="A67">
        <v>10131</v>
      </c>
      <c r="B67" s="48">
        <v>45787</v>
      </c>
      <c r="C67" s="49" t="s">
        <v>98</v>
      </c>
      <c r="D67" s="49" t="s">
        <v>59</v>
      </c>
      <c r="E67" s="49" t="s">
        <v>53</v>
      </c>
      <c r="F67" s="49" t="s">
        <v>86</v>
      </c>
      <c r="G67">
        <v>2</v>
      </c>
      <c r="H67">
        <v>599</v>
      </c>
      <c r="I67">
        <v>0.15</v>
      </c>
      <c r="J67" s="49" t="s">
        <v>44</v>
      </c>
      <c r="K67" s="49" t="s">
        <v>65</v>
      </c>
      <c r="L67" s="49" t="s">
        <v>41</v>
      </c>
    </row>
    <row r="68" spans="1:12" x14ac:dyDescent="0.3">
      <c r="A68">
        <v>10233</v>
      </c>
      <c r="B68" s="48">
        <v>45294</v>
      </c>
      <c r="C68" s="49" t="s">
        <v>94</v>
      </c>
      <c r="D68" s="49" t="s">
        <v>72</v>
      </c>
      <c r="E68" s="49" t="s">
        <v>55</v>
      </c>
      <c r="F68" s="49" t="s">
        <v>92</v>
      </c>
      <c r="G68">
        <v>6</v>
      </c>
      <c r="H68">
        <v>799</v>
      </c>
      <c r="I68">
        <v>0.1</v>
      </c>
      <c r="J68" s="49" t="s">
        <v>44</v>
      </c>
      <c r="K68" s="49" t="s">
        <v>45</v>
      </c>
      <c r="L68" s="49" t="s">
        <v>50</v>
      </c>
    </row>
    <row r="69" spans="1:12" x14ac:dyDescent="0.3">
      <c r="A69">
        <v>10306</v>
      </c>
      <c r="B69" s="48">
        <v>45754</v>
      </c>
      <c r="C69" s="49" t="s">
        <v>98</v>
      </c>
      <c r="D69" s="49" t="s">
        <v>95</v>
      </c>
      <c r="E69" s="49" t="s">
        <v>75</v>
      </c>
      <c r="F69" s="49" t="s">
        <v>105</v>
      </c>
      <c r="G69">
        <v>5</v>
      </c>
      <c r="H69">
        <v>1199</v>
      </c>
      <c r="I69">
        <v>0</v>
      </c>
      <c r="J69" s="49" t="s">
        <v>108</v>
      </c>
      <c r="K69" s="49" t="s">
        <v>40</v>
      </c>
      <c r="L69" s="49" t="s">
        <v>50</v>
      </c>
    </row>
    <row r="70" spans="1:12" x14ac:dyDescent="0.3">
      <c r="A70">
        <v>10069</v>
      </c>
      <c r="B70" s="48"/>
      <c r="C70" s="49" t="s">
        <v>94</v>
      </c>
      <c r="D70" s="49" t="s">
        <v>72</v>
      </c>
      <c r="E70" s="49" t="s">
        <v>69</v>
      </c>
      <c r="F70" s="49" t="s">
        <v>83</v>
      </c>
      <c r="G70">
        <v>4</v>
      </c>
      <c r="H70">
        <v>1299</v>
      </c>
      <c r="I70">
        <v>0.05</v>
      </c>
      <c r="J70" s="49" t="s">
        <v>109</v>
      </c>
      <c r="K70" s="49" t="s">
        <v>40</v>
      </c>
      <c r="L70" s="49" t="s">
        <v>41</v>
      </c>
    </row>
    <row r="71" spans="1:12" x14ac:dyDescent="0.3">
      <c r="A71">
        <v>10263</v>
      </c>
      <c r="B71" s="48">
        <v>45570</v>
      </c>
      <c r="C71" s="49" t="s">
        <v>77</v>
      </c>
      <c r="D71" s="49" t="s">
        <v>59</v>
      </c>
      <c r="E71" s="49" t="s">
        <v>55</v>
      </c>
      <c r="F71" s="49" t="s">
        <v>79</v>
      </c>
      <c r="G71">
        <v>0</v>
      </c>
      <c r="H71">
        <v>599</v>
      </c>
      <c r="I71">
        <v>0.1</v>
      </c>
      <c r="J71" s="49" t="s">
        <v>204</v>
      </c>
      <c r="K71" s="49" t="s">
        <v>65</v>
      </c>
      <c r="L71" s="49" t="s">
        <v>203</v>
      </c>
    </row>
    <row r="72" spans="1:12" x14ac:dyDescent="0.3">
      <c r="A72">
        <v>10319</v>
      </c>
      <c r="B72" s="48">
        <v>45368</v>
      </c>
      <c r="C72" s="49" t="s">
        <v>110</v>
      </c>
      <c r="D72" s="49" t="s">
        <v>74</v>
      </c>
      <c r="E72" s="49" t="s">
        <v>75</v>
      </c>
      <c r="F72" s="49" t="s">
        <v>100</v>
      </c>
      <c r="G72">
        <v>6</v>
      </c>
      <c r="H72">
        <v>5999</v>
      </c>
      <c r="I72">
        <v>0.1</v>
      </c>
      <c r="J72" s="49" t="s">
        <v>39</v>
      </c>
      <c r="K72" s="49" t="s">
        <v>57</v>
      </c>
      <c r="L72" s="49" t="s">
        <v>41</v>
      </c>
    </row>
    <row r="73" spans="1:12" x14ac:dyDescent="0.3">
      <c r="A73">
        <v>10068</v>
      </c>
      <c r="B73" s="48">
        <v>45409</v>
      </c>
      <c r="C73" s="49" t="s">
        <v>111</v>
      </c>
      <c r="D73" s="49" t="s">
        <v>59</v>
      </c>
      <c r="E73" s="49" t="s">
        <v>69</v>
      </c>
      <c r="F73" s="49" t="s">
        <v>85</v>
      </c>
      <c r="G73">
        <v>2</v>
      </c>
      <c r="H73">
        <v>24999</v>
      </c>
      <c r="I73">
        <v>0.1</v>
      </c>
      <c r="J73" s="49" t="s">
        <v>108</v>
      </c>
      <c r="K73" s="49" t="s">
        <v>49</v>
      </c>
      <c r="L73" s="49" t="s">
        <v>203</v>
      </c>
    </row>
    <row r="74" spans="1:12" x14ac:dyDescent="0.3">
      <c r="A74">
        <v>10103</v>
      </c>
      <c r="B74" s="48">
        <v>45570</v>
      </c>
      <c r="C74" s="49" t="s">
        <v>112</v>
      </c>
      <c r="D74" s="49" t="s">
        <v>95</v>
      </c>
      <c r="E74" s="49" t="s">
        <v>55</v>
      </c>
      <c r="F74" s="49" t="s">
        <v>92</v>
      </c>
      <c r="G74">
        <v>6</v>
      </c>
      <c r="H74">
        <v>799</v>
      </c>
      <c r="I74">
        <v>0.1</v>
      </c>
      <c r="J74" s="49" t="s">
        <v>67</v>
      </c>
      <c r="K74" s="49" t="s">
        <v>49</v>
      </c>
      <c r="L74" s="49" t="s">
        <v>50</v>
      </c>
    </row>
    <row r="75" spans="1:12" x14ac:dyDescent="0.3">
      <c r="A75">
        <v>10063</v>
      </c>
      <c r="B75" s="48">
        <v>45717</v>
      </c>
      <c r="C75" s="49" t="s">
        <v>51</v>
      </c>
      <c r="D75" s="49" t="s">
        <v>59</v>
      </c>
      <c r="E75" s="49" t="s">
        <v>69</v>
      </c>
      <c r="F75" s="49" t="s">
        <v>83</v>
      </c>
      <c r="G75">
        <v>2</v>
      </c>
      <c r="H75">
        <v>1299</v>
      </c>
      <c r="I75">
        <v>0</v>
      </c>
      <c r="J75" s="49" t="s">
        <v>67</v>
      </c>
      <c r="K75" s="49" t="s">
        <v>57</v>
      </c>
      <c r="L75" s="49" t="s">
        <v>41</v>
      </c>
    </row>
    <row r="76" spans="1:12" x14ac:dyDescent="0.3">
      <c r="A76">
        <v>10284</v>
      </c>
      <c r="B76" s="48">
        <v>45386</v>
      </c>
      <c r="C76" s="49" t="s">
        <v>96</v>
      </c>
      <c r="D76" s="49" t="s">
        <v>52</v>
      </c>
      <c r="E76" s="49" t="s">
        <v>75</v>
      </c>
      <c r="F76" s="49" t="s">
        <v>48</v>
      </c>
      <c r="G76">
        <v>6</v>
      </c>
      <c r="H76">
        <v>799</v>
      </c>
      <c r="I76">
        <v>0</v>
      </c>
      <c r="J76" s="49" t="s">
        <v>44</v>
      </c>
      <c r="K76" s="49" t="s">
        <v>65</v>
      </c>
      <c r="L76" s="49" t="s">
        <v>41</v>
      </c>
    </row>
    <row r="77" spans="1:12" x14ac:dyDescent="0.3">
      <c r="A77">
        <v>10046</v>
      </c>
      <c r="B77" s="48">
        <v>45416</v>
      </c>
      <c r="C77" s="49" t="s">
        <v>71</v>
      </c>
      <c r="D77" s="49" t="s">
        <v>95</v>
      </c>
      <c r="E77" s="49" t="s">
        <v>75</v>
      </c>
      <c r="F77" s="49" t="s">
        <v>99</v>
      </c>
      <c r="G77">
        <v>3</v>
      </c>
      <c r="H77">
        <v>12999</v>
      </c>
      <c r="I77">
        <v>0.05</v>
      </c>
      <c r="J77" s="49" t="s">
        <v>67</v>
      </c>
      <c r="K77" s="49" t="s">
        <v>49</v>
      </c>
      <c r="L77" s="49" t="s">
        <v>46</v>
      </c>
    </row>
    <row r="78" spans="1:12" x14ac:dyDescent="0.3">
      <c r="A78">
        <v>10314</v>
      </c>
      <c r="B78" s="48">
        <v>45517</v>
      </c>
      <c r="C78" s="49" t="s">
        <v>51</v>
      </c>
      <c r="D78" s="49" t="s">
        <v>95</v>
      </c>
      <c r="E78" s="49" t="s">
        <v>76</v>
      </c>
      <c r="F78" s="49" t="s">
        <v>82</v>
      </c>
      <c r="G78">
        <v>1</v>
      </c>
      <c r="H78">
        <v>8999</v>
      </c>
      <c r="I78">
        <v>0</v>
      </c>
      <c r="J78" s="49" t="s">
        <v>109</v>
      </c>
      <c r="K78" s="49" t="s">
        <v>57</v>
      </c>
      <c r="L78" s="49" t="s">
        <v>46</v>
      </c>
    </row>
    <row r="79" spans="1:12" x14ac:dyDescent="0.3">
      <c r="A79">
        <v>10282</v>
      </c>
      <c r="B79" s="48">
        <v>45759</v>
      </c>
      <c r="C79" s="49" t="s">
        <v>98</v>
      </c>
      <c r="D79" s="49" t="s">
        <v>72</v>
      </c>
      <c r="E79" s="49" t="s">
        <v>55</v>
      </c>
      <c r="F79" s="49" t="s">
        <v>79</v>
      </c>
      <c r="G79">
        <v>4</v>
      </c>
      <c r="H79">
        <v>599</v>
      </c>
      <c r="I79">
        <v>0.05</v>
      </c>
      <c r="J79" s="49" t="s">
        <v>44</v>
      </c>
      <c r="K79" s="49" t="s">
        <v>40</v>
      </c>
      <c r="L79" s="49" t="s">
        <v>41</v>
      </c>
    </row>
    <row r="80" spans="1:12" x14ac:dyDescent="0.3">
      <c r="A80">
        <v>10196</v>
      </c>
      <c r="B80" s="48">
        <v>45544</v>
      </c>
      <c r="C80" s="49" t="s">
        <v>96</v>
      </c>
      <c r="D80" s="49" t="s">
        <v>52</v>
      </c>
      <c r="E80" s="49" t="s">
        <v>55</v>
      </c>
      <c r="F80" s="49" t="s">
        <v>92</v>
      </c>
      <c r="G80">
        <v>2</v>
      </c>
      <c r="H80">
        <v>799</v>
      </c>
      <c r="I80">
        <v>0.1</v>
      </c>
      <c r="J80" s="49" t="s">
        <v>108</v>
      </c>
      <c r="K80" s="49" t="s">
        <v>40</v>
      </c>
      <c r="L80" s="49" t="s">
        <v>46</v>
      </c>
    </row>
    <row r="81" spans="1:12" x14ac:dyDescent="0.3">
      <c r="A81">
        <v>10141</v>
      </c>
      <c r="B81" s="48"/>
      <c r="C81" s="49" t="s">
        <v>84</v>
      </c>
      <c r="D81" s="49" t="s">
        <v>52</v>
      </c>
      <c r="E81" s="49" t="s">
        <v>53</v>
      </c>
      <c r="F81" s="49" t="s">
        <v>86</v>
      </c>
      <c r="G81">
        <v>4</v>
      </c>
      <c r="H81">
        <v>599</v>
      </c>
      <c r="I81">
        <v>0</v>
      </c>
      <c r="J81" s="49" t="s">
        <v>109</v>
      </c>
      <c r="K81" s="49" t="s">
        <v>57</v>
      </c>
      <c r="L81" s="49" t="s">
        <v>41</v>
      </c>
    </row>
    <row r="82" spans="1:12" x14ac:dyDescent="0.3">
      <c r="A82">
        <v>10055</v>
      </c>
      <c r="B82" s="48">
        <v>45531</v>
      </c>
      <c r="C82" s="49" t="s">
        <v>51</v>
      </c>
      <c r="D82" s="49" t="s">
        <v>59</v>
      </c>
      <c r="E82" s="49" t="s">
        <v>69</v>
      </c>
      <c r="F82" s="49" t="s">
        <v>104</v>
      </c>
      <c r="G82">
        <v>3</v>
      </c>
      <c r="H82">
        <v>4999</v>
      </c>
      <c r="I82">
        <v>0</v>
      </c>
      <c r="J82" s="49" t="s">
        <v>109</v>
      </c>
      <c r="K82" s="49" t="s">
        <v>49</v>
      </c>
      <c r="L82" s="49" t="s">
        <v>41</v>
      </c>
    </row>
    <row r="83" spans="1:12" x14ac:dyDescent="0.3">
      <c r="A83">
        <v>10317</v>
      </c>
      <c r="B83" s="48">
        <v>45382</v>
      </c>
      <c r="C83" s="49" t="s">
        <v>42</v>
      </c>
      <c r="D83" s="49" t="s">
        <v>72</v>
      </c>
      <c r="E83" s="49" t="s">
        <v>75</v>
      </c>
      <c r="F83" s="49" t="s">
        <v>64</v>
      </c>
      <c r="G83">
        <v>4</v>
      </c>
      <c r="H83">
        <v>1799</v>
      </c>
      <c r="I83">
        <v>0</v>
      </c>
      <c r="J83" s="49" t="s">
        <v>67</v>
      </c>
      <c r="K83" s="49" t="s">
        <v>40</v>
      </c>
      <c r="L83" s="49" t="s">
        <v>50</v>
      </c>
    </row>
    <row r="84" spans="1:12" x14ac:dyDescent="0.3">
      <c r="A84">
        <v>10211</v>
      </c>
      <c r="B84" s="48">
        <v>45655</v>
      </c>
      <c r="C84" s="49" t="s">
        <v>96</v>
      </c>
      <c r="D84" s="49" t="s">
        <v>72</v>
      </c>
      <c r="E84" s="49" t="s">
        <v>78</v>
      </c>
      <c r="F84" s="49" t="s">
        <v>92</v>
      </c>
      <c r="G84">
        <v>5</v>
      </c>
      <c r="H84">
        <v>799</v>
      </c>
      <c r="I84">
        <v>0.15</v>
      </c>
      <c r="J84" s="49" t="s">
        <v>204</v>
      </c>
      <c r="K84" s="49" t="s">
        <v>65</v>
      </c>
      <c r="L84" s="49" t="s">
        <v>41</v>
      </c>
    </row>
    <row r="85" spans="1:12" x14ac:dyDescent="0.3">
      <c r="A85">
        <v>10229</v>
      </c>
      <c r="B85" s="48">
        <v>45629</v>
      </c>
      <c r="C85" s="49" t="s">
        <v>96</v>
      </c>
      <c r="D85" s="49" t="s">
        <v>72</v>
      </c>
      <c r="E85" s="49" t="s">
        <v>53</v>
      </c>
      <c r="F85" s="49" t="s">
        <v>101</v>
      </c>
      <c r="G85">
        <v>0</v>
      </c>
      <c r="H85">
        <v>99</v>
      </c>
      <c r="I85">
        <v>0.15</v>
      </c>
      <c r="J85" s="49" t="s">
        <v>44</v>
      </c>
      <c r="K85" s="49" t="s">
        <v>40</v>
      </c>
      <c r="L85" s="49" t="s">
        <v>41</v>
      </c>
    </row>
    <row r="86" spans="1:12" x14ac:dyDescent="0.3">
      <c r="A86">
        <v>10257</v>
      </c>
      <c r="B86" s="48">
        <v>45760</v>
      </c>
      <c r="C86" s="49" t="s">
        <v>62</v>
      </c>
      <c r="D86" s="49" t="s">
        <v>72</v>
      </c>
      <c r="E86" s="49" t="s">
        <v>78</v>
      </c>
      <c r="F86" s="49" t="s">
        <v>88</v>
      </c>
      <c r="G86">
        <v>0</v>
      </c>
      <c r="H86">
        <v>2499</v>
      </c>
      <c r="I86">
        <v>0.1</v>
      </c>
      <c r="J86" s="49" t="s">
        <v>39</v>
      </c>
      <c r="K86" s="49" t="s">
        <v>65</v>
      </c>
      <c r="L86" s="49" t="s">
        <v>41</v>
      </c>
    </row>
    <row r="87" spans="1:12" x14ac:dyDescent="0.3">
      <c r="A87">
        <v>10311</v>
      </c>
      <c r="B87" s="48"/>
      <c r="C87" s="49" t="s">
        <v>71</v>
      </c>
      <c r="D87" s="49" t="s">
        <v>72</v>
      </c>
      <c r="E87" s="49" t="s">
        <v>76</v>
      </c>
      <c r="F87" s="49" t="s">
        <v>83</v>
      </c>
      <c r="G87">
        <v>0</v>
      </c>
      <c r="H87">
        <v>1299</v>
      </c>
      <c r="I87">
        <v>0.1</v>
      </c>
      <c r="J87" s="49" t="s">
        <v>67</v>
      </c>
      <c r="K87" s="49" t="s">
        <v>65</v>
      </c>
      <c r="L87" s="49" t="s">
        <v>46</v>
      </c>
    </row>
    <row r="88" spans="1:12" x14ac:dyDescent="0.3">
      <c r="A88">
        <v>10318</v>
      </c>
      <c r="B88" s="48">
        <v>45491</v>
      </c>
      <c r="C88" s="49" t="s">
        <v>51</v>
      </c>
      <c r="D88" s="49" t="s">
        <v>52</v>
      </c>
      <c r="E88" s="49" t="s">
        <v>55</v>
      </c>
      <c r="F88" s="49" t="s">
        <v>79</v>
      </c>
      <c r="G88">
        <v>1</v>
      </c>
      <c r="H88">
        <v>599</v>
      </c>
      <c r="I88">
        <v>0.05</v>
      </c>
      <c r="J88" s="49" t="s">
        <v>39</v>
      </c>
      <c r="K88" s="49" t="s">
        <v>49</v>
      </c>
      <c r="L88" s="49" t="s">
        <v>41</v>
      </c>
    </row>
    <row r="89" spans="1:12" x14ac:dyDescent="0.3">
      <c r="A89">
        <v>10075</v>
      </c>
      <c r="B89" s="48">
        <v>45621</v>
      </c>
      <c r="C89" s="49" t="s">
        <v>94</v>
      </c>
      <c r="D89" s="49" t="s">
        <v>59</v>
      </c>
      <c r="E89" s="49" t="s">
        <v>53</v>
      </c>
      <c r="F89" s="49" t="s">
        <v>102</v>
      </c>
      <c r="G89">
        <v>6</v>
      </c>
      <c r="H89">
        <v>899</v>
      </c>
      <c r="I89">
        <v>0.05</v>
      </c>
      <c r="J89" s="49" t="s">
        <v>109</v>
      </c>
      <c r="K89" s="49" t="s">
        <v>49</v>
      </c>
      <c r="L89" s="49" t="s">
        <v>50</v>
      </c>
    </row>
    <row r="90" spans="1:12" x14ac:dyDescent="0.3">
      <c r="A90">
        <v>10180</v>
      </c>
      <c r="B90" s="48">
        <v>45534</v>
      </c>
      <c r="C90" s="49" t="s">
        <v>106</v>
      </c>
      <c r="D90" s="49" t="s">
        <v>72</v>
      </c>
      <c r="E90" s="49" t="s">
        <v>75</v>
      </c>
      <c r="F90" s="49" t="s">
        <v>38</v>
      </c>
      <c r="G90">
        <v>3</v>
      </c>
      <c r="H90">
        <v>2999</v>
      </c>
      <c r="I90">
        <v>0.1</v>
      </c>
      <c r="J90" s="49" t="s">
        <v>67</v>
      </c>
      <c r="K90" s="49" t="s">
        <v>40</v>
      </c>
      <c r="L90" s="49" t="s">
        <v>41</v>
      </c>
    </row>
    <row r="91" spans="1:12" x14ac:dyDescent="0.3">
      <c r="A91">
        <v>10179</v>
      </c>
      <c r="B91" s="48">
        <v>45694</v>
      </c>
      <c r="C91" s="49" t="s">
        <v>206</v>
      </c>
      <c r="D91" s="49" t="s">
        <v>95</v>
      </c>
      <c r="E91" s="49" t="s">
        <v>75</v>
      </c>
      <c r="F91" s="49" t="s">
        <v>66</v>
      </c>
      <c r="G91">
        <v>3</v>
      </c>
      <c r="H91">
        <v>1499</v>
      </c>
      <c r="I91">
        <v>0</v>
      </c>
      <c r="J91" s="49" t="s">
        <v>44</v>
      </c>
      <c r="K91" s="49" t="s">
        <v>57</v>
      </c>
      <c r="L91" s="49" t="s">
        <v>41</v>
      </c>
    </row>
    <row r="92" spans="1:12" x14ac:dyDescent="0.3">
      <c r="A92">
        <v>10272</v>
      </c>
      <c r="B92" s="48">
        <v>45792</v>
      </c>
      <c r="C92" s="49" t="s">
        <v>206</v>
      </c>
      <c r="D92" s="49" t="s">
        <v>74</v>
      </c>
      <c r="E92" s="49" t="s">
        <v>69</v>
      </c>
      <c r="F92" s="49" t="s">
        <v>61</v>
      </c>
      <c r="G92">
        <v>6</v>
      </c>
      <c r="H92">
        <v>18999</v>
      </c>
      <c r="I92">
        <v>0.1</v>
      </c>
      <c r="J92" s="49" t="s">
        <v>108</v>
      </c>
      <c r="K92" s="49" t="s">
        <v>57</v>
      </c>
      <c r="L92" s="49" t="s">
        <v>46</v>
      </c>
    </row>
    <row r="93" spans="1:12" x14ac:dyDescent="0.3">
      <c r="A93">
        <v>10032</v>
      </c>
      <c r="B93" s="48"/>
      <c r="C93" s="49" t="s">
        <v>206</v>
      </c>
      <c r="D93" s="49" t="s">
        <v>52</v>
      </c>
      <c r="E93" s="49" t="s">
        <v>53</v>
      </c>
      <c r="F93" s="49" t="s">
        <v>60</v>
      </c>
      <c r="G93">
        <v>1</v>
      </c>
      <c r="H93">
        <v>349</v>
      </c>
      <c r="I93">
        <v>0.05</v>
      </c>
      <c r="J93" s="49" t="s">
        <v>67</v>
      </c>
      <c r="K93" s="49" t="s">
        <v>49</v>
      </c>
      <c r="L93" s="49" t="s">
        <v>41</v>
      </c>
    </row>
    <row r="94" spans="1:12" x14ac:dyDescent="0.3">
      <c r="A94">
        <v>10187</v>
      </c>
      <c r="B94" s="48">
        <v>45584</v>
      </c>
      <c r="C94" s="49" t="s">
        <v>114</v>
      </c>
      <c r="D94" s="49" t="s">
        <v>59</v>
      </c>
      <c r="E94" s="49" t="s">
        <v>37</v>
      </c>
      <c r="F94" s="49" t="s">
        <v>43</v>
      </c>
      <c r="G94">
        <v>4</v>
      </c>
      <c r="H94">
        <v>6499</v>
      </c>
      <c r="I94">
        <v>0.1</v>
      </c>
      <c r="J94" s="49" t="s">
        <v>67</v>
      </c>
      <c r="K94" s="49" t="s">
        <v>57</v>
      </c>
      <c r="L94" s="49" t="s">
        <v>50</v>
      </c>
    </row>
    <row r="95" spans="1:12" x14ac:dyDescent="0.3">
      <c r="A95">
        <v>10019</v>
      </c>
      <c r="B95" s="48">
        <v>45754</v>
      </c>
      <c r="C95" s="49" t="s">
        <v>96</v>
      </c>
      <c r="D95" s="49" t="s">
        <v>95</v>
      </c>
      <c r="E95" s="49" t="s">
        <v>76</v>
      </c>
      <c r="F95" s="49" t="s">
        <v>104</v>
      </c>
      <c r="G95">
        <v>5</v>
      </c>
      <c r="H95">
        <v>4999</v>
      </c>
      <c r="I95">
        <v>0.1</v>
      </c>
      <c r="J95" s="49" t="s">
        <v>44</v>
      </c>
      <c r="K95" s="49" t="s">
        <v>65</v>
      </c>
      <c r="L95" s="49" t="s">
        <v>50</v>
      </c>
    </row>
    <row r="96" spans="1:12" x14ac:dyDescent="0.3">
      <c r="A96">
        <v>10313</v>
      </c>
      <c r="B96" s="48"/>
      <c r="C96" s="49" t="s">
        <v>81</v>
      </c>
      <c r="D96" s="49" t="s">
        <v>72</v>
      </c>
      <c r="E96" s="49" t="s">
        <v>75</v>
      </c>
      <c r="F96" s="49" t="s">
        <v>66</v>
      </c>
      <c r="G96">
        <v>6</v>
      </c>
      <c r="H96">
        <v>1499</v>
      </c>
      <c r="I96">
        <v>0</v>
      </c>
      <c r="J96" s="49" t="s">
        <v>39</v>
      </c>
      <c r="K96" s="49" t="s">
        <v>65</v>
      </c>
      <c r="L96" s="49" t="s">
        <v>50</v>
      </c>
    </row>
    <row r="97" spans="1:12" x14ac:dyDescent="0.3">
      <c r="A97">
        <v>10160</v>
      </c>
      <c r="B97" s="48">
        <v>45631</v>
      </c>
      <c r="C97" s="49" t="s">
        <v>96</v>
      </c>
      <c r="D97" s="49" t="s">
        <v>72</v>
      </c>
      <c r="E97" s="49" t="s">
        <v>75</v>
      </c>
      <c r="F97" s="49" t="s">
        <v>66</v>
      </c>
      <c r="G97">
        <v>4</v>
      </c>
      <c r="H97">
        <v>1499</v>
      </c>
      <c r="I97">
        <v>0.05</v>
      </c>
      <c r="J97" s="49" t="s">
        <v>39</v>
      </c>
      <c r="K97" s="49" t="s">
        <v>65</v>
      </c>
      <c r="L97" s="49" t="s">
        <v>50</v>
      </c>
    </row>
    <row r="98" spans="1:12" x14ac:dyDescent="0.3">
      <c r="A98">
        <v>10256</v>
      </c>
      <c r="B98" s="48">
        <v>45931</v>
      </c>
      <c r="C98" s="49" t="s">
        <v>36</v>
      </c>
      <c r="D98" s="49" t="s">
        <v>95</v>
      </c>
      <c r="E98" s="49" t="s">
        <v>75</v>
      </c>
      <c r="F98" s="49" t="s">
        <v>99</v>
      </c>
      <c r="G98">
        <v>5</v>
      </c>
      <c r="H98">
        <v>12999</v>
      </c>
      <c r="I98">
        <v>0.05</v>
      </c>
      <c r="J98" s="49" t="s">
        <v>39</v>
      </c>
      <c r="K98" s="49" t="s">
        <v>40</v>
      </c>
      <c r="L98" s="49" t="s">
        <v>41</v>
      </c>
    </row>
    <row r="99" spans="1:12" x14ac:dyDescent="0.3">
      <c r="A99">
        <v>10132</v>
      </c>
      <c r="B99" s="48">
        <v>45717</v>
      </c>
      <c r="C99" s="49" t="s">
        <v>206</v>
      </c>
      <c r="D99" s="49" t="s">
        <v>72</v>
      </c>
      <c r="E99" s="49" t="s">
        <v>53</v>
      </c>
      <c r="F99" s="49" t="s">
        <v>54</v>
      </c>
      <c r="G99">
        <v>4</v>
      </c>
      <c r="H99">
        <v>149</v>
      </c>
      <c r="I99">
        <v>0.05</v>
      </c>
      <c r="J99" s="49" t="s">
        <v>108</v>
      </c>
      <c r="K99" s="49" t="s">
        <v>40</v>
      </c>
      <c r="L99" s="49" t="s">
        <v>46</v>
      </c>
    </row>
    <row r="100" spans="1:12" x14ac:dyDescent="0.3">
      <c r="A100">
        <v>10266</v>
      </c>
      <c r="B100" s="48"/>
      <c r="C100" s="49" t="s">
        <v>97</v>
      </c>
      <c r="D100" s="49" t="s">
        <v>74</v>
      </c>
      <c r="E100" s="49" t="s">
        <v>55</v>
      </c>
      <c r="F100" s="49" t="s">
        <v>103</v>
      </c>
      <c r="G100">
        <v>4</v>
      </c>
      <c r="H100">
        <v>999</v>
      </c>
      <c r="I100">
        <v>0</v>
      </c>
      <c r="J100" s="49" t="s">
        <v>204</v>
      </c>
      <c r="K100" s="49" t="s">
        <v>57</v>
      </c>
      <c r="L100" s="49" t="s">
        <v>50</v>
      </c>
    </row>
    <row r="101" spans="1:12" x14ac:dyDescent="0.3">
      <c r="A101">
        <v>10293</v>
      </c>
      <c r="B101" s="48">
        <v>45738</v>
      </c>
      <c r="C101" s="49" t="s">
        <v>51</v>
      </c>
      <c r="D101" s="49" t="s">
        <v>95</v>
      </c>
      <c r="E101" s="49" t="s">
        <v>75</v>
      </c>
      <c r="F101" s="49" t="s">
        <v>43</v>
      </c>
      <c r="G101">
        <v>3</v>
      </c>
      <c r="H101">
        <v>6499</v>
      </c>
      <c r="I101">
        <v>0.1</v>
      </c>
      <c r="J101" s="49" t="s">
        <v>44</v>
      </c>
      <c r="K101" s="49" t="s">
        <v>57</v>
      </c>
      <c r="L101" s="49" t="s">
        <v>41</v>
      </c>
    </row>
    <row r="102" spans="1:12" x14ac:dyDescent="0.3">
      <c r="A102">
        <v>10083</v>
      </c>
      <c r="B102" s="48"/>
      <c r="C102" s="49" t="s">
        <v>98</v>
      </c>
      <c r="D102" s="49" t="s">
        <v>74</v>
      </c>
      <c r="E102" s="49" t="s">
        <v>37</v>
      </c>
      <c r="F102" s="49" t="s">
        <v>64</v>
      </c>
      <c r="G102">
        <v>6</v>
      </c>
      <c r="H102">
        <v>1799</v>
      </c>
      <c r="I102">
        <v>0.1</v>
      </c>
      <c r="J102" s="49" t="s">
        <v>67</v>
      </c>
      <c r="K102" s="49" t="s">
        <v>40</v>
      </c>
      <c r="L102" s="49" t="s">
        <v>41</v>
      </c>
    </row>
    <row r="103" spans="1:12" x14ac:dyDescent="0.3">
      <c r="A103">
        <v>10193</v>
      </c>
      <c r="B103" s="48">
        <v>45593</v>
      </c>
      <c r="C103" s="49" t="s">
        <v>111</v>
      </c>
      <c r="D103" s="49" t="s">
        <v>95</v>
      </c>
      <c r="E103" s="49" t="s">
        <v>53</v>
      </c>
      <c r="F103" s="49" t="s">
        <v>54</v>
      </c>
      <c r="G103">
        <v>6</v>
      </c>
      <c r="H103">
        <v>149</v>
      </c>
      <c r="I103">
        <v>0</v>
      </c>
      <c r="J103" s="49" t="s">
        <v>108</v>
      </c>
      <c r="K103" s="49" t="s">
        <v>57</v>
      </c>
      <c r="L103" s="49" t="s">
        <v>41</v>
      </c>
    </row>
    <row r="104" spans="1:12" x14ac:dyDescent="0.3">
      <c r="A104">
        <v>10192</v>
      </c>
      <c r="B104" s="48">
        <v>45444</v>
      </c>
      <c r="C104" s="49" t="s">
        <v>47</v>
      </c>
      <c r="D104" s="49" t="s">
        <v>52</v>
      </c>
      <c r="E104" s="49" t="s">
        <v>76</v>
      </c>
      <c r="F104" s="49" t="s">
        <v>85</v>
      </c>
      <c r="G104">
        <v>5</v>
      </c>
      <c r="H104">
        <v>24999</v>
      </c>
      <c r="I104">
        <v>0</v>
      </c>
      <c r="J104" s="49" t="s">
        <v>108</v>
      </c>
      <c r="K104" s="49" t="s">
        <v>65</v>
      </c>
      <c r="L104" s="49" t="s">
        <v>46</v>
      </c>
    </row>
    <row r="105" spans="1:12" x14ac:dyDescent="0.3">
      <c r="A105">
        <v>10168</v>
      </c>
      <c r="B105" s="48">
        <v>45569</v>
      </c>
      <c r="C105" s="49" t="s">
        <v>47</v>
      </c>
      <c r="D105" s="49" t="s">
        <v>59</v>
      </c>
      <c r="E105" s="49" t="s">
        <v>69</v>
      </c>
      <c r="F105" s="49" t="s">
        <v>82</v>
      </c>
      <c r="G105">
        <v>0</v>
      </c>
      <c r="H105">
        <v>8999</v>
      </c>
      <c r="I105">
        <v>0.05</v>
      </c>
      <c r="J105" s="49" t="s">
        <v>204</v>
      </c>
      <c r="K105" s="49" t="s">
        <v>57</v>
      </c>
      <c r="L105" s="49" t="s">
        <v>41</v>
      </c>
    </row>
    <row r="106" spans="1:12" x14ac:dyDescent="0.3">
      <c r="A106">
        <v>10007</v>
      </c>
      <c r="B106" s="48">
        <v>45732</v>
      </c>
      <c r="C106" s="49" t="s">
        <v>80</v>
      </c>
      <c r="D106" s="49" t="s">
        <v>95</v>
      </c>
      <c r="E106" s="49" t="s">
        <v>55</v>
      </c>
      <c r="F106" s="49" t="s">
        <v>73</v>
      </c>
      <c r="G106">
        <v>2</v>
      </c>
      <c r="H106">
        <v>5499</v>
      </c>
      <c r="I106">
        <v>0</v>
      </c>
      <c r="J106" s="49" t="s">
        <v>67</v>
      </c>
      <c r="K106" s="49" t="s">
        <v>57</v>
      </c>
      <c r="L106" s="49" t="s">
        <v>41</v>
      </c>
    </row>
    <row r="107" spans="1:12" x14ac:dyDescent="0.3">
      <c r="A107">
        <v>10124</v>
      </c>
      <c r="B107" s="48">
        <v>45296</v>
      </c>
      <c r="C107" s="49" t="s">
        <v>206</v>
      </c>
      <c r="D107" s="49" t="s">
        <v>74</v>
      </c>
      <c r="E107" s="49" t="s">
        <v>53</v>
      </c>
      <c r="F107" s="49" t="s">
        <v>86</v>
      </c>
      <c r="G107">
        <v>4</v>
      </c>
      <c r="H107">
        <v>599</v>
      </c>
      <c r="I107">
        <v>0.1</v>
      </c>
      <c r="J107" s="49" t="s">
        <v>108</v>
      </c>
      <c r="K107" s="49" t="s">
        <v>57</v>
      </c>
      <c r="L107" s="49" t="s">
        <v>41</v>
      </c>
    </row>
    <row r="108" spans="1:12" x14ac:dyDescent="0.3">
      <c r="A108">
        <v>10262</v>
      </c>
      <c r="B108" s="48">
        <v>45372</v>
      </c>
      <c r="C108" s="49" t="s">
        <v>42</v>
      </c>
      <c r="D108" s="49" t="s">
        <v>95</v>
      </c>
      <c r="E108" s="49" t="s">
        <v>69</v>
      </c>
      <c r="F108" s="49" t="s">
        <v>70</v>
      </c>
      <c r="G108">
        <v>2</v>
      </c>
      <c r="H108">
        <v>5499</v>
      </c>
      <c r="I108">
        <v>0.1</v>
      </c>
      <c r="J108" s="49" t="s">
        <v>108</v>
      </c>
      <c r="K108" s="49" t="s">
        <v>65</v>
      </c>
      <c r="L108" s="49" t="s">
        <v>50</v>
      </c>
    </row>
    <row r="109" spans="1:12" x14ac:dyDescent="0.3">
      <c r="A109">
        <v>10115</v>
      </c>
      <c r="B109" s="48">
        <v>45363</v>
      </c>
      <c r="C109" s="49" t="s">
        <v>111</v>
      </c>
      <c r="D109" s="49" t="s">
        <v>74</v>
      </c>
      <c r="E109" s="49" t="s">
        <v>37</v>
      </c>
      <c r="F109" s="49" t="s">
        <v>105</v>
      </c>
      <c r="G109">
        <v>5</v>
      </c>
      <c r="H109">
        <v>1199</v>
      </c>
      <c r="I109">
        <v>0</v>
      </c>
      <c r="J109" s="49" t="s">
        <v>109</v>
      </c>
      <c r="K109" s="49" t="s">
        <v>45</v>
      </c>
      <c r="L109" s="49" t="s">
        <v>50</v>
      </c>
    </row>
    <row r="110" spans="1:12" x14ac:dyDescent="0.3">
      <c r="A110">
        <v>10223</v>
      </c>
      <c r="B110" s="48">
        <v>45962</v>
      </c>
      <c r="C110" s="49" t="s">
        <v>110</v>
      </c>
      <c r="D110" s="49" t="s">
        <v>72</v>
      </c>
      <c r="E110" s="49" t="s">
        <v>53</v>
      </c>
      <c r="F110" s="49" t="s">
        <v>54</v>
      </c>
      <c r="G110">
        <v>2</v>
      </c>
      <c r="H110">
        <v>149</v>
      </c>
      <c r="I110">
        <v>0</v>
      </c>
      <c r="J110" s="49" t="s">
        <v>39</v>
      </c>
      <c r="K110" s="49" t="s">
        <v>65</v>
      </c>
      <c r="L110" s="49" t="s">
        <v>50</v>
      </c>
    </row>
    <row r="111" spans="1:12" x14ac:dyDescent="0.3">
      <c r="A111">
        <v>10264</v>
      </c>
      <c r="B111" s="48">
        <v>45774</v>
      </c>
      <c r="C111" s="49" t="s">
        <v>206</v>
      </c>
      <c r="D111" s="49" t="s">
        <v>74</v>
      </c>
      <c r="E111" s="49" t="s">
        <v>53</v>
      </c>
      <c r="F111" s="49" t="s">
        <v>86</v>
      </c>
      <c r="G111">
        <v>2</v>
      </c>
      <c r="H111">
        <v>599</v>
      </c>
      <c r="I111">
        <v>0</v>
      </c>
      <c r="J111" s="49" t="s">
        <v>67</v>
      </c>
      <c r="K111" s="49" t="s">
        <v>40</v>
      </c>
      <c r="L111" s="49" t="s">
        <v>41</v>
      </c>
    </row>
    <row r="112" spans="1:12" x14ac:dyDescent="0.3">
      <c r="A112">
        <v>10144</v>
      </c>
      <c r="B112" s="48">
        <v>45330</v>
      </c>
      <c r="C112" s="49" t="s">
        <v>97</v>
      </c>
      <c r="D112" s="49" t="s">
        <v>95</v>
      </c>
      <c r="E112" s="49" t="s">
        <v>69</v>
      </c>
      <c r="F112" s="49" t="s">
        <v>68</v>
      </c>
      <c r="G112">
        <v>6</v>
      </c>
      <c r="H112">
        <v>6999</v>
      </c>
      <c r="I112">
        <v>0.05</v>
      </c>
      <c r="J112" s="49" t="s">
        <v>109</v>
      </c>
      <c r="K112" s="49" t="s">
        <v>40</v>
      </c>
      <c r="L112" s="49" t="s">
        <v>50</v>
      </c>
    </row>
    <row r="113" spans="1:12" x14ac:dyDescent="0.3">
      <c r="A113">
        <v>10114</v>
      </c>
      <c r="B113" s="48">
        <v>45447</v>
      </c>
      <c r="C113" s="49" t="s">
        <v>110</v>
      </c>
      <c r="D113" s="49" t="s">
        <v>72</v>
      </c>
      <c r="E113" s="49" t="s">
        <v>69</v>
      </c>
      <c r="F113" s="49" t="s">
        <v>70</v>
      </c>
      <c r="G113">
        <v>2</v>
      </c>
      <c r="H113">
        <v>5499</v>
      </c>
      <c r="I113">
        <v>0.05</v>
      </c>
      <c r="J113" s="49" t="s">
        <v>109</v>
      </c>
      <c r="K113" s="49" t="s">
        <v>49</v>
      </c>
      <c r="L113" s="49" t="s">
        <v>41</v>
      </c>
    </row>
    <row r="114" spans="1:12" x14ac:dyDescent="0.3">
      <c r="A114">
        <v>10048</v>
      </c>
      <c r="B114" s="48">
        <v>45759</v>
      </c>
      <c r="C114" s="49" t="s">
        <v>94</v>
      </c>
      <c r="D114" s="49" t="s">
        <v>72</v>
      </c>
      <c r="E114" s="49" t="s">
        <v>53</v>
      </c>
      <c r="F114" s="49" t="s">
        <v>90</v>
      </c>
      <c r="G114">
        <v>4</v>
      </c>
      <c r="H114">
        <v>199</v>
      </c>
      <c r="I114">
        <v>0.1</v>
      </c>
      <c r="J114" s="49" t="s">
        <v>109</v>
      </c>
      <c r="K114" s="49" t="s">
        <v>65</v>
      </c>
      <c r="L114" s="49" t="s">
        <v>41</v>
      </c>
    </row>
    <row r="115" spans="1:12" x14ac:dyDescent="0.3">
      <c r="A115">
        <v>10087</v>
      </c>
      <c r="B115" s="48">
        <v>45622</v>
      </c>
      <c r="C115" s="49" t="s">
        <v>77</v>
      </c>
      <c r="D115" s="49" t="s">
        <v>52</v>
      </c>
      <c r="E115" s="49" t="s">
        <v>53</v>
      </c>
      <c r="F115" s="49" t="s">
        <v>91</v>
      </c>
      <c r="G115">
        <v>4</v>
      </c>
      <c r="H115">
        <v>249</v>
      </c>
      <c r="I115">
        <v>0</v>
      </c>
      <c r="J115" s="49" t="s">
        <v>44</v>
      </c>
      <c r="K115" s="49" t="s">
        <v>65</v>
      </c>
      <c r="L115" s="49" t="s">
        <v>50</v>
      </c>
    </row>
    <row r="116" spans="1:12" x14ac:dyDescent="0.3">
      <c r="A116">
        <v>10157</v>
      </c>
      <c r="B116" s="48">
        <v>45735</v>
      </c>
      <c r="C116" s="49" t="s">
        <v>47</v>
      </c>
      <c r="D116" s="49" t="s">
        <v>52</v>
      </c>
      <c r="E116" s="49" t="s">
        <v>75</v>
      </c>
      <c r="F116" s="49" t="s">
        <v>48</v>
      </c>
      <c r="G116">
        <v>1</v>
      </c>
      <c r="H116">
        <v>799</v>
      </c>
      <c r="I116">
        <v>0.15</v>
      </c>
      <c r="J116" s="49" t="s">
        <v>39</v>
      </c>
      <c r="K116" s="49" t="s">
        <v>45</v>
      </c>
      <c r="L116" s="49" t="s">
        <v>203</v>
      </c>
    </row>
    <row r="117" spans="1:12" x14ac:dyDescent="0.3">
      <c r="A117">
        <v>10066</v>
      </c>
      <c r="B117" s="48"/>
      <c r="C117" s="49" t="s">
        <v>106</v>
      </c>
      <c r="D117" s="49" t="s">
        <v>52</v>
      </c>
      <c r="E117" s="49" t="s">
        <v>55</v>
      </c>
      <c r="F117" s="49" t="s">
        <v>92</v>
      </c>
      <c r="G117">
        <v>3</v>
      </c>
      <c r="H117">
        <v>799</v>
      </c>
      <c r="I117">
        <v>0</v>
      </c>
      <c r="J117" s="49" t="s">
        <v>67</v>
      </c>
      <c r="K117" s="49" t="s">
        <v>40</v>
      </c>
      <c r="L117" s="49" t="s">
        <v>41</v>
      </c>
    </row>
    <row r="118" spans="1:12" x14ac:dyDescent="0.3">
      <c r="A118">
        <v>10009</v>
      </c>
      <c r="B118" s="48">
        <v>45741</v>
      </c>
      <c r="C118" s="49" t="s">
        <v>114</v>
      </c>
      <c r="D118" s="49" t="s">
        <v>72</v>
      </c>
      <c r="E118" s="49" t="s">
        <v>69</v>
      </c>
      <c r="F118" s="49" t="s">
        <v>104</v>
      </c>
      <c r="G118">
        <v>5</v>
      </c>
      <c r="H118">
        <v>4999</v>
      </c>
      <c r="I118">
        <v>0.1</v>
      </c>
      <c r="J118" s="49" t="s">
        <v>44</v>
      </c>
      <c r="K118" s="49" t="s">
        <v>40</v>
      </c>
      <c r="L118" s="49" t="s">
        <v>41</v>
      </c>
    </row>
    <row r="119" spans="1:12" x14ac:dyDescent="0.3">
      <c r="A119">
        <v>10209</v>
      </c>
      <c r="B119" s="48">
        <v>45693</v>
      </c>
      <c r="C119" s="49" t="s">
        <v>94</v>
      </c>
      <c r="D119" s="49" t="s">
        <v>72</v>
      </c>
      <c r="E119" s="49" t="s">
        <v>55</v>
      </c>
      <c r="F119" s="49" t="s">
        <v>103</v>
      </c>
      <c r="G119">
        <v>0</v>
      </c>
      <c r="H119">
        <v>999</v>
      </c>
      <c r="I119">
        <v>0.1</v>
      </c>
      <c r="J119" s="49" t="s">
        <v>44</v>
      </c>
      <c r="K119" s="49" t="s">
        <v>57</v>
      </c>
      <c r="L119" s="49" t="s">
        <v>50</v>
      </c>
    </row>
    <row r="120" spans="1:12" x14ac:dyDescent="0.3">
      <c r="A120">
        <v>10138</v>
      </c>
      <c r="B120" s="48">
        <v>45708</v>
      </c>
      <c r="C120" s="49" t="s">
        <v>205</v>
      </c>
      <c r="D120" s="49" t="s">
        <v>72</v>
      </c>
      <c r="E120" s="49" t="s">
        <v>76</v>
      </c>
      <c r="F120" s="49" t="s">
        <v>83</v>
      </c>
      <c r="G120">
        <v>3</v>
      </c>
      <c r="H120">
        <v>1299</v>
      </c>
      <c r="I120">
        <v>0</v>
      </c>
      <c r="J120" s="49" t="s">
        <v>109</v>
      </c>
      <c r="K120" s="49" t="s">
        <v>45</v>
      </c>
      <c r="L120" s="49" t="s">
        <v>41</v>
      </c>
    </row>
    <row r="121" spans="1:12" x14ac:dyDescent="0.3">
      <c r="A121">
        <v>10044</v>
      </c>
      <c r="B121" s="48">
        <v>45734</v>
      </c>
      <c r="C121" s="49" t="s">
        <v>111</v>
      </c>
      <c r="D121" s="49" t="s">
        <v>74</v>
      </c>
      <c r="E121" s="49" t="s">
        <v>78</v>
      </c>
      <c r="F121" s="49" t="s">
        <v>73</v>
      </c>
      <c r="G121">
        <v>3</v>
      </c>
      <c r="H121">
        <v>5499</v>
      </c>
      <c r="I121">
        <v>0.05</v>
      </c>
      <c r="J121" s="49" t="s">
        <v>109</v>
      </c>
      <c r="K121" s="49" t="s">
        <v>57</v>
      </c>
      <c r="L121" s="49" t="s">
        <v>50</v>
      </c>
    </row>
    <row r="122" spans="1:12" x14ac:dyDescent="0.3">
      <c r="A122">
        <v>10290</v>
      </c>
      <c r="B122" s="48"/>
      <c r="C122" s="49" t="s">
        <v>115</v>
      </c>
      <c r="D122" s="49" t="s">
        <v>74</v>
      </c>
      <c r="E122" s="49" t="s">
        <v>55</v>
      </c>
      <c r="F122" s="49" t="s">
        <v>56</v>
      </c>
      <c r="G122">
        <v>6</v>
      </c>
      <c r="H122">
        <v>3999</v>
      </c>
      <c r="I122">
        <v>0</v>
      </c>
      <c r="J122" s="49" t="s">
        <v>44</v>
      </c>
      <c r="K122" s="49" t="s">
        <v>40</v>
      </c>
      <c r="L122" s="49" t="s">
        <v>50</v>
      </c>
    </row>
    <row r="123" spans="1:12" x14ac:dyDescent="0.3">
      <c r="A123">
        <v>10080</v>
      </c>
      <c r="B123" s="48">
        <v>45532</v>
      </c>
      <c r="C123" s="49" t="s">
        <v>71</v>
      </c>
      <c r="D123" s="49" t="s">
        <v>52</v>
      </c>
      <c r="E123" s="49" t="s">
        <v>75</v>
      </c>
      <c r="F123" s="49" t="s">
        <v>64</v>
      </c>
      <c r="G123">
        <v>3</v>
      </c>
      <c r="H123">
        <v>1799</v>
      </c>
      <c r="I123">
        <v>0.1</v>
      </c>
      <c r="J123" s="49" t="s">
        <v>39</v>
      </c>
      <c r="K123" s="49" t="s">
        <v>57</v>
      </c>
      <c r="L123" s="49" t="s">
        <v>41</v>
      </c>
    </row>
    <row r="124" spans="1:12" x14ac:dyDescent="0.3">
      <c r="A124">
        <v>10170</v>
      </c>
      <c r="B124" s="48"/>
      <c r="C124" s="49" t="s">
        <v>116</v>
      </c>
      <c r="D124" s="49" t="s">
        <v>52</v>
      </c>
      <c r="E124" s="49" t="s">
        <v>76</v>
      </c>
      <c r="F124" s="49" t="s">
        <v>104</v>
      </c>
      <c r="G124">
        <v>4</v>
      </c>
      <c r="H124">
        <v>4999</v>
      </c>
      <c r="I124">
        <v>0</v>
      </c>
      <c r="J124" s="49" t="s">
        <v>109</v>
      </c>
      <c r="K124" s="49" t="s">
        <v>45</v>
      </c>
      <c r="L124" s="49" t="s">
        <v>50</v>
      </c>
    </row>
    <row r="125" spans="1:12" x14ac:dyDescent="0.3">
      <c r="A125">
        <v>10204</v>
      </c>
      <c r="B125" s="48">
        <v>45604</v>
      </c>
      <c r="C125" s="49" t="s">
        <v>36</v>
      </c>
      <c r="D125" s="49" t="s">
        <v>52</v>
      </c>
      <c r="E125" s="49" t="s">
        <v>75</v>
      </c>
      <c r="F125" s="49" t="s">
        <v>48</v>
      </c>
      <c r="G125">
        <v>6</v>
      </c>
      <c r="H125">
        <v>799</v>
      </c>
      <c r="I125">
        <v>0.05</v>
      </c>
      <c r="J125" s="49" t="s">
        <v>109</v>
      </c>
      <c r="K125" s="49" t="s">
        <v>40</v>
      </c>
      <c r="L125" s="49" t="s">
        <v>41</v>
      </c>
    </row>
    <row r="126" spans="1:12" x14ac:dyDescent="0.3">
      <c r="A126">
        <v>10164</v>
      </c>
      <c r="B126" s="48">
        <v>45712</v>
      </c>
      <c r="C126" s="49" t="s">
        <v>110</v>
      </c>
      <c r="D126" s="49" t="s">
        <v>74</v>
      </c>
      <c r="E126" s="49" t="s">
        <v>55</v>
      </c>
      <c r="F126" s="49" t="s">
        <v>88</v>
      </c>
      <c r="G126">
        <v>4</v>
      </c>
      <c r="H126">
        <v>2499</v>
      </c>
      <c r="I126">
        <v>0.05</v>
      </c>
      <c r="J126" s="49" t="s">
        <v>67</v>
      </c>
      <c r="K126" s="49" t="s">
        <v>65</v>
      </c>
      <c r="L126" s="49" t="s">
        <v>46</v>
      </c>
    </row>
    <row r="127" spans="1:12" x14ac:dyDescent="0.3">
      <c r="A127">
        <v>10268</v>
      </c>
      <c r="B127" s="48">
        <v>45579</v>
      </c>
      <c r="C127" s="49" t="s">
        <v>116</v>
      </c>
      <c r="D127" s="49" t="s">
        <v>52</v>
      </c>
      <c r="E127" s="49" t="s">
        <v>55</v>
      </c>
      <c r="F127" s="49" t="s">
        <v>79</v>
      </c>
      <c r="G127">
        <v>2</v>
      </c>
      <c r="H127">
        <v>599</v>
      </c>
      <c r="I127">
        <v>0</v>
      </c>
      <c r="J127" s="49" t="s">
        <v>39</v>
      </c>
      <c r="K127" s="49" t="s">
        <v>57</v>
      </c>
      <c r="L127" s="49" t="s">
        <v>50</v>
      </c>
    </row>
    <row r="128" spans="1:12" x14ac:dyDescent="0.3">
      <c r="A128">
        <v>10220</v>
      </c>
      <c r="B128" s="48">
        <v>45620</v>
      </c>
      <c r="C128" s="49" t="s">
        <v>93</v>
      </c>
      <c r="D128" s="49" t="s">
        <v>59</v>
      </c>
      <c r="E128" s="49" t="s">
        <v>53</v>
      </c>
      <c r="F128" s="49" t="s">
        <v>102</v>
      </c>
      <c r="G128">
        <v>3</v>
      </c>
      <c r="H128">
        <v>899</v>
      </c>
      <c r="I128">
        <v>0.1</v>
      </c>
      <c r="J128" s="49" t="s">
        <v>109</v>
      </c>
      <c r="K128" s="49" t="s">
        <v>40</v>
      </c>
      <c r="L128" s="49" t="s">
        <v>41</v>
      </c>
    </row>
    <row r="129" spans="1:12" x14ac:dyDescent="0.3">
      <c r="A129">
        <v>10183</v>
      </c>
      <c r="B129" s="48"/>
      <c r="C129" s="49" t="s">
        <v>112</v>
      </c>
      <c r="D129" s="49" t="s">
        <v>52</v>
      </c>
      <c r="E129" s="49" t="s">
        <v>53</v>
      </c>
      <c r="F129" s="49" t="s">
        <v>91</v>
      </c>
      <c r="G129">
        <v>3</v>
      </c>
      <c r="H129">
        <v>249</v>
      </c>
      <c r="I129">
        <v>0.05</v>
      </c>
      <c r="J129" s="49" t="s">
        <v>108</v>
      </c>
      <c r="K129" s="49" t="s">
        <v>40</v>
      </c>
      <c r="L129" s="49" t="s">
        <v>46</v>
      </c>
    </row>
    <row r="130" spans="1:12" x14ac:dyDescent="0.3">
      <c r="A130">
        <v>10176</v>
      </c>
      <c r="B130" s="48">
        <v>45481</v>
      </c>
      <c r="C130" s="49" t="s">
        <v>112</v>
      </c>
      <c r="D130" s="49" t="s">
        <v>95</v>
      </c>
      <c r="E130" s="49" t="s">
        <v>69</v>
      </c>
      <c r="F130" s="49" t="s">
        <v>83</v>
      </c>
      <c r="G130">
        <v>3</v>
      </c>
      <c r="H130">
        <v>1299</v>
      </c>
      <c r="I130">
        <v>0</v>
      </c>
      <c r="J130" s="49" t="s">
        <v>109</v>
      </c>
      <c r="K130" s="49" t="s">
        <v>57</v>
      </c>
      <c r="L130" s="49" t="s">
        <v>50</v>
      </c>
    </row>
    <row r="131" spans="1:12" x14ac:dyDescent="0.3">
      <c r="A131">
        <v>10167</v>
      </c>
      <c r="B131" s="48"/>
      <c r="C131" s="49" t="s">
        <v>84</v>
      </c>
      <c r="D131" s="49" t="s">
        <v>74</v>
      </c>
      <c r="E131" s="49" t="s">
        <v>53</v>
      </c>
      <c r="F131" s="49" t="s">
        <v>54</v>
      </c>
      <c r="G131">
        <v>3</v>
      </c>
      <c r="H131">
        <v>149</v>
      </c>
      <c r="I131">
        <v>0.1</v>
      </c>
      <c r="J131" s="49" t="s">
        <v>39</v>
      </c>
      <c r="K131" s="49" t="s">
        <v>45</v>
      </c>
      <c r="L131" s="49" t="s">
        <v>46</v>
      </c>
    </row>
    <row r="132" spans="1:12" x14ac:dyDescent="0.3">
      <c r="A132">
        <v>10218</v>
      </c>
      <c r="B132" s="48"/>
      <c r="C132" s="49" t="s">
        <v>116</v>
      </c>
      <c r="D132" s="49" t="s">
        <v>52</v>
      </c>
      <c r="E132" s="49" t="s">
        <v>75</v>
      </c>
      <c r="F132" s="49" t="s">
        <v>38</v>
      </c>
      <c r="G132">
        <v>6</v>
      </c>
      <c r="H132">
        <v>2999</v>
      </c>
      <c r="I132">
        <v>0.05</v>
      </c>
      <c r="J132" s="49" t="s">
        <v>67</v>
      </c>
      <c r="K132" s="49" t="s">
        <v>40</v>
      </c>
      <c r="L132" s="49" t="s">
        <v>41</v>
      </c>
    </row>
    <row r="133" spans="1:12" x14ac:dyDescent="0.3">
      <c r="A133">
        <v>10297</v>
      </c>
      <c r="B133" s="48">
        <v>45695</v>
      </c>
      <c r="C133" s="49" t="s">
        <v>62</v>
      </c>
      <c r="D133" s="49" t="s">
        <v>72</v>
      </c>
      <c r="E133" s="49" t="s">
        <v>53</v>
      </c>
      <c r="F133" s="49" t="s">
        <v>54</v>
      </c>
      <c r="G133">
        <v>4</v>
      </c>
      <c r="H133">
        <v>149</v>
      </c>
      <c r="I133">
        <v>0.05</v>
      </c>
      <c r="J133" s="49" t="s">
        <v>204</v>
      </c>
      <c r="K133" s="49" t="s">
        <v>40</v>
      </c>
      <c r="L133" s="49" t="s">
        <v>50</v>
      </c>
    </row>
    <row r="134" spans="1:12" x14ac:dyDescent="0.3">
      <c r="A134">
        <v>10240</v>
      </c>
      <c r="B134" s="48">
        <v>45357</v>
      </c>
      <c r="C134" s="49" t="s">
        <v>106</v>
      </c>
      <c r="D134" s="49" t="s">
        <v>59</v>
      </c>
      <c r="E134" s="49" t="s">
        <v>55</v>
      </c>
      <c r="F134" s="49" t="s">
        <v>73</v>
      </c>
      <c r="G134">
        <v>5</v>
      </c>
      <c r="H134">
        <v>5499</v>
      </c>
      <c r="I134">
        <v>0.1</v>
      </c>
      <c r="J134" s="49" t="s">
        <v>109</v>
      </c>
      <c r="K134" s="49" t="s">
        <v>45</v>
      </c>
      <c r="L134" s="49" t="s">
        <v>41</v>
      </c>
    </row>
    <row r="135" spans="1:12" x14ac:dyDescent="0.3">
      <c r="A135">
        <v>10002</v>
      </c>
      <c r="B135" s="48"/>
      <c r="C135" s="49" t="s">
        <v>115</v>
      </c>
      <c r="D135" s="49" t="s">
        <v>59</v>
      </c>
      <c r="E135" s="49" t="s">
        <v>75</v>
      </c>
      <c r="F135" s="49" t="s">
        <v>48</v>
      </c>
      <c r="G135">
        <v>6</v>
      </c>
      <c r="H135">
        <v>799</v>
      </c>
      <c r="I135">
        <v>0.1</v>
      </c>
      <c r="J135" s="49" t="s">
        <v>39</v>
      </c>
      <c r="K135" s="49" t="s">
        <v>45</v>
      </c>
      <c r="L135" s="49" t="s">
        <v>41</v>
      </c>
    </row>
    <row r="136" spans="1:12" x14ac:dyDescent="0.3">
      <c r="A136">
        <v>10195</v>
      </c>
      <c r="B136" s="48">
        <v>45394</v>
      </c>
      <c r="C136" s="49" t="s">
        <v>84</v>
      </c>
      <c r="D136" s="49" t="s">
        <v>72</v>
      </c>
      <c r="E136" s="49" t="s">
        <v>55</v>
      </c>
      <c r="F136" s="49" t="s">
        <v>103</v>
      </c>
      <c r="G136">
        <v>1</v>
      </c>
      <c r="H136">
        <v>999</v>
      </c>
      <c r="I136">
        <v>0.1</v>
      </c>
      <c r="J136" s="49" t="s">
        <v>44</v>
      </c>
      <c r="K136" s="49" t="s">
        <v>57</v>
      </c>
      <c r="L136" s="49" t="s">
        <v>41</v>
      </c>
    </row>
    <row r="137" spans="1:12" x14ac:dyDescent="0.3">
      <c r="A137">
        <v>10095</v>
      </c>
      <c r="B137" s="48">
        <v>45419</v>
      </c>
      <c r="C137" s="49" t="s">
        <v>62</v>
      </c>
      <c r="D137" s="49" t="s">
        <v>52</v>
      </c>
      <c r="E137" s="49" t="s">
        <v>76</v>
      </c>
      <c r="F137" s="49" t="s">
        <v>70</v>
      </c>
      <c r="G137">
        <v>3</v>
      </c>
      <c r="H137">
        <v>5499</v>
      </c>
      <c r="I137">
        <v>0.05</v>
      </c>
      <c r="J137" s="49" t="s">
        <v>39</v>
      </c>
      <c r="K137" s="49" t="s">
        <v>57</v>
      </c>
      <c r="L137" s="49" t="s">
        <v>41</v>
      </c>
    </row>
    <row r="138" spans="1:12" x14ac:dyDescent="0.3">
      <c r="A138">
        <v>10049</v>
      </c>
      <c r="B138" s="48">
        <v>45330</v>
      </c>
      <c r="C138" s="49" t="s">
        <v>89</v>
      </c>
      <c r="D138" s="49" t="s">
        <v>72</v>
      </c>
      <c r="E138" s="49" t="s">
        <v>55</v>
      </c>
      <c r="F138" s="49" t="s">
        <v>103</v>
      </c>
      <c r="G138">
        <v>3</v>
      </c>
      <c r="H138">
        <v>999</v>
      </c>
      <c r="I138">
        <v>0</v>
      </c>
      <c r="J138" s="49" t="s">
        <v>109</v>
      </c>
      <c r="K138" s="49" t="s">
        <v>57</v>
      </c>
      <c r="L138" s="49" t="s">
        <v>50</v>
      </c>
    </row>
    <row r="139" spans="1:12" x14ac:dyDescent="0.3">
      <c r="A139">
        <v>10104</v>
      </c>
      <c r="B139" s="48">
        <v>45347</v>
      </c>
      <c r="C139" s="49" t="s">
        <v>116</v>
      </c>
      <c r="D139" s="49" t="s">
        <v>52</v>
      </c>
      <c r="E139" s="49" t="s">
        <v>69</v>
      </c>
      <c r="F139" s="49" t="s">
        <v>70</v>
      </c>
      <c r="G139">
        <v>3</v>
      </c>
      <c r="H139">
        <v>5499</v>
      </c>
      <c r="I139">
        <v>0</v>
      </c>
      <c r="J139" s="49" t="s">
        <v>204</v>
      </c>
      <c r="K139" s="49" t="s">
        <v>45</v>
      </c>
      <c r="L139" s="49" t="s">
        <v>46</v>
      </c>
    </row>
    <row r="140" spans="1:12" x14ac:dyDescent="0.3">
      <c r="A140">
        <v>10037</v>
      </c>
      <c r="B140" s="48">
        <v>45343</v>
      </c>
      <c r="C140" s="49" t="s">
        <v>114</v>
      </c>
      <c r="D140" s="49" t="s">
        <v>52</v>
      </c>
      <c r="E140" s="49" t="s">
        <v>53</v>
      </c>
      <c r="F140" s="49" t="s">
        <v>90</v>
      </c>
      <c r="G140">
        <v>5</v>
      </c>
      <c r="H140">
        <v>199</v>
      </c>
      <c r="I140">
        <v>0.05</v>
      </c>
      <c r="J140" s="49" t="s">
        <v>109</v>
      </c>
      <c r="K140" s="49" t="s">
        <v>65</v>
      </c>
      <c r="L140" s="49" t="s">
        <v>46</v>
      </c>
    </row>
    <row r="141" spans="1:12" x14ac:dyDescent="0.3">
      <c r="A141">
        <v>10292</v>
      </c>
      <c r="B141" s="48"/>
      <c r="C141" s="49" t="s">
        <v>89</v>
      </c>
      <c r="D141" s="49" t="s">
        <v>74</v>
      </c>
      <c r="E141" s="49" t="s">
        <v>75</v>
      </c>
      <c r="F141" s="49" t="s">
        <v>105</v>
      </c>
      <c r="G141">
        <v>4</v>
      </c>
      <c r="H141">
        <v>1199</v>
      </c>
      <c r="I141">
        <v>0.1</v>
      </c>
      <c r="J141" s="49" t="s">
        <v>109</v>
      </c>
      <c r="K141" s="49" t="s">
        <v>57</v>
      </c>
      <c r="L141" s="49" t="s">
        <v>41</v>
      </c>
    </row>
    <row r="142" spans="1:12" x14ac:dyDescent="0.3">
      <c r="A142">
        <v>10312</v>
      </c>
      <c r="B142" s="48">
        <v>45437</v>
      </c>
      <c r="C142" s="49" t="s">
        <v>107</v>
      </c>
      <c r="D142" s="49" t="s">
        <v>74</v>
      </c>
      <c r="E142" s="49" t="s">
        <v>37</v>
      </c>
      <c r="F142" s="49" t="s">
        <v>66</v>
      </c>
      <c r="G142">
        <v>1</v>
      </c>
      <c r="H142">
        <v>1499</v>
      </c>
      <c r="I142">
        <v>0.1</v>
      </c>
      <c r="J142" s="49" t="s">
        <v>109</v>
      </c>
      <c r="K142" s="49" t="s">
        <v>57</v>
      </c>
      <c r="L142" s="49" t="s">
        <v>46</v>
      </c>
    </row>
    <row r="143" spans="1:12" x14ac:dyDescent="0.3">
      <c r="A143">
        <v>10008</v>
      </c>
      <c r="B143" s="48">
        <v>45323</v>
      </c>
      <c r="C143" s="49" t="s">
        <v>110</v>
      </c>
      <c r="D143" s="49" t="s">
        <v>72</v>
      </c>
      <c r="E143" s="49" t="s">
        <v>37</v>
      </c>
      <c r="F143" s="49" t="s">
        <v>66</v>
      </c>
      <c r="G143">
        <v>3</v>
      </c>
      <c r="H143">
        <v>1499</v>
      </c>
      <c r="I143">
        <v>0.05</v>
      </c>
      <c r="J143" s="49" t="s">
        <v>67</v>
      </c>
      <c r="K143" s="49" t="s">
        <v>57</v>
      </c>
      <c r="L143" s="49" t="s">
        <v>50</v>
      </c>
    </row>
    <row r="144" spans="1:12" x14ac:dyDescent="0.3">
      <c r="A144">
        <v>10208</v>
      </c>
      <c r="B144" s="48"/>
      <c r="C144" s="49" t="s">
        <v>94</v>
      </c>
      <c r="D144" s="49" t="s">
        <v>72</v>
      </c>
      <c r="E144" s="49" t="s">
        <v>55</v>
      </c>
      <c r="F144" s="49" t="s">
        <v>103</v>
      </c>
      <c r="G144">
        <v>3</v>
      </c>
      <c r="H144">
        <v>999</v>
      </c>
      <c r="I144">
        <v>0.1</v>
      </c>
      <c r="J144" s="49" t="s">
        <v>108</v>
      </c>
      <c r="K144" s="49" t="s">
        <v>45</v>
      </c>
      <c r="L144" s="49" t="s">
        <v>50</v>
      </c>
    </row>
    <row r="145" spans="1:12" x14ac:dyDescent="0.3">
      <c r="A145">
        <v>10163</v>
      </c>
      <c r="B145" s="48"/>
      <c r="C145" s="49" t="s">
        <v>97</v>
      </c>
      <c r="D145" s="49" t="s">
        <v>74</v>
      </c>
      <c r="E145" s="49" t="s">
        <v>53</v>
      </c>
      <c r="F145" s="49" t="s">
        <v>60</v>
      </c>
      <c r="G145">
        <v>2</v>
      </c>
      <c r="H145">
        <v>349</v>
      </c>
      <c r="I145">
        <v>0.05</v>
      </c>
      <c r="J145" s="49" t="s">
        <v>108</v>
      </c>
      <c r="K145" s="49" t="s">
        <v>49</v>
      </c>
      <c r="L145" s="49" t="s">
        <v>203</v>
      </c>
    </row>
    <row r="146" spans="1:12" x14ac:dyDescent="0.3">
      <c r="A146">
        <v>10079</v>
      </c>
      <c r="B146" s="48"/>
      <c r="C146" s="49" t="s">
        <v>77</v>
      </c>
      <c r="D146" s="49" t="s">
        <v>95</v>
      </c>
      <c r="E146" s="49" t="s">
        <v>53</v>
      </c>
      <c r="F146" s="49" t="s">
        <v>86</v>
      </c>
      <c r="G146">
        <v>0</v>
      </c>
      <c r="H146">
        <v>599</v>
      </c>
      <c r="I146">
        <v>0.05</v>
      </c>
      <c r="J146" s="49" t="s">
        <v>44</v>
      </c>
      <c r="K146" s="49" t="s">
        <v>65</v>
      </c>
      <c r="L146" s="49" t="s">
        <v>41</v>
      </c>
    </row>
    <row r="147" spans="1:12" x14ac:dyDescent="0.3">
      <c r="A147">
        <v>10253</v>
      </c>
      <c r="B147" s="48"/>
      <c r="C147" s="49" t="s">
        <v>84</v>
      </c>
      <c r="D147" s="49" t="s">
        <v>52</v>
      </c>
      <c r="E147" s="49" t="s">
        <v>75</v>
      </c>
      <c r="F147" s="49" t="s">
        <v>43</v>
      </c>
      <c r="G147">
        <v>3</v>
      </c>
      <c r="H147">
        <v>6499</v>
      </c>
      <c r="I147">
        <v>0</v>
      </c>
      <c r="J147" s="49" t="s">
        <v>39</v>
      </c>
      <c r="K147" s="49" t="s">
        <v>57</v>
      </c>
      <c r="L147" s="49" t="s">
        <v>41</v>
      </c>
    </row>
    <row r="148" spans="1:12" x14ac:dyDescent="0.3">
      <c r="A148">
        <v>10006</v>
      </c>
      <c r="B148" s="48">
        <v>45453</v>
      </c>
      <c r="C148" s="49" t="s">
        <v>36</v>
      </c>
      <c r="D148" s="49" t="s">
        <v>74</v>
      </c>
      <c r="E148" s="49" t="s">
        <v>75</v>
      </c>
      <c r="F148" s="49" t="s">
        <v>105</v>
      </c>
      <c r="G148">
        <v>1</v>
      </c>
      <c r="H148">
        <v>1199</v>
      </c>
      <c r="I148">
        <v>0.1</v>
      </c>
      <c r="J148" s="49" t="s">
        <v>67</v>
      </c>
      <c r="K148" s="49" t="s">
        <v>57</v>
      </c>
      <c r="L148" s="49" t="s">
        <v>41</v>
      </c>
    </row>
    <row r="149" spans="1:12" x14ac:dyDescent="0.3">
      <c r="A149">
        <v>10025</v>
      </c>
      <c r="B149" s="48">
        <v>45604</v>
      </c>
      <c r="C149" s="49" t="s">
        <v>62</v>
      </c>
      <c r="D149" s="49" t="s">
        <v>52</v>
      </c>
      <c r="E149" s="49" t="s">
        <v>69</v>
      </c>
      <c r="F149" s="49" t="s">
        <v>63</v>
      </c>
      <c r="G149">
        <v>2</v>
      </c>
      <c r="H149">
        <v>15999</v>
      </c>
      <c r="I149">
        <v>0.15</v>
      </c>
      <c r="J149" s="49" t="s">
        <v>67</v>
      </c>
      <c r="K149" s="49" t="s">
        <v>40</v>
      </c>
      <c r="L149" s="49" t="s">
        <v>41</v>
      </c>
    </row>
    <row r="150" spans="1:12" x14ac:dyDescent="0.3">
      <c r="A150">
        <v>10159</v>
      </c>
      <c r="B150" s="48">
        <v>45506</v>
      </c>
      <c r="C150" s="49" t="s">
        <v>89</v>
      </c>
      <c r="D150" s="49" t="s">
        <v>74</v>
      </c>
      <c r="E150" s="49" t="s">
        <v>75</v>
      </c>
      <c r="F150" s="49" t="s">
        <v>64</v>
      </c>
      <c r="G150">
        <v>6</v>
      </c>
      <c r="H150">
        <v>1799</v>
      </c>
      <c r="I150">
        <v>0</v>
      </c>
      <c r="J150" s="49" t="s">
        <v>109</v>
      </c>
      <c r="K150" s="49" t="s">
        <v>40</v>
      </c>
      <c r="L150" s="49" t="s">
        <v>41</v>
      </c>
    </row>
    <row r="151" spans="1:12" x14ac:dyDescent="0.3">
      <c r="A151">
        <v>10202</v>
      </c>
      <c r="B151" s="48">
        <v>45573</v>
      </c>
      <c r="C151" s="49" t="s">
        <v>117</v>
      </c>
      <c r="D151" s="49" t="s">
        <v>74</v>
      </c>
      <c r="E151" s="49" t="s">
        <v>78</v>
      </c>
      <c r="F151" s="49" t="s">
        <v>92</v>
      </c>
      <c r="G151">
        <v>1</v>
      </c>
      <c r="H151">
        <v>799</v>
      </c>
      <c r="I151">
        <v>0.1</v>
      </c>
      <c r="J151" s="49" t="s">
        <v>109</v>
      </c>
      <c r="K151" s="49" t="s">
        <v>65</v>
      </c>
      <c r="L151" s="49" t="s">
        <v>41</v>
      </c>
    </row>
    <row r="152" spans="1:12" x14ac:dyDescent="0.3">
      <c r="A152">
        <v>10221</v>
      </c>
      <c r="B152" s="48">
        <v>45748</v>
      </c>
      <c r="C152" s="49" t="s">
        <v>42</v>
      </c>
      <c r="D152" s="49" t="s">
        <v>74</v>
      </c>
      <c r="E152" s="49" t="s">
        <v>55</v>
      </c>
      <c r="F152" s="49" t="s">
        <v>73</v>
      </c>
      <c r="G152">
        <v>1</v>
      </c>
      <c r="H152">
        <v>5499</v>
      </c>
      <c r="I152">
        <v>0</v>
      </c>
      <c r="J152" s="49" t="s">
        <v>39</v>
      </c>
      <c r="K152" s="49" t="s">
        <v>57</v>
      </c>
      <c r="L152" s="49" t="s">
        <v>41</v>
      </c>
    </row>
    <row r="153" spans="1:12" x14ac:dyDescent="0.3">
      <c r="A153">
        <v>10035</v>
      </c>
      <c r="B153" s="48">
        <v>45335</v>
      </c>
      <c r="C153" s="49" t="s">
        <v>118</v>
      </c>
      <c r="D153" s="49" t="s">
        <v>59</v>
      </c>
      <c r="E153" s="49" t="s">
        <v>76</v>
      </c>
      <c r="F153" s="49" t="s">
        <v>61</v>
      </c>
      <c r="G153">
        <v>3</v>
      </c>
      <c r="H153">
        <v>18999</v>
      </c>
      <c r="I153">
        <v>0</v>
      </c>
      <c r="J153" s="49" t="s">
        <v>44</v>
      </c>
      <c r="K153" s="49" t="s">
        <v>40</v>
      </c>
      <c r="L153" s="49" t="s">
        <v>41</v>
      </c>
    </row>
    <row r="154" spans="1:12" x14ac:dyDescent="0.3">
      <c r="A154">
        <v>10189</v>
      </c>
      <c r="B154" s="48"/>
      <c r="C154" s="49" t="s">
        <v>36</v>
      </c>
      <c r="D154" s="49" t="s">
        <v>74</v>
      </c>
      <c r="E154" s="49" t="s">
        <v>76</v>
      </c>
      <c r="F154" s="49" t="s">
        <v>70</v>
      </c>
      <c r="G154">
        <v>-1</v>
      </c>
      <c r="H154">
        <v>5499</v>
      </c>
      <c r="I154">
        <v>0.05</v>
      </c>
      <c r="J154" s="49" t="s">
        <v>109</v>
      </c>
      <c r="K154" s="49" t="s">
        <v>45</v>
      </c>
      <c r="L154" s="49" t="s">
        <v>46</v>
      </c>
    </row>
    <row r="155" spans="1:12" x14ac:dyDescent="0.3">
      <c r="A155">
        <v>10105</v>
      </c>
      <c r="B155" s="48"/>
      <c r="C155" s="49" t="s">
        <v>89</v>
      </c>
      <c r="D155" s="49" t="s">
        <v>74</v>
      </c>
      <c r="E155" s="49" t="s">
        <v>69</v>
      </c>
      <c r="F155" s="49" t="s">
        <v>70</v>
      </c>
      <c r="G155">
        <v>0</v>
      </c>
      <c r="H155">
        <v>5499</v>
      </c>
      <c r="I155">
        <v>0.1</v>
      </c>
      <c r="J155" s="49" t="s">
        <v>39</v>
      </c>
      <c r="K155" s="49" t="s">
        <v>57</v>
      </c>
      <c r="L155" s="49" t="s">
        <v>41</v>
      </c>
    </row>
    <row r="156" spans="1:12" x14ac:dyDescent="0.3">
      <c r="A156">
        <v>10224</v>
      </c>
      <c r="B156" s="48"/>
      <c r="C156" s="49" t="s">
        <v>111</v>
      </c>
      <c r="D156" s="49" t="s">
        <v>95</v>
      </c>
      <c r="E156" s="49" t="s">
        <v>53</v>
      </c>
      <c r="F156" s="49" t="s">
        <v>102</v>
      </c>
      <c r="G156">
        <v>1</v>
      </c>
      <c r="H156">
        <v>899</v>
      </c>
      <c r="I156">
        <v>0</v>
      </c>
      <c r="J156" s="49" t="s">
        <v>109</v>
      </c>
      <c r="K156" s="49" t="s">
        <v>65</v>
      </c>
      <c r="L156" s="49" t="s">
        <v>41</v>
      </c>
    </row>
    <row r="157" spans="1:12" x14ac:dyDescent="0.3">
      <c r="A157">
        <v>10143</v>
      </c>
      <c r="B157" s="48"/>
      <c r="C157" s="49" t="s">
        <v>47</v>
      </c>
      <c r="D157" s="49" t="s">
        <v>74</v>
      </c>
      <c r="E157" s="49" t="s">
        <v>53</v>
      </c>
      <c r="F157" s="49" t="s">
        <v>90</v>
      </c>
      <c r="G157">
        <v>3</v>
      </c>
      <c r="H157">
        <v>199</v>
      </c>
      <c r="I157">
        <v>0.1</v>
      </c>
      <c r="J157" s="49" t="s">
        <v>44</v>
      </c>
      <c r="K157" s="49" t="s">
        <v>45</v>
      </c>
      <c r="L157" s="49" t="s">
        <v>50</v>
      </c>
    </row>
    <row r="158" spans="1:12" x14ac:dyDescent="0.3">
      <c r="A158">
        <v>10023</v>
      </c>
      <c r="B158" s="48">
        <v>45660</v>
      </c>
      <c r="C158" s="49" t="s">
        <v>47</v>
      </c>
      <c r="D158" s="49" t="s">
        <v>95</v>
      </c>
      <c r="E158" s="49" t="s">
        <v>53</v>
      </c>
      <c r="F158" s="49" t="s">
        <v>102</v>
      </c>
      <c r="G158">
        <v>3</v>
      </c>
      <c r="H158">
        <v>899</v>
      </c>
      <c r="I158">
        <v>0</v>
      </c>
      <c r="J158" s="49" t="s">
        <v>108</v>
      </c>
      <c r="K158" s="49" t="s">
        <v>40</v>
      </c>
      <c r="L158" s="49" t="s">
        <v>46</v>
      </c>
    </row>
    <row r="159" spans="1:12" x14ac:dyDescent="0.3">
      <c r="A159">
        <v>10062</v>
      </c>
      <c r="B159" s="48">
        <v>45350</v>
      </c>
      <c r="C159" s="49" t="s">
        <v>62</v>
      </c>
      <c r="D159" s="49" t="s">
        <v>72</v>
      </c>
      <c r="E159" s="49" t="s">
        <v>69</v>
      </c>
      <c r="F159" s="49" t="s">
        <v>83</v>
      </c>
      <c r="G159">
        <v>5</v>
      </c>
      <c r="H159">
        <v>1299</v>
      </c>
      <c r="I159">
        <v>0.1</v>
      </c>
      <c r="J159" s="49" t="s">
        <v>44</v>
      </c>
      <c r="K159" s="49" t="s">
        <v>40</v>
      </c>
      <c r="L159" s="49" t="s">
        <v>41</v>
      </c>
    </row>
    <row r="160" spans="1:12" x14ac:dyDescent="0.3">
      <c r="A160">
        <v>10127</v>
      </c>
      <c r="B160" s="48">
        <v>45513</v>
      </c>
      <c r="C160" s="49" t="s">
        <v>81</v>
      </c>
      <c r="D160" s="49" t="s">
        <v>74</v>
      </c>
      <c r="E160" s="49" t="s">
        <v>55</v>
      </c>
      <c r="F160" s="49" t="s">
        <v>92</v>
      </c>
      <c r="G160">
        <v>4</v>
      </c>
      <c r="H160">
        <v>799</v>
      </c>
      <c r="I160">
        <v>0.05</v>
      </c>
      <c r="J160" s="49" t="s">
        <v>67</v>
      </c>
      <c r="K160" s="49" t="s">
        <v>49</v>
      </c>
      <c r="L160" s="49" t="s">
        <v>41</v>
      </c>
    </row>
    <row r="161" spans="1:12" x14ac:dyDescent="0.3">
      <c r="A161">
        <v>10116</v>
      </c>
      <c r="B161" s="48">
        <v>45639</v>
      </c>
      <c r="C161" s="49" t="s">
        <v>93</v>
      </c>
      <c r="D161" s="49" t="s">
        <v>59</v>
      </c>
      <c r="E161" s="49" t="s">
        <v>53</v>
      </c>
      <c r="F161" s="49" t="s">
        <v>58</v>
      </c>
      <c r="G161">
        <v>5</v>
      </c>
      <c r="H161">
        <v>429</v>
      </c>
      <c r="I161">
        <v>0.1</v>
      </c>
      <c r="J161" s="49" t="s">
        <v>67</v>
      </c>
      <c r="K161" s="49" t="s">
        <v>65</v>
      </c>
      <c r="L161" s="49" t="s">
        <v>41</v>
      </c>
    </row>
    <row r="162" spans="1:12" x14ac:dyDescent="0.3">
      <c r="A162">
        <v>10310</v>
      </c>
      <c r="B162" s="48">
        <v>45534</v>
      </c>
      <c r="C162" s="49" t="s">
        <v>107</v>
      </c>
      <c r="D162" s="49" t="s">
        <v>95</v>
      </c>
      <c r="E162" s="49" t="s">
        <v>55</v>
      </c>
      <c r="F162" s="49" t="s">
        <v>56</v>
      </c>
      <c r="G162">
        <v>5</v>
      </c>
      <c r="H162">
        <v>3999</v>
      </c>
      <c r="I162">
        <v>0.05</v>
      </c>
      <c r="J162" s="49" t="s">
        <v>67</v>
      </c>
      <c r="K162" s="49" t="s">
        <v>57</v>
      </c>
      <c r="L162" s="49" t="s">
        <v>50</v>
      </c>
    </row>
    <row r="163" spans="1:12" x14ac:dyDescent="0.3">
      <c r="A163">
        <v>10101</v>
      </c>
      <c r="B163" s="48">
        <v>45738</v>
      </c>
      <c r="C163" s="49" t="s">
        <v>62</v>
      </c>
      <c r="D163" s="49" t="s">
        <v>52</v>
      </c>
      <c r="E163" s="49" t="s">
        <v>69</v>
      </c>
      <c r="F163" s="49" t="s">
        <v>83</v>
      </c>
      <c r="G163">
        <v>4</v>
      </c>
      <c r="H163">
        <v>1299</v>
      </c>
      <c r="I163">
        <v>0.05</v>
      </c>
      <c r="J163" s="49" t="s">
        <v>109</v>
      </c>
      <c r="K163" s="49" t="s">
        <v>57</v>
      </c>
      <c r="L163" s="49" t="s">
        <v>41</v>
      </c>
    </row>
    <row r="164" spans="1:12" x14ac:dyDescent="0.3">
      <c r="A164">
        <v>10136</v>
      </c>
      <c r="B164" s="48">
        <v>45381</v>
      </c>
      <c r="C164" s="49" t="s">
        <v>42</v>
      </c>
      <c r="D164" s="49" t="s">
        <v>59</v>
      </c>
      <c r="E164" s="49" t="s">
        <v>75</v>
      </c>
      <c r="F164" s="49" t="s">
        <v>48</v>
      </c>
      <c r="G164">
        <v>2</v>
      </c>
      <c r="H164">
        <v>799</v>
      </c>
      <c r="I164">
        <v>0.1</v>
      </c>
      <c r="J164" s="49" t="s">
        <v>108</v>
      </c>
      <c r="K164" s="49" t="s">
        <v>45</v>
      </c>
      <c r="L164" s="49" t="s">
        <v>46</v>
      </c>
    </row>
    <row r="165" spans="1:12" x14ac:dyDescent="0.3">
      <c r="A165">
        <v>10109</v>
      </c>
      <c r="B165" s="48">
        <v>45645</v>
      </c>
      <c r="C165" s="49" t="s">
        <v>80</v>
      </c>
      <c r="D165" s="49" t="s">
        <v>59</v>
      </c>
      <c r="E165" s="49" t="s">
        <v>75</v>
      </c>
      <c r="F165" s="49" t="s">
        <v>43</v>
      </c>
      <c r="G165">
        <v>5</v>
      </c>
      <c r="H165">
        <v>6499</v>
      </c>
      <c r="I165">
        <v>0.05</v>
      </c>
      <c r="J165" s="49" t="s">
        <v>39</v>
      </c>
      <c r="K165" s="49" t="s">
        <v>45</v>
      </c>
      <c r="L165" s="49" t="s">
        <v>41</v>
      </c>
    </row>
    <row r="166" spans="1:12" x14ac:dyDescent="0.3">
      <c r="A166">
        <v>10216</v>
      </c>
      <c r="B166" s="48"/>
      <c r="C166" s="49" t="s">
        <v>111</v>
      </c>
      <c r="D166" s="49" t="s">
        <v>72</v>
      </c>
      <c r="E166" s="49" t="s">
        <v>37</v>
      </c>
      <c r="F166" s="49" t="s">
        <v>48</v>
      </c>
      <c r="G166">
        <v>5</v>
      </c>
      <c r="H166">
        <v>799</v>
      </c>
      <c r="I166">
        <v>0.05</v>
      </c>
      <c r="J166" s="49" t="s">
        <v>108</v>
      </c>
      <c r="K166" s="49" t="s">
        <v>40</v>
      </c>
      <c r="L166" s="49" t="s">
        <v>41</v>
      </c>
    </row>
    <row r="167" spans="1:12" x14ac:dyDescent="0.3">
      <c r="A167">
        <v>10130</v>
      </c>
      <c r="B167" s="48">
        <v>45392</v>
      </c>
      <c r="C167" s="49" t="s">
        <v>71</v>
      </c>
      <c r="D167" s="49" t="s">
        <v>95</v>
      </c>
      <c r="E167" s="49" t="s">
        <v>55</v>
      </c>
      <c r="F167" s="49" t="s">
        <v>92</v>
      </c>
      <c r="G167">
        <v>2</v>
      </c>
      <c r="H167">
        <v>799</v>
      </c>
      <c r="I167">
        <v>0.1</v>
      </c>
      <c r="J167" s="49" t="s">
        <v>108</v>
      </c>
      <c r="K167" s="49" t="s">
        <v>65</v>
      </c>
      <c r="L167" s="49" t="s">
        <v>41</v>
      </c>
    </row>
    <row r="168" spans="1:12" x14ac:dyDescent="0.3">
      <c r="A168">
        <v>10239</v>
      </c>
      <c r="B168" s="48">
        <v>45353</v>
      </c>
      <c r="C168" s="49" t="s">
        <v>51</v>
      </c>
      <c r="D168" s="49" t="s">
        <v>52</v>
      </c>
      <c r="E168" s="49" t="s">
        <v>53</v>
      </c>
      <c r="F168" s="49" t="s">
        <v>86</v>
      </c>
      <c r="G168">
        <v>2</v>
      </c>
      <c r="H168">
        <v>599</v>
      </c>
      <c r="I168">
        <v>0</v>
      </c>
      <c r="J168" s="49" t="s">
        <v>204</v>
      </c>
      <c r="K168" s="49" t="s">
        <v>40</v>
      </c>
      <c r="L168" s="49" t="s">
        <v>41</v>
      </c>
    </row>
    <row r="169" spans="1:12" x14ac:dyDescent="0.3">
      <c r="A169">
        <v>10012</v>
      </c>
      <c r="B169" s="48"/>
      <c r="C169" s="49" t="s">
        <v>62</v>
      </c>
      <c r="D169" s="49" t="s">
        <v>95</v>
      </c>
      <c r="E169" s="49" t="s">
        <v>55</v>
      </c>
      <c r="F169" s="49" t="s">
        <v>88</v>
      </c>
      <c r="G169">
        <v>1</v>
      </c>
      <c r="H169">
        <v>2499</v>
      </c>
      <c r="I169">
        <v>0.05</v>
      </c>
      <c r="J169" s="49" t="s">
        <v>109</v>
      </c>
      <c r="K169" s="49" t="s">
        <v>45</v>
      </c>
      <c r="L169" s="49" t="s">
        <v>41</v>
      </c>
    </row>
    <row r="170" spans="1:12" x14ac:dyDescent="0.3">
      <c r="A170">
        <v>10013</v>
      </c>
      <c r="B170" s="48">
        <v>45733</v>
      </c>
      <c r="C170" s="49" t="s">
        <v>62</v>
      </c>
      <c r="D170" s="49" t="s">
        <v>95</v>
      </c>
      <c r="E170" s="49" t="s">
        <v>78</v>
      </c>
      <c r="F170" s="49" t="s">
        <v>88</v>
      </c>
      <c r="G170">
        <v>2</v>
      </c>
      <c r="H170">
        <v>2499</v>
      </c>
      <c r="I170">
        <v>0</v>
      </c>
      <c r="J170" s="49" t="s">
        <v>39</v>
      </c>
      <c r="K170" s="49" t="s">
        <v>45</v>
      </c>
      <c r="L170" s="49" t="s">
        <v>46</v>
      </c>
    </row>
    <row r="171" spans="1:12" x14ac:dyDescent="0.3">
      <c r="A171">
        <v>10288</v>
      </c>
      <c r="B171" s="48">
        <v>45704</v>
      </c>
      <c r="C171" s="49" t="s">
        <v>97</v>
      </c>
      <c r="D171" s="49" t="s">
        <v>74</v>
      </c>
      <c r="E171" s="49" t="s">
        <v>55</v>
      </c>
      <c r="F171" s="49" t="s">
        <v>79</v>
      </c>
      <c r="G171">
        <v>4</v>
      </c>
      <c r="H171">
        <v>599</v>
      </c>
      <c r="I171">
        <v>0.1</v>
      </c>
      <c r="J171" s="49" t="s">
        <v>39</v>
      </c>
      <c r="K171" s="49" t="s">
        <v>57</v>
      </c>
      <c r="L171" s="49" t="s">
        <v>41</v>
      </c>
    </row>
    <row r="172" spans="1:12" x14ac:dyDescent="0.3">
      <c r="A172">
        <v>10003</v>
      </c>
      <c r="B172" s="48"/>
      <c r="C172" s="49" t="s">
        <v>84</v>
      </c>
      <c r="D172" s="49" t="s">
        <v>59</v>
      </c>
      <c r="E172" s="49" t="s">
        <v>55</v>
      </c>
      <c r="F172" s="49" t="s">
        <v>73</v>
      </c>
      <c r="G172">
        <v>2</v>
      </c>
      <c r="H172">
        <v>5499</v>
      </c>
      <c r="I172">
        <v>0</v>
      </c>
      <c r="J172" s="49" t="s">
        <v>108</v>
      </c>
      <c r="K172" s="49" t="s">
        <v>40</v>
      </c>
      <c r="L172" s="49" t="s">
        <v>41</v>
      </c>
    </row>
    <row r="173" spans="1:12" x14ac:dyDescent="0.3">
      <c r="A173">
        <v>10147</v>
      </c>
      <c r="B173" s="48">
        <v>45292</v>
      </c>
      <c r="C173" s="49" t="s">
        <v>36</v>
      </c>
      <c r="D173" s="49" t="s">
        <v>95</v>
      </c>
      <c r="E173" s="49" t="s">
        <v>53</v>
      </c>
      <c r="F173" s="49" t="s">
        <v>91</v>
      </c>
      <c r="G173">
        <v>2</v>
      </c>
      <c r="H173">
        <v>249</v>
      </c>
      <c r="I173">
        <v>0</v>
      </c>
      <c r="J173" s="49" t="s">
        <v>67</v>
      </c>
      <c r="K173" s="49" t="s">
        <v>65</v>
      </c>
      <c r="L173" s="49" t="s">
        <v>41</v>
      </c>
    </row>
    <row r="174" spans="1:12" x14ac:dyDescent="0.3">
      <c r="A174">
        <v>10040</v>
      </c>
      <c r="B174" s="48">
        <v>45293</v>
      </c>
      <c r="C174" s="49" t="s">
        <v>93</v>
      </c>
      <c r="D174" s="49" t="s">
        <v>52</v>
      </c>
      <c r="E174" s="49" t="s">
        <v>75</v>
      </c>
      <c r="F174" s="49" t="s">
        <v>105</v>
      </c>
      <c r="G174">
        <v>2</v>
      </c>
      <c r="H174">
        <v>1199</v>
      </c>
      <c r="I174">
        <v>0</v>
      </c>
      <c r="J174" s="49" t="s">
        <v>67</v>
      </c>
      <c r="K174" s="49" t="s">
        <v>40</v>
      </c>
      <c r="L174" s="49" t="s">
        <v>50</v>
      </c>
    </row>
    <row r="175" spans="1:12" x14ac:dyDescent="0.3">
      <c r="A175">
        <v>10247</v>
      </c>
      <c r="B175" s="48"/>
      <c r="C175" s="49" t="s">
        <v>116</v>
      </c>
      <c r="D175" s="49" t="s">
        <v>72</v>
      </c>
      <c r="E175" s="49" t="s">
        <v>75</v>
      </c>
      <c r="F175" s="49" t="s">
        <v>43</v>
      </c>
      <c r="G175">
        <v>2</v>
      </c>
      <c r="H175">
        <v>6499</v>
      </c>
      <c r="I175">
        <v>0</v>
      </c>
      <c r="J175" s="49" t="s">
        <v>108</v>
      </c>
      <c r="K175" s="49" t="s">
        <v>45</v>
      </c>
      <c r="L175" s="49" t="s">
        <v>46</v>
      </c>
    </row>
    <row r="176" spans="1:12" x14ac:dyDescent="0.3">
      <c r="A176">
        <v>10203</v>
      </c>
      <c r="B176" s="48"/>
      <c r="C176" s="49" t="s">
        <v>80</v>
      </c>
      <c r="D176" s="49" t="s">
        <v>59</v>
      </c>
      <c r="E176" s="49" t="s">
        <v>53</v>
      </c>
      <c r="F176" s="49" t="s">
        <v>101</v>
      </c>
      <c r="G176">
        <v>5</v>
      </c>
      <c r="H176">
        <v>99</v>
      </c>
      <c r="I176">
        <v>0.1</v>
      </c>
      <c r="J176" s="49" t="s">
        <v>44</v>
      </c>
      <c r="K176" s="49" t="s">
        <v>57</v>
      </c>
      <c r="L176" s="49" t="s">
        <v>50</v>
      </c>
    </row>
    <row r="177" spans="1:12" x14ac:dyDescent="0.3">
      <c r="A177">
        <v>10149</v>
      </c>
      <c r="B177" s="48">
        <v>45732</v>
      </c>
      <c r="C177" s="49" t="s">
        <v>36</v>
      </c>
      <c r="D177" s="49" t="s">
        <v>59</v>
      </c>
      <c r="E177" s="49" t="s">
        <v>53</v>
      </c>
      <c r="F177" s="49" t="s">
        <v>101</v>
      </c>
      <c r="G177">
        <v>2</v>
      </c>
      <c r="H177">
        <v>99</v>
      </c>
      <c r="I177">
        <v>0.05</v>
      </c>
      <c r="J177" s="49" t="s">
        <v>39</v>
      </c>
      <c r="K177" s="49" t="s">
        <v>40</v>
      </c>
      <c r="L177" s="49" t="s">
        <v>50</v>
      </c>
    </row>
    <row r="178" spans="1:12" x14ac:dyDescent="0.3">
      <c r="A178">
        <v>10234</v>
      </c>
      <c r="B178" s="48"/>
      <c r="C178" s="49" t="s">
        <v>89</v>
      </c>
      <c r="D178" s="49" t="s">
        <v>95</v>
      </c>
      <c r="E178" s="49" t="s">
        <v>37</v>
      </c>
      <c r="F178" s="49" t="s">
        <v>100</v>
      </c>
      <c r="G178">
        <v>3</v>
      </c>
      <c r="H178">
        <v>5999</v>
      </c>
      <c r="I178">
        <v>0</v>
      </c>
      <c r="J178" s="49" t="s">
        <v>44</v>
      </c>
      <c r="K178" s="49" t="s">
        <v>57</v>
      </c>
      <c r="L178" s="49" t="s">
        <v>41</v>
      </c>
    </row>
    <row r="179" spans="1:12" x14ac:dyDescent="0.3">
      <c r="A179">
        <v>10251</v>
      </c>
      <c r="B179" s="48"/>
      <c r="C179" s="49" t="s">
        <v>116</v>
      </c>
      <c r="D179" s="49" t="s">
        <v>72</v>
      </c>
      <c r="E179" s="49" t="s">
        <v>69</v>
      </c>
      <c r="F179" s="49" t="s">
        <v>85</v>
      </c>
      <c r="G179">
        <v>1</v>
      </c>
      <c r="H179">
        <v>24999</v>
      </c>
      <c r="I179">
        <v>0.1</v>
      </c>
      <c r="J179" s="49" t="s">
        <v>67</v>
      </c>
      <c r="K179" s="49" t="s">
        <v>49</v>
      </c>
      <c r="L179" s="49" t="s">
        <v>41</v>
      </c>
    </row>
    <row r="180" spans="1:12" x14ac:dyDescent="0.3">
      <c r="A180">
        <v>10182</v>
      </c>
      <c r="B180" s="48">
        <v>45712</v>
      </c>
      <c r="C180" s="49" t="s">
        <v>106</v>
      </c>
      <c r="D180" s="49" t="s">
        <v>95</v>
      </c>
      <c r="E180" s="49" t="s">
        <v>75</v>
      </c>
      <c r="F180" s="49" t="s">
        <v>105</v>
      </c>
      <c r="G180">
        <v>4</v>
      </c>
      <c r="H180">
        <v>1199</v>
      </c>
      <c r="I180">
        <v>0.05</v>
      </c>
      <c r="J180" s="49" t="s">
        <v>39</v>
      </c>
      <c r="K180" s="49" t="s">
        <v>57</v>
      </c>
      <c r="L180" s="49" t="s">
        <v>41</v>
      </c>
    </row>
    <row r="181" spans="1:12" x14ac:dyDescent="0.3">
      <c r="A181">
        <v>10064</v>
      </c>
      <c r="B181" s="48"/>
      <c r="C181" s="49" t="s">
        <v>96</v>
      </c>
      <c r="D181" s="49" t="s">
        <v>95</v>
      </c>
      <c r="E181" s="49" t="s">
        <v>55</v>
      </c>
      <c r="F181" s="49" t="s">
        <v>92</v>
      </c>
      <c r="G181">
        <v>5</v>
      </c>
      <c r="H181">
        <v>799</v>
      </c>
      <c r="I181">
        <v>0</v>
      </c>
      <c r="J181" s="49" t="s">
        <v>108</v>
      </c>
      <c r="K181" s="49" t="s">
        <v>57</v>
      </c>
      <c r="L181" s="49" t="s">
        <v>50</v>
      </c>
    </row>
    <row r="182" spans="1:12" x14ac:dyDescent="0.3">
      <c r="A182">
        <v>10110</v>
      </c>
      <c r="B182" s="48">
        <v>45678</v>
      </c>
      <c r="C182" s="49" t="s">
        <v>116</v>
      </c>
      <c r="D182" s="49" t="s">
        <v>72</v>
      </c>
      <c r="E182" s="49" t="s">
        <v>76</v>
      </c>
      <c r="F182" s="49" t="s">
        <v>83</v>
      </c>
      <c r="G182">
        <v>6</v>
      </c>
      <c r="H182">
        <v>1299</v>
      </c>
      <c r="I182">
        <v>0.1</v>
      </c>
      <c r="J182" s="49" t="s">
        <v>109</v>
      </c>
      <c r="K182" s="49" t="s">
        <v>49</v>
      </c>
      <c r="L182" s="49" t="s">
        <v>41</v>
      </c>
    </row>
    <row r="183" spans="1:12" x14ac:dyDescent="0.3">
      <c r="A183">
        <v>10036</v>
      </c>
      <c r="B183" s="48">
        <v>45673</v>
      </c>
      <c r="C183" s="49" t="s">
        <v>42</v>
      </c>
      <c r="D183" s="49" t="s">
        <v>52</v>
      </c>
      <c r="E183" s="49" t="s">
        <v>53</v>
      </c>
      <c r="F183" s="49" t="s">
        <v>58</v>
      </c>
      <c r="G183">
        <v>3</v>
      </c>
      <c r="H183">
        <v>429</v>
      </c>
      <c r="I183">
        <v>0.05</v>
      </c>
      <c r="J183" s="49" t="s">
        <v>67</v>
      </c>
      <c r="K183" s="49" t="s">
        <v>65</v>
      </c>
      <c r="L183" s="49" t="s">
        <v>46</v>
      </c>
    </row>
    <row r="184" spans="1:12" x14ac:dyDescent="0.3">
      <c r="A184">
        <v>10212</v>
      </c>
      <c r="B184" s="48">
        <v>45504</v>
      </c>
      <c r="C184" s="49" t="s">
        <v>42</v>
      </c>
      <c r="D184" s="49" t="s">
        <v>59</v>
      </c>
      <c r="E184" s="49" t="s">
        <v>69</v>
      </c>
      <c r="F184" s="49" t="s">
        <v>63</v>
      </c>
      <c r="G184">
        <v>2</v>
      </c>
      <c r="H184">
        <v>15999</v>
      </c>
      <c r="I184">
        <v>0</v>
      </c>
      <c r="J184" s="49" t="s">
        <v>44</v>
      </c>
      <c r="K184" s="49" t="s">
        <v>65</v>
      </c>
      <c r="L184" s="49" t="s">
        <v>50</v>
      </c>
    </row>
    <row r="185" spans="1:12" x14ac:dyDescent="0.3">
      <c r="A185">
        <v>10119</v>
      </c>
      <c r="B185" s="48">
        <v>45486</v>
      </c>
      <c r="C185" s="49" t="s">
        <v>71</v>
      </c>
      <c r="D185" s="49" t="s">
        <v>52</v>
      </c>
      <c r="E185" s="49" t="s">
        <v>75</v>
      </c>
      <c r="F185" s="49" t="s">
        <v>43</v>
      </c>
      <c r="G185">
        <v>4</v>
      </c>
      <c r="H185">
        <v>6499</v>
      </c>
      <c r="I185">
        <v>0.05</v>
      </c>
      <c r="J185" s="49" t="s">
        <v>44</v>
      </c>
      <c r="K185" s="49" t="s">
        <v>49</v>
      </c>
      <c r="L185" s="49" t="s">
        <v>41</v>
      </c>
    </row>
    <row r="186" spans="1:12" x14ac:dyDescent="0.3">
      <c r="A186">
        <v>10122</v>
      </c>
      <c r="B186" s="48"/>
      <c r="C186" s="49" t="s">
        <v>116</v>
      </c>
      <c r="D186" s="49" t="s">
        <v>52</v>
      </c>
      <c r="E186" s="49" t="s">
        <v>53</v>
      </c>
      <c r="F186" s="49" t="s">
        <v>60</v>
      </c>
      <c r="G186">
        <v>4</v>
      </c>
      <c r="H186">
        <v>349</v>
      </c>
      <c r="I186">
        <v>0.1</v>
      </c>
      <c r="J186" s="49" t="s">
        <v>204</v>
      </c>
      <c r="K186" s="49" t="s">
        <v>49</v>
      </c>
      <c r="L186" s="49" t="s">
        <v>41</v>
      </c>
    </row>
    <row r="187" spans="1:12" x14ac:dyDescent="0.3">
      <c r="A187">
        <v>10151</v>
      </c>
      <c r="B187" s="48">
        <v>45476</v>
      </c>
      <c r="C187" s="49" t="s">
        <v>98</v>
      </c>
      <c r="D187" s="49" t="s">
        <v>95</v>
      </c>
      <c r="E187" s="49" t="s">
        <v>53</v>
      </c>
      <c r="F187" s="49" t="s">
        <v>101</v>
      </c>
      <c r="G187">
        <v>6</v>
      </c>
      <c r="H187">
        <v>99</v>
      </c>
      <c r="I187">
        <v>0</v>
      </c>
      <c r="J187" s="49" t="s">
        <v>108</v>
      </c>
      <c r="K187" s="49" t="s">
        <v>49</v>
      </c>
      <c r="L187" s="49" t="s">
        <v>41</v>
      </c>
    </row>
    <row r="188" spans="1:12" x14ac:dyDescent="0.3">
      <c r="A188">
        <v>10270</v>
      </c>
      <c r="B188" s="48"/>
      <c r="C188" s="49" t="s">
        <v>206</v>
      </c>
      <c r="D188" s="49" t="s">
        <v>74</v>
      </c>
      <c r="E188" s="49" t="s">
        <v>75</v>
      </c>
      <c r="F188" s="49" t="s">
        <v>66</v>
      </c>
      <c r="G188">
        <v>2</v>
      </c>
      <c r="H188">
        <v>1499</v>
      </c>
      <c r="I188">
        <v>0</v>
      </c>
      <c r="J188" s="49" t="s">
        <v>39</v>
      </c>
      <c r="K188" s="49" t="s">
        <v>45</v>
      </c>
      <c r="L188" s="49" t="s">
        <v>41</v>
      </c>
    </row>
    <row r="189" spans="1:12" x14ac:dyDescent="0.3">
      <c r="A189">
        <v>10126</v>
      </c>
      <c r="B189" s="48">
        <v>45567</v>
      </c>
      <c r="C189" s="49" t="s">
        <v>111</v>
      </c>
      <c r="D189" s="49" t="s">
        <v>72</v>
      </c>
      <c r="E189" s="49" t="s">
        <v>55</v>
      </c>
      <c r="F189" s="49" t="s">
        <v>79</v>
      </c>
      <c r="G189">
        <v>6</v>
      </c>
      <c r="H189">
        <v>599</v>
      </c>
      <c r="I189">
        <v>0.1</v>
      </c>
      <c r="J189" s="49" t="s">
        <v>67</v>
      </c>
      <c r="K189" s="49" t="s">
        <v>57</v>
      </c>
      <c r="L189" s="49" t="s">
        <v>50</v>
      </c>
    </row>
    <row r="190" spans="1:12" x14ac:dyDescent="0.3">
      <c r="A190">
        <v>10134</v>
      </c>
      <c r="B190" s="48">
        <v>45589</v>
      </c>
      <c r="C190" s="49" t="s">
        <v>206</v>
      </c>
      <c r="D190" s="49" t="s">
        <v>95</v>
      </c>
      <c r="E190" s="49" t="s">
        <v>55</v>
      </c>
      <c r="F190" s="49" t="s">
        <v>92</v>
      </c>
      <c r="G190">
        <v>5</v>
      </c>
      <c r="H190">
        <v>799</v>
      </c>
      <c r="I190">
        <v>0.1</v>
      </c>
      <c r="J190" s="49" t="s">
        <v>108</v>
      </c>
      <c r="K190" s="49" t="s">
        <v>45</v>
      </c>
      <c r="L190" s="49" t="s">
        <v>41</v>
      </c>
    </row>
    <row r="191" spans="1:12" x14ac:dyDescent="0.3">
      <c r="A191">
        <v>10246</v>
      </c>
      <c r="B191" s="48">
        <v>45729</v>
      </c>
      <c r="C191" s="49" t="s">
        <v>117</v>
      </c>
      <c r="D191" s="49" t="s">
        <v>95</v>
      </c>
      <c r="E191" s="49" t="s">
        <v>55</v>
      </c>
      <c r="F191" s="49" t="s">
        <v>92</v>
      </c>
      <c r="G191">
        <v>5</v>
      </c>
      <c r="H191">
        <v>799</v>
      </c>
      <c r="I191">
        <v>0</v>
      </c>
      <c r="J191" s="49" t="s">
        <v>67</v>
      </c>
      <c r="K191" s="49" t="s">
        <v>45</v>
      </c>
      <c r="L191" s="49" t="s">
        <v>46</v>
      </c>
    </row>
    <row r="192" spans="1:12" x14ac:dyDescent="0.3">
      <c r="A192">
        <v>10269</v>
      </c>
      <c r="B192" s="48">
        <v>45378</v>
      </c>
      <c r="C192" s="49" t="s">
        <v>77</v>
      </c>
      <c r="D192" s="49" t="s">
        <v>59</v>
      </c>
      <c r="E192" s="49" t="s">
        <v>78</v>
      </c>
      <c r="F192" s="49" t="s">
        <v>56</v>
      </c>
      <c r="G192">
        <v>3</v>
      </c>
      <c r="H192">
        <v>3999</v>
      </c>
      <c r="I192">
        <v>0.1</v>
      </c>
      <c r="J192" s="49" t="s">
        <v>67</v>
      </c>
      <c r="K192" s="49" t="s">
        <v>45</v>
      </c>
      <c r="L192" s="49" t="s">
        <v>46</v>
      </c>
    </row>
    <row r="193" spans="1:12" x14ac:dyDescent="0.3">
      <c r="A193">
        <v>10250</v>
      </c>
      <c r="B193" s="48">
        <v>45604</v>
      </c>
      <c r="C193" s="49" t="s">
        <v>112</v>
      </c>
      <c r="D193" s="49" t="s">
        <v>72</v>
      </c>
      <c r="E193" s="49" t="s">
        <v>55</v>
      </c>
      <c r="F193" s="49" t="s">
        <v>92</v>
      </c>
      <c r="G193">
        <v>5</v>
      </c>
      <c r="H193">
        <v>799</v>
      </c>
      <c r="I193">
        <v>0.1</v>
      </c>
      <c r="J193" s="49" t="s">
        <v>39</v>
      </c>
      <c r="K193" s="49" t="s">
        <v>57</v>
      </c>
      <c r="L193" s="49" t="s">
        <v>46</v>
      </c>
    </row>
    <row r="194" spans="1:12" x14ac:dyDescent="0.3">
      <c r="A194">
        <v>10287</v>
      </c>
      <c r="B194" s="48">
        <v>45606</v>
      </c>
      <c r="C194" s="49" t="s">
        <v>115</v>
      </c>
      <c r="D194" s="49" t="s">
        <v>72</v>
      </c>
      <c r="E194" s="49" t="s">
        <v>69</v>
      </c>
      <c r="F194" s="49" t="s">
        <v>83</v>
      </c>
      <c r="G194">
        <v>5</v>
      </c>
      <c r="H194">
        <v>1299</v>
      </c>
      <c r="I194">
        <v>0</v>
      </c>
      <c r="J194" s="49" t="s">
        <v>67</v>
      </c>
      <c r="K194" s="49" t="s">
        <v>45</v>
      </c>
      <c r="L194" s="49" t="s">
        <v>50</v>
      </c>
    </row>
    <row r="195" spans="1:12" x14ac:dyDescent="0.3">
      <c r="A195">
        <v>10148</v>
      </c>
      <c r="B195" s="48">
        <v>45541</v>
      </c>
      <c r="C195" s="49" t="s">
        <v>77</v>
      </c>
      <c r="D195" s="49" t="s">
        <v>52</v>
      </c>
      <c r="E195" s="49" t="s">
        <v>55</v>
      </c>
      <c r="F195" s="49" t="s">
        <v>79</v>
      </c>
      <c r="G195">
        <v>4</v>
      </c>
      <c r="H195">
        <v>599</v>
      </c>
      <c r="I195">
        <v>0</v>
      </c>
      <c r="J195" s="49" t="s">
        <v>109</v>
      </c>
      <c r="K195" s="49" t="s">
        <v>49</v>
      </c>
      <c r="L195" s="49" t="s">
        <v>46</v>
      </c>
    </row>
    <row r="196" spans="1:12" x14ac:dyDescent="0.3">
      <c r="A196">
        <v>10206</v>
      </c>
      <c r="B196" s="48"/>
      <c r="C196" s="49" t="s">
        <v>94</v>
      </c>
      <c r="D196" s="49" t="s">
        <v>95</v>
      </c>
      <c r="E196" s="49" t="s">
        <v>76</v>
      </c>
      <c r="F196" s="49" t="s">
        <v>83</v>
      </c>
      <c r="G196">
        <v>2</v>
      </c>
      <c r="H196">
        <v>1299</v>
      </c>
      <c r="I196">
        <v>0.05</v>
      </c>
      <c r="J196" s="49" t="s">
        <v>44</v>
      </c>
      <c r="K196" s="49" t="s">
        <v>65</v>
      </c>
      <c r="L196" s="49" t="s">
        <v>41</v>
      </c>
    </row>
    <row r="197" spans="1:12" x14ac:dyDescent="0.3">
      <c r="A197">
        <v>10231</v>
      </c>
      <c r="B197" s="48">
        <v>45346</v>
      </c>
      <c r="C197" s="49" t="s">
        <v>96</v>
      </c>
      <c r="D197" s="49" t="s">
        <v>72</v>
      </c>
      <c r="E197" s="49" t="s">
        <v>75</v>
      </c>
      <c r="F197" s="49" t="s">
        <v>66</v>
      </c>
      <c r="G197">
        <v>2</v>
      </c>
      <c r="H197">
        <v>1499</v>
      </c>
      <c r="I197">
        <v>0.05</v>
      </c>
      <c r="J197" s="49" t="s">
        <v>108</v>
      </c>
      <c r="K197" s="49" t="s">
        <v>57</v>
      </c>
      <c r="L197" s="49" t="s">
        <v>50</v>
      </c>
    </row>
    <row r="198" spans="1:12" x14ac:dyDescent="0.3">
      <c r="A198">
        <v>10042</v>
      </c>
      <c r="B198" s="48"/>
      <c r="C198" s="49" t="s">
        <v>116</v>
      </c>
      <c r="D198" s="49" t="s">
        <v>72</v>
      </c>
      <c r="E198" s="49" t="s">
        <v>55</v>
      </c>
      <c r="F198" s="49" t="s">
        <v>92</v>
      </c>
      <c r="G198">
        <v>1</v>
      </c>
      <c r="H198">
        <v>799</v>
      </c>
      <c r="I198">
        <v>0.1</v>
      </c>
      <c r="J198" s="49" t="s">
        <v>44</v>
      </c>
      <c r="K198" s="49" t="s">
        <v>65</v>
      </c>
      <c r="L198" s="49" t="s">
        <v>41</v>
      </c>
    </row>
    <row r="199" spans="1:12" x14ac:dyDescent="0.3">
      <c r="A199">
        <v>10321</v>
      </c>
      <c r="B199" s="48"/>
      <c r="C199" s="49" t="s">
        <v>81</v>
      </c>
      <c r="D199" s="49" t="s">
        <v>74</v>
      </c>
      <c r="E199" s="49" t="s">
        <v>55</v>
      </c>
      <c r="F199" s="49" t="s">
        <v>92</v>
      </c>
      <c r="G199">
        <v>3</v>
      </c>
      <c r="H199">
        <v>799</v>
      </c>
      <c r="I199">
        <v>0</v>
      </c>
      <c r="J199" s="49" t="s">
        <v>44</v>
      </c>
      <c r="K199" s="49" t="s">
        <v>57</v>
      </c>
      <c r="L199" s="49" t="s">
        <v>50</v>
      </c>
    </row>
    <row r="200" spans="1:12" x14ac:dyDescent="0.3">
      <c r="A200">
        <v>10076</v>
      </c>
      <c r="B200" s="48"/>
      <c r="C200" s="49" t="s">
        <v>84</v>
      </c>
      <c r="D200" s="49" t="s">
        <v>95</v>
      </c>
      <c r="E200" s="49" t="s">
        <v>53</v>
      </c>
      <c r="F200" s="49" t="s">
        <v>102</v>
      </c>
      <c r="G200">
        <v>2</v>
      </c>
      <c r="H200">
        <v>899</v>
      </c>
      <c r="I200">
        <v>0</v>
      </c>
      <c r="J200" s="49" t="s">
        <v>39</v>
      </c>
      <c r="K200" s="49" t="s">
        <v>45</v>
      </c>
      <c r="L200" s="49" t="s">
        <v>41</v>
      </c>
    </row>
    <row r="201" spans="1:12" x14ac:dyDescent="0.3">
      <c r="A201">
        <v>10241</v>
      </c>
      <c r="B201" s="48">
        <v>45733</v>
      </c>
      <c r="C201" s="49" t="s">
        <v>107</v>
      </c>
      <c r="D201" s="49" t="s">
        <v>74</v>
      </c>
      <c r="E201" s="49" t="s">
        <v>55</v>
      </c>
      <c r="F201" s="49" t="s">
        <v>92</v>
      </c>
      <c r="G201">
        <v>4</v>
      </c>
      <c r="H201">
        <v>799</v>
      </c>
      <c r="I201">
        <v>0.1</v>
      </c>
      <c r="J201" s="49" t="s">
        <v>108</v>
      </c>
      <c r="K201" s="49" t="s">
        <v>40</v>
      </c>
      <c r="L201" s="49" t="s">
        <v>46</v>
      </c>
    </row>
    <row r="202" spans="1:12" x14ac:dyDescent="0.3">
      <c r="A202">
        <v>10088</v>
      </c>
      <c r="B202" s="48">
        <v>45547</v>
      </c>
      <c r="C202" s="49" t="s">
        <v>111</v>
      </c>
      <c r="D202" s="49" t="s">
        <v>95</v>
      </c>
      <c r="E202" s="49" t="s">
        <v>53</v>
      </c>
      <c r="F202" s="49" t="s">
        <v>102</v>
      </c>
      <c r="G202">
        <v>2</v>
      </c>
      <c r="H202">
        <v>899</v>
      </c>
      <c r="I202">
        <v>0.05</v>
      </c>
      <c r="J202" s="49" t="s">
        <v>67</v>
      </c>
      <c r="K202" s="49" t="s">
        <v>57</v>
      </c>
      <c r="L202" s="49" t="s">
        <v>46</v>
      </c>
    </row>
    <row r="203" spans="1:12" x14ac:dyDescent="0.3">
      <c r="A203">
        <v>10194</v>
      </c>
      <c r="B203" s="48"/>
      <c r="C203" s="49" t="s">
        <v>206</v>
      </c>
      <c r="D203" s="49" t="s">
        <v>74</v>
      </c>
      <c r="E203" s="49" t="s">
        <v>75</v>
      </c>
      <c r="F203" s="49" t="s">
        <v>66</v>
      </c>
      <c r="G203">
        <v>4</v>
      </c>
      <c r="H203">
        <v>1499</v>
      </c>
      <c r="I203">
        <v>0.1</v>
      </c>
      <c r="J203" s="49" t="s">
        <v>108</v>
      </c>
      <c r="K203" s="49" t="s">
        <v>57</v>
      </c>
      <c r="L203" s="49" t="s">
        <v>50</v>
      </c>
    </row>
    <row r="204" spans="1:12" x14ac:dyDescent="0.3">
      <c r="A204">
        <v>10045</v>
      </c>
      <c r="B204" s="48">
        <v>45306</v>
      </c>
      <c r="C204" s="49" t="s">
        <v>97</v>
      </c>
      <c r="D204" s="49" t="s">
        <v>59</v>
      </c>
      <c r="E204" s="49" t="s">
        <v>75</v>
      </c>
      <c r="F204" s="49" t="s">
        <v>105</v>
      </c>
      <c r="G204">
        <v>3</v>
      </c>
      <c r="H204">
        <v>1199</v>
      </c>
      <c r="I204">
        <v>0</v>
      </c>
      <c r="J204" s="49" t="s">
        <v>44</v>
      </c>
      <c r="K204" s="49" t="s">
        <v>45</v>
      </c>
      <c r="L204" s="49" t="s">
        <v>41</v>
      </c>
    </row>
    <row r="205" spans="1:12" x14ac:dyDescent="0.3">
      <c r="A205">
        <v>10274</v>
      </c>
      <c r="B205" s="48">
        <v>45558</v>
      </c>
      <c r="C205" s="49" t="s">
        <v>205</v>
      </c>
      <c r="D205" s="49" t="s">
        <v>52</v>
      </c>
      <c r="E205" s="49" t="s">
        <v>75</v>
      </c>
      <c r="F205" s="49" t="s">
        <v>38</v>
      </c>
      <c r="G205">
        <v>4</v>
      </c>
      <c r="H205">
        <v>2999</v>
      </c>
      <c r="I205">
        <v>0.15</v>
      </c>
      <c r="J205" s="49" t="s">
        <v>39</v>
      </c>
      <c r="K205" s="49" t="s">
        <v>57</v>
      </c>
      <c r="L205" s="49" t="s">
        <v>50</v>
      </c>
    </row>
    <row r="206" spans="1:12" x14ac:dyDescent="0.3">
      <c r="A206">
        <v>10225</v>
      </c>
      <c r="B206" s="48"/>
      <c r="C206" s="49" t="s">
        <v>116</v>
      </c>
      <c r="D206" s="49" t="s">
        <v>95</v>
      </c>
      <c r="E206" s="49" t="s">
        <v>75</v>
      </c>
      <c r="F206" s="49" t="s">
        <v>38</v>
      </c>
      <c r="G206">
        <v>3</v>
      </c>
      <c r="H206">
        <v>2999</v>
      </c>
      <c r="I206">
        <v>0.05</v>
      </c>
      <c r="J206" s="49" t="s">
        <v>39</v>
      </c>
      <c r="K206" s="49" t="s">
        <v>45</v>
      </c>
      <c r="L206" s="49" t="s">
        <v>50</v>
      </c>
    </row>
    <row r="207" spans="1:12" x14ac:dyDescent="0.3">
      <c r="A207">
        <v>10120</v>
      </c>
      <c r="B207" s="48"/>
      <c r="C207" s="49" t="s">
        <v>42</v>
      </c>
      <c r="D207" s="49" t="s">
        <v>59</v>
      </c>
      <c r="E207" s="49" t="s">
        <v>69</v>
      </c>
      <c r="F207" s="49" t="s">
        <v>68</v>
      </c>
      <c r="G207">
        <v>5</v>
      </c>
      <c r="H207">
        <v>6999</v>
      </c>
      <c r="I207">
        <v>0</v>
      </c>
      <c r="J207" s="49" t="s">
        <v>67</v>
      </c>
      <c r="K207" s="49" t="s">
        <v>57</v>
      </c>
      <c r="L207" s="49" t="s">
        <v>41</v>
      </c>
    </row>
    <row r="208" spans="1:12" x14ac:dyDescent="0.3">
      <c r="A208">
        <v>10252</v>
      </c>
      <c r="B208" s="48">
        <v>45467</v>
      </c>
      <c r="C208" s="49" t="s">
        <v>93</v>
      </c>
      <c r="D208" s="49" t="s">
        <v>52</v>
      </c>
      <c r="E208" s="49" t="s">
        <v>69</v>
      </c>
      <c r="F208" s="49" t="s">
        <v>85</v>
      </c>
      <c r="G208">
        <v>2</v>
      </c>
      <c r="H208">
        <v>24999</v>
      </c>
      <c r="I208">
        <v>0.05</v>
      </c>
      <c r="J208" s="49" t="s">
        <v>109</v>
      </c>
      <c r="K208" s="49" t="s">
        <v>49</v>
      </c>
      <c r="L208" s="49" t="s">
        <v>46</v>
      </c>
    </row>
    <row r="209" spans="1:12" x14ac:dyDescent="0.3">
      <c r="A209">
        <v>10226</v>
      </c>
      <c r="B209" s="48"/>
      <c r="C209" s="49" t="s">
        <v>115</v>
      </c>
      <c r="D209" s="49" t="s">
        <v>52</v>
      </c>
      <c r="E209" s="49" t="s">
        <v>69</v>
      </c>
      <c r="F209" s="49" t="s">
        <v>63</v>
      </c>
      <c r="G209">
        <v>6</v>
      </c>
      <c r="H209">
        <v>15999</v>
      </c>
      <c r="I209">
        <v>0.05</v>
      </c>
      <c r="J209" s="49" t="s">
        <v>109</v>
      </c>
      <c r="K209" s="49" t="s">
        <v>45</v>
      </c>
      <c r="L209" s="49" t="s">
        <v>46</v>
      </c>
    </row>
    <row r="210" spans="1:12" x14ac:dyDescent="0.3">
      <c r="A210">
        <v>10072</v>
      </c>
      <c r="B210" s="48"/>
      <c r="C210" s="49" t="s">
        <v>62</v>
      </c>
      <c r="D210" s="49" t="s">
        <v>95</v>
      </c>
      <c r="E210" s="49" t="s">
        <v>37</v>
      </c>
      <c r="F210" s="49" t="s">
        <v>38</v>
      </c>
      <c r="G210">
        <v>1</v>
      </c>
      <c r="H210">
        <v>2999</v>
      </c>
      <c r="I210">
        <v>0</v>
      </c>
      <c r="J210" s="49" t="s">
        <v>109</v>
      </c>
      <c r="K210" s="49" t="s">
        <v>40</v>
      </c>
      <c r="L210" s="49" t="s">
        <v>41</v>
      </c>
    </row>
    <row r="211" spans="1:12" x14ac:dyDescent="0.3">
      <c r="A211">
        <v>10017</v>
      </c>
      <c r="B211" s="48">
        <v>45605</v>
      </c>
      <c r="C211" s="49" t="s">
        <v>94</v>
      </c>
      <c r="D211" s="49" t="s">
        <v>74</v>
      </c>
      <c r="E211" s="49" t="s">
        <v>53</v>
      </c>
      <c r="F211" s="49" t="s">
        <v>102</v>
      </c>
      <c r="G211">
        <v>2</v>
      </c>
      <c r="H211">
        <v>899</v>
      </c>
      <c r="I211">
        <v>0.05</v>
      </c>
      <c r="J211" s="49" t="s">
        <v>39</v>
      </c>
      <c r="K211" s="49" t="s">
        <v>65</v>
      </c>
      <c r="L211" s="49" t="s">
        <v>46</v>
      </c>
    </row>
    <row r="212" spans="1:12" x14ac:dyDescent="0.3">
      <c r="A212">
        <v>10275</v>
      </c>
      <c r="B212" s="48">
        <v>45781</v>
      </c>
      <c r="C212" s="49" t="s">
        <v>111</v>
      </c>
      <c r="D212" s="49" t="s">
        <v>52</v>
      </c>
      <c r="E212" s="49" t="s">
        <v>53</v>
      </c>
      <c r="F212" s="49" t="s">
        <v>90</v>
      </c>
      <c r="G212">
        <v>2</v>
      </c>
      <c r="H212">
        <v>199</v>
      </c>
      <c r="I212">
        <v>0.1</v>
      </c>
      <c r="J212" s="49" t="s">
        <v>44</v>
      </c>
      <c r="K212" s="49" t="s">
        <v>49</v>
      </c>
      <c r="L212" s="49" t="s">
        <v>50</v>
      </c>
    </row>
    <row r="213" spans="1:12" x14ac:dyDescent="0.3">
      <c r="A213">
        <v>10177</v>
      </c>
      <c r="B213" s="48">
        <v>45711</v>
      </c>
      <c r="C213" s="49" t="s">
        <v>111</v>
      </c>
      <c r="D213" s="49" t="s">
        <v>59</v>
      </c>
      <c r="E213" s="49" t="s">
        <v>75</v>
      </c>
      <c r="F213" s="49" t="s">
        <v>66</v>
      </c>
      <c r="G213">
        <v>5</v>
      </c>
      <c r="H213">
        <v>1499</v>
      </c>
      <c r="I213">
        <v>0.15</v>
      </c>
      <c r="J213" s="49" t="s">
        <v>44</v>
      </c>
      <c r="K213" s="49" t="s">
        <v>40</v>
      </c>
      <c r="L213" s="49" t="s">
        <v>41</v>
      </c>
    </row>
    <row r="214" spans="1:12" x14ac:dyDescent="0.3">
      <c r="A214">
        <v>10034</v>
      </c>
      <c r="B214" s="48">
        <v>45387</v>
      </c>
      <c r="C214" s="49" t="s">
        <v>84</v>
      </c>
      <c r="D214" s="49" t="s">
        <v>72</v>
      </c>
      <c r="E214" s="49" t="s">
        <v>55</v>
      </c>
      <c r="F214" s="49" t="s">
        <v>56</v>
      </c>
      <c r="G214">
        <v>2</v>
      </c>
      <c r="H214">
        <v>3999</v>
      </c>
      <c r="I214">
        <v>0.15</v>
      </c>
      <c r="J214" s="49" t="s">
        <v>67</v>
      </c>
      <c r="K214" s="49" t="s">
        <v>40</v>
      </c>
      <c r="L214" s="49" t="s">
        <v>46</v>
      </c>
    </row>
    <row r="215" spans="1:12" x14ac:dyDescent="0.3">
      <c r="A215">
        <v>10086</v>
      </c>
      <c r="B215" s="48">
        <v>45645</v>
      </c>
      <c r="C215" s="49" t="s">
        <v>71</v>
      </c>
      <c r="D215" s="49" t="s">
        <v>74</v>
      </c>
      <c r="E215" s="49" t="s">
        <v>69</v>
      </c>
      <c r="F215" s="49" t="s">
        <v>63</v>
      </c>
      <c r="G215">
        <v>3</v>
      </c>
      <c r="H215">
        <v>15999</v>
      </c>
      <c r="I215">
        <v>0</v>
      </c>
      <c r="J215" s="49" t="s">
        <v>67</v>
      </c>
      <c r="K215" s="49" t="s">
        <v>49</v>
      </c>
      <c r="L215" s="49" t="s">
        <v>41</v>
      </c>
    </row>
    <row r="216" spans="1:12" x14ac:dyDescent="0.3">
      <c r="A216">
        <v>10244</v>
      </c>
      <c r="B216" s="48">
        <v>45587</v>
      </c>
      <c r="C216" s="49" t="s">
        <v>115</v>
      </c>
      <c r="D216" s="49" t="s">
        <v>59</v>
      </c>
      <c r="E216" s="49" t="s">
        <v>69</v>
      </c>
      <c r="F216" s="49" t="s">
        <v>85</v>
      </c>
      <c r="G216">
        <v>3</v>
      </c>
      <c r="H216">
        <v>24999</v>
      </c>
      <c r="I216">
        <v>0</v>
      </c>
      <c r="J216" s="49" t="s">
        <v>108</v>
      </c>
      <c r="K216" s="49" t="s">
        <v>40</v>
      </c>
      <c r="L216" s="49" t="s">
        <v>41</v>
      </c>
    </row>
    <row r="217" spans="1:12" x14ac:dyDescent="0.3">
      <c r="A217">
        <v>10070</v>
      </c>
      <c r="B217" s="48">
        <v>45391</v>
      </c>
      <c r="C217" s="49" t="s">
        <v>84</v>
      </c>
      <c r="D217" s="49" t="s">
        <v>52</v>
      </c>
      <c r="E217" s="49" t="s">
        <v>69</v>
      </c>
      <c r="F217" s="49" t="s">
        <v>61</v>
      </c>
      <c r="G217">
        <v>1</v>
      </c>
      <c r="H217">
        <v>18999</v>
      </c>
      <c r="I217">
        <v>0</v>
      </c>
      <c r="J217" s="49" t="s">
        <v>67</v>
      </c>
      <c r="K217" s="49" t="s">
        <v>45</v>
      </c>
      <c r="L217" s="49" t="s">
        <v>41</v>
      </c>
    </row>
    <row r="218" spans="1:12" x14ac:dyDescent="0.3">
      <c r="A218">
        <v>10161</v>
      </c>
      <c r="B218" s="48">
        <v>45353</v>
      </c>
      <c r="C218" s="49" t="s">
        <v>42</v>
      </c>
      <c r="D218" s="49" t="s">
        <v>52</v>
      </c>
      <c r="E218" s="49" t="s">
        <v>75</v>
      </c>
      <c r="F218" s="49" t="s">
        <v>105</v>
      </c>
      <c r="G218">
        <v>1</v>
      </c>
      <c r="H218">
        <v>1199</v>
      </c>
      <c r="I218">
        <v>0.05</v>
      </c>
      <c r="J218" s="49" t="s">
        <v>44</v>
      </c>
      <c r="K218" s="49" t="s">
        <v>45</v>
      </c>
      <c r="L218" s="49" t="s">
        <v>41</v>
      </c>
    </row>
    <row r="219" spans="1:12" x14ac:dyDescent="0.3">
      <c r="A219">
        <v>10051</v>
      </c>
      <c r="B219" s="48">
        <v>45379</v>
      </c>
      <c r="C219" s="49" t="s">
        <v>81</v>
      </c>
      <c r="D219" s="49" t="s">
        <v>59</v>
      </c>
      <c r="E219" s="49" t="s">
        <v>76</v>
      </c>
      <c r="F219" s="49" t="s">
        <v>61</v>
      </c>
      <c r="G219">
        <v>5</v>
      </c>
      <c r="H219">
        <v>18999</v>
      </c>
      <c r="I219">
        <v>0</v>
      </c>
      <c r="J219" s="49" t="s">
        <v>109</v>
      </c>
      <c r="K219" s="49" t="s">
        <v>45</v>
      </c>
      <c r="L219" s="49" t="s">
        <v>46</v>
      </c>
    </row>
    <row r="220" spans="1:12" x14ac:dyDescent="0.3">
      <c r="A220">
        <v>10184</v>
      </c>
      <c r="B220" s="48">
        <v>45730</v>
      </c>
      <c r="C220" s="49" t="s">
        <v>118</v>
      </c>
      <c r="D220" s="49" t="s">
        <v>59</v>
      </c>
      <c r="E220" s="49" t="s">
        <v>69</v>
      </c>
      <c r="F220" s="49" t="s">
        <v>104</v>
      </c>
      <c r="G220">
        <v>4</v>
      </c>
      <c r="H220">
        <v>4999</v>
      </c>
      <c r="I220">
        <v>0</v>
      </c>
      <c r="J220" s="49" t="s">
        <v>108</v>
      </c>
      <c r="K220" s="49" t="s">
        <v>49</v>
      </c>
      <c r="L220" s="49" t="s">
        <v>203</v>
      </c>
    </row>
    <row r="221" spans="1:12" x14ac:dyDescent="0.3">
      <c r="A221">
        <v>10118</v>
      </c>
      <c r="B221" s="48">
        <v>45447</v>
      </c>
      <c r="C221" s="49" t="s">
        <v>94</v>
      </c>
      <c r="D221" s="49" t="s">
        <v>72</v>
      </c>
      <c r="E221" s="49" t="s">
        <v>69</v>
      </c>
      <c r="F221" s="49" t="s">
        <v>63</v>
      </c>
      <c r="G221">
        <v>2</v>
      </c>
      <c r="H221">
        <v>15999</v>
      </c>
      <c r="I221">
        <v>0</v>
      </c>
      <c r="J221" s="49" t="s">
        <v>39</v>
      </c>
      <c r="K221" s="49" t="s">
        <v>45</v>
      </c>
      <c r="L221" s="49" t="s">
        <v>41</v>
      </c>
    </row>
    <row r="222" spans="1:12" x14ac:dyDescent="0.3">
      <c r="A222">
        <v>10096</v>
      </c>
      <c r="B222" s="48">
        <v>45472</v>
      </c>
      <c r="C222" s="49" t="s">
        <v>106</v>
      </c>
      <c r="D222" s="49" t="s">
        <v>74</v>
      </c>
      <c r="E222" s="49" t="s">
        <v>76</v>
      </c>
      <c r="F222" s="49" t="s">
        <v>70</v>
      </c>
      <c r="G222">
        <v>5</v>
      </c>
      <c r="H222">
        <v>5499</v>
      </c>
      <c r="I222">
        <v>0.1</v>
      </c>
      <c r="J222" s="49" t="s">
        <v>108</v>
      </c>
      <c r="K222" s="49" t="s">
        <v>57</v>
      </c>
      <c r="L222" s="49" t="s">
        <v>50</v>
      </c>
    </row>
    <row r="223" spans="1:12" x14ac:dyDescent="0.3">
      <c r="A223">
        <v>10299</v>
      </c>
      <c r="B223" s="48">
        <v>45582</v>
      </c>
      <c r="C223" s="49" t="s">
        <v>94</v>
      </c>
      <c r="D223" s="49" t="s">
        <v>74</v>
      </c>
      <c r="E223" s="49" t="s">
        <v>55</v>
      </c>
      <c r="F223" s="49" t="s">
        <v>56</v>
      </c>
      <c r="G223">
        <v>6</v>
      </c>
      <c r="H223">
        <v>3999</v>
      </c>
      <c r="I223">
        <v>0.05</v>
      </c>
      <c r="J223" s="49" t="s">
        <v>67</v>
      </c>
      <c r="K223" s="49" t="s">
        <v>40</v>
      </c>
      <c r="L223" s="49" t="s">
        <v>41</v>
      </c>
    </row>
    <row r="224" spans="1:12" x14ac:dyDescent="0.3">
      <c r="A224">
        <v>10304</v>
      </c>
      <c r="B224" s="48">
        <v>45524</v>
      </c>
      <c r="C224" s="49" t="s">
        <v>111</v>
      </c>
      <c r="D224" s="49" t="s">
        <v>52</v>
      </c>
      <c r="E224" s="49" t="s">
        <v>53</v>
      </c>
      <c r="F224" s="49" t="s">
        <v>60</v>
      </c>
      <c r="G224">
        <v>6</v>
      </c>
      <c r="H224">
        <v>349</v>
      </c>
      <c r="I224">
        <v>0</v>
      </c>
      <c r="J224" s="49" t="s">
        <v>109</v>
      </c>
      <c r="K224" s="49" t="s">
        <v>57</v>
      </c>
      <c r="L224" s="49" t="s">
        <v>41</v>
      </c>
    </row>
    <row r="225" spans="1:12" x14ac:dyDescent="0.3">
      <c r="A225">
        <v>10117</v>
      </c>
      <c r="B225" s="48">
        <v>45760</v>
      </c>
      <c r="C225" s="49" t="s">
        <v>106</v>
      </c>
      <c r="D225" s="49" t="s">
        <v>52</v>
      </c>
      <c r="E225" s="49" t="s">
        <v>76</v>
      </c>
      <c r="F225" s="49" t="s">
        <v>83</v>
      </c>
      <c r="G225">
        <v>2</v>
      </c>
      <c r="H225">
        <v>1299</v>
      </c>
      <c r="I225">
        <v>0.05</v>
      </c>
      <c r="J225" s="49" t="s">
        <v>44</v>
      </c>
      <c r="K225" s="49" t="s">
        <v>65</v>
      </c>
      <c r="L225" s="49" t="s">
        <v>46</v>
      </c>
    </row>
    <row r="226" spans="1:12" x14ac:dyDescent="0.3">
      <c r="A226">
        <v>10156</v>
      </c>
      <c r="B226" s="48">
        <v>45575</v>
      </c>
      <c r="C226" s="49" t="s">
        <v>94</v>
      </c>
      <c r="D226" s="49" t="s">
        <v>74</v>
      </c>
      <c r="E226" s="49" t="s">
        <v>75</v>
      </c>
      <c r="F226" s="49" t="s">
        <v>105</v>
      </c>
      <c r="G226">
        <v>2</v>
      </c>
      <c r="H226">
        <v>1199</v>
      </c>
      <c r="I226">
        <v>0</v>
      </c>
      <c r="J226" s="49" t="s">
        <v>109</v>
      </c>
      <c r="K226" s="49" t="s">
        <v>65</v>
      </c>
      <c r="L226" s="49" t="s">
        <v>50</v>
      </c>
    </row>
    <row r="227" spans="1:12" x14ac:dyDescent="0.3">
      <c r="A227">
        <v>10056</v>
      </c>
      <c r="B227" s="48">
        <v>45533</v>
      </c>
      <c r="C227" s="49" t="s">
        <v>117</v>
      </c>
      <c r="D227" s="49" t="s">
        <v>59</v>
      </c>
      <c r="E227" s="49" t="s">
        <v>55</v>
      </c>
      <c r="F227" s="49" t="s">
        <v>92</v>
      </c>
      <c r="G227">
        <v>6</v>
      </c>
      <c r="H227">
        <v>799</v>
      </c>
      <c r="I227">
        <v>0.05</v>
      </c>
      <c r="J227" s="49" t="s">
        <v>44</v>
      </c>
      <c r="K227" s="49" t="s">
        <v>65</v>
      </c>
      <c r="L227" s="49" t="s">
        <v>41</v>
      </c>
    </row>
    <row r="228" spans="1:12" x14ac:dyDescent="0.3">
      <c r="A228">
        <v>10039</v>
      </c>
      <c r="B228" s="48">
        <v>45659</v>
      </c>
      <c r="C228" s="49" t="s">
        <v>111</v>
      </c>
      <c r="D228" s="49" t="s">
        <v>52</v>
      </c>
      <c r="E228" s="49" t="s">
        <v>69</v>
      </c>
      <c r="F228" s="49" t="s">
        <v>63</v>
      </c>
      <c r="G228">
        <v>4</v>
      </c>
      <c r="H228">
        <v>15999</v>
      </c>
      <c r="I228">
        <v>0</v>
      </c>
      <c r="J228" s="49" t="s">
        <v>108</v>
      </c>
      <c r="K228" s="49" t="s">
        <v>49</v>
      </c>
      <c r="L228" s="49" t="s">
        <v>41</v>
      </c>
    </row>
    <row r="229" spans="1:12" x14ac:dyDescent="0.3">
      <c r="A229">
        <v>10112</v>
      </c>
      <c r="B229" s="48"/>
      <c r="C229" s="49" t="s">
        <v>206</v>
      </c>
      <c r="D229" s="49" t="s">
        <v>95</v>
      </c>
      <c r="E229" s="49" t="s">
        <v>69</v>
      </c>
      <c r="F229" s="49" t="s">
        <v>82</v>
      </c>
      <c r="G229">
        <v>6</v>
      </c>
      <c r="H229">
        <v>8999</v>
      </c>
      <c r="I229">
        <v>0.15</v>
      </c>
      <c r="J229" s="49" t="s">
        <v>67</v>
      </c>
      <c r="K229" s="49" t="s">
        <v>40</v>
      </c>
      <c r="L229" s="49" t="s">
        <v>203</v>
      </c>
    </row>
    <row r="230" spans="1:12" x14ac:dyDescent="0.3">
      <c r="A230">
        <v>10291</v>
      </c>
      <c r="B230" s="48">
        <v>45431</v>
      </c>
      <c r="C230" s="49" t="s">
        <v>93</v>
      </c>
      <c r="D230" s="49" t="s">
        <v>72</v>
      </c>
      <c r="E230" s="49" t="s">
        <v>55</v>
      </c>
      <c r="F230" s="49" t="s">
        <v>88</v>
      </c>
      <c r="G230">
        <v>3</v>
      </c>
      <c r="H230">
        <v>2499</v>
      </c>
      <c r="I230">
        <v>0</v>
      </c>
      <c r="J230" s="49" t="s">
        <v>108</v>
      </c>
      <c r="K230" s="49" t="s">
        <v>45</v>
      </c>
      <c r="L230" s="49" t="s">
        <v>50</v>
      </c>
    </row>
    <row r="231" spans="1:12" x14ac:dyDescent="0.3">
      <c r="A231">
        <v>10015</v>
      </c>
      <c r="B231" s="48">
        <v>45964</v>
      </c>
      <c r="C231" s="49" t="s">
        <v>81</v>
      </c>
      <c r="D231" s="49" t="s">
        <v>74</v>
      </c>
      <c r="E231" s="49" t="s">
        <v>69</v>
      </c>
      <c r="F231" s="49" t="s">
        <v>82</v>
      </c>
      <c r="G231">
        <v>5</v>
      </c>
      <c r="H231">
        <v>8999</v>
      </c>
      <c r="I231">
        <v>0</v>
      </c>
      <c r="J231" s="49" t="s">
        <v>44</v>
      </c>
      <c r="K231" s="49" t="s">
        <v>49</v>
      </c>
      <c r="L231" s="49" t="s">
        <v>41</v>
      </c>
    </row>
    <row r="232" spans="1:12" x14ac:dyDescent="0.3">
      <c r="A232">
        <v>10125</v>
      </c>
      <c r="B232" s="48">
        <v>45295</v>
      </c>
      <c r="C232" s="49" t="s">
        <v>62</v>
      </c>
      <c r="D232" s="49" t="s">
        <v>74</v>
      </c>
      <c r="E232" s="49" t="s">
        <v>78</v>
      </c>
      <c r="F232" s="49" t="s">
        <v>92</v>
      </c>
      <c r="G232">
        <v>3</v>
      </c>
      <c r="H232">
        <v>799</v>
      </c>
      <c r="I232">
        <v>0</v>
      </c>
      <c r="J232" s="49" t="s">
        <v>108</v>
      </c>
      <c r="K232" s="49" t="s">
        <v>65</v>
      </c>
      <c r="L232" s="49" t="s">
        <v>41</v>
      </c>
    </row>
    <row r="233" spans="1:12" x14ac:dyDescent="0.3">
      <c r="A233">
        <v>10150</v>
      </c>
      <c r="B233" s="48">
        <v>45305</v>
      </c>
      <c r="C233" s="49" t="s">
        <v>62</v>
      </c>
      <c r="D233" s="49" t="s">
        <v>74</v>
      </c>
      <c r="E233" s="49" t="s">
        <v>53</v>
      </c>
      <c r="F233" s="49" t="s">
        <v>86</v>
      </c>
      <c r="G233">
        <v>5</v>
      </c>
      <c r="H233">
        <v>599</v>
      </c>
      <c r="I233">
        <v>0.1</v>
      </c>
      <c r="J233" s="49" t="s">
        <v>39</v>
      </c>
      <c r="K233" s="49" t="s">
        <v>65</v>
      </c>
      <c r="L233" s="49" t="s">
        <v>41</v>
      </c>
    </row>
    <row r="234" spans="1:12" x14ac:dyDescent="0.3">
      <c r="A234">
        <v>10260</v>
      </c>
      <c r="B234" s="48">
        <v>45543</v>
      </c>
      <c r="C234" s="49" t="s">
        <v>114</v>
      </c>
      <c r="D234" s="49" t="s">
        <v>59</v>
      </c>
      <c r="E234" s="49" t="s">
        <v>69</v>
      </c>
      <c r="F234" s="49" t="s">
        <v>82</v>
      </c>
      <c r="G234">
        <v>1</v>
      </c>
      <c r="H234">
        <v>8999</v>
      </c>
      <c r="I234">
        <v>0.1</v>
      </c>
      <c r="J234" s="49" t="s">
        <v>39</v>
      </c>
      <c r="K234" s="49" t="s">
        <v>57</v>
      </c>
      <c r="L234" s="49" t="s">
        <v>41</v>
      </c>
    </row>
    <row r="235" spans="1:12" x14ac:dyDescent="0.3">
      <c r="A235">
        <v>10020</v>
      </c>
      <c r="B235" s="48"/>
      <c r="C235" s="49" t="s">
        <v>81</v>
      </c>
      <c r="D235" s="49" t="s">
        <v>74</v>
      </c>
      <c r="E235" s="49" t="s">
        <v>53</v>
      </c>
      <c r="F235" s="49" t="s">
        <v>90</v>
      </c>
      <c r="G235">
        <v>4</v>
      </c>
      <c r="H235">
        <v>199</v>
      </c>
      <c r="I235">
        <v>0</v>
      </c>
      <c r="J235" s="49" t="s">
        <v>204</v>
      </c>
      <c r="K235" s="49" t="s">
        <v>40</v>
      </c>
      <c r="L235" s="49" t="s">
        <v>50</v>
      </c>
    </row>
    <row r="236" spans="1:12" x14ac:dyDescent="0.3">
      <c r="A236">
        <v>10057</v>
      </c>
      <c r="B236" s="48">
        <v>45481</v>
      </c>
      <c r="C236" s="49" t="s">
        <v>205</v>
      </c>
      <c r="D236" s="49" t="s">
        <v>59</v>
      </c>
      <c r="E236" s="49" t="s">
        <v>75</v>
      </c>
      <c r="F236" s="49" t="s">
        <v>48</v>
      </c>
      <c r="G236">
        <v>2</v>
      </c>
      <c r="H236">
        <v>799</v>
      </c>
      <c r="I236">
        <v>0.15</v>
      </c>
      <c r="J236" s="49" t="s">
        <v>109</v>
      </c>
      <c r="K236" s="49" t="s">
        <v>49</v>
      </c>
      <c r="L236" s="49" t="s">
        <v>41</v>
      </c>
    </row>
    <row r="237" spans="1:12" x14ac:dyDescent="0.3">
      <c r="A237">
        <v>10228</v>
      </c>
      <c r="B237" s="48"/>
      <c r="C237" s="49" t="s">
        <v>51</v>
      </c>
      <c r="D237" s="49" t="s">
        <v>72</v>
      </c>
      <c r="E237" s="49" t="s">
        <v>53</v>
      </c>
      <c r="F237" s="49" t="s">
        <v>54</v>
      </c>
      <c r="G237">
        <v>6</v>
      </c>
      <c r="H237">
        <v>149</v>
      </c>
      <c r="I237">
        <v>0.1</v>
      </c>
      <c r="J237" s="49" t="s">
        <v>44</v>
      </c>
      <c r="K237" s="49" t="s">
        <v>40</v>
      </c>
      <c r="L237" s="49" t="s">
        <v>41</v>
      </c>
    </row>
    <row r="238" spans="1:12" x14ac:dyDescent="0.3">
      <c r="A238">
        <v>10097</v>
      </c>
      <c r="B238" s="48">
        <v>45391</v>
      </c>
      <c r="C238" s="49" t="s">
        <v>77</v>
      </c>
      <c r="D238" s="49" t="s">
        <v>59</v>
      </c>
      <c r="E238" s="49" t="s">
        <v>55</v>
      </c>
      <c r="F238" s="49" t="s">
        <v>88</v>
      </c>
      <c r="G238">
        <v>3</v>
      </c>
      <c r="H238">
        <v>2499</v>
      </c>
      <c r="I238">
        <v>0</v>
      </c>
      <c r="J238" s="49" t="s">
        <v>67</v>
      </c>
      <c r="K238" s="49" t="s">
        <v>57</v>
      </c>
      <c r="L238" s="49" t="s">
        <v>41</v>
      </c>
    </row>
    <row r="239" spans="1:12" x14ac:dyDescent="0.3">
      <c r="A239">
        <v>10052</v>
      </c>
      <c r="B239" s="48">
        <v>45592</v>
      </c>
      <c r="C239" s="49" t="s">
        <v>47</v>
      </c>
      <c r="D239" s="49" t="s">
        <v>74</v>
      </c>
      <c r="E239" s="49" t="s">
        <v>55</v>
      </c>
      <c r="F239" s="49" t="s">
        <v>92</v>
      </c>
      <c r="G239">
        <v>6</v>
      </c>
      <c r="H239">
        <v>799</v>
      </c>
      <c r="I239">
        <v>0.1</v>
      </c>
      <c r="J239" s="49" t="s">
        <v>109</v>
      </c>
      <c r="K239" s="49" t="s">
        <v>40</v>
      </c>
      <c r="L239" s="49" t="s">
        <v>41</v>
      </c>
    </row>
    <row r="240" spans="1:12" x14ac:dyDescent="0.3">
      <c r="A240">
        <v>10273</v>
      </c>
      <c r="B240" s="48">
        <v>45642</v>
      </c>
      <c r="C240" s="49" t="s">
        <v>77</v>
      </c>
      <c r="D240" s="49" t="s">
        <v>52</v>
      </c>
      <c r="E240" s="49" t="s">
        <v>75</v>
      </c>
      <c r="F240" s="49" t="s">
        <v>48</v>
      </c>
      <c r="G240">
        <v>4</v>
      </c>
      <c r="H240">
        <v>799</v>
      </c>
      <c r="I240">
        <v>0.1</v>
      </c>
      <c r="J240" s="49" t="s">
        <v>44</v>
      </c>
      <c r="K240" s="49" t="s">
        <v>65</v>
      </c>
      <c r="L240" s="49" t="s">
        <v>41</v>
      </c>
    </row>
    <row r="241" spans="1:12" x14ac:dyDescent="0.3">
      <c r="A241">
        <v>10316</v>
      </c>
      <c r="B241" s="48">
        <v>45710</v>
      </c>
      <c r="C241" s="49" t="s">
        <v>84</v>
      </c>
      <c r="D241" s="49" t="s">
        <v>95</v>
      </c>
      <c r="E241" s="49" t="s">
        <v>78</v>
      </c>
      <c r="F241" s="49" t="s">
        <v>56</v>
      </c>
      <c r="G241">
        <v>1</v>
      </c>
      <c r="H241">
        <v>3999</v>
      </c>
      <c r="I241">
        <v>0.1</v>
      </c>
      <c r="J241" s="49" t="s">
        <v>109</v>
      </c>
      <c r="K241" s="49" t="s">
        <v>40</v>
      </c>
      <c r="L241" s="49" t="s">
        <v>50</v>
      </c>
    </row>
    <row r="242" spans="1:12" x14ac:dyDescent="0.3">
      <c r="A242">
        <v>10188</v>
      </c>
      <c r="B242" s="48">
        <v>45776</v>
      </c>
      <c r="C242" s="49" t="s">
        <v>205</v>
      </c>
      <c r="D242" s="49" t="s">
        <v>74</v>
      </c>
      <c r="E242" s="49" t="s">
        <v>53</v>
      </c>
      <c r="F242" s="49" t="s">
        <v>86</v>
      </c>
      <c r="G242">
        <v>3</v>
      </c>
      <c r="H242">
        <v>599</v>
      </c>
      <c r="I242">
        <v>0</v>
      </c>
      <c r="J242" s="49" t="s">
        <v>109</v>
      </c>
      <c r="K242" s="49" t="s">
        <v>65</v>
      </c>
      <c r="L242" s="49" t="s">
        <v>41</v>
      </c>
    </row>
    <row r="243" spans="1:12" x14ac:dyDescent="0.3">
      <c r="A243">
        <v>10296</v>
      </c>
      <c r="B243" s="48">
        <v>45332</v>
      </c>
      <c r="C243" s="49" t="s">
        <v>84</v>
      </c>
      <c r="D243" s="49" t="s">
        <v>59</v>
      </c>
      <c r="E243" s="49" t="s">
        <v>55</v>
      </c>
      <c r="F243" s="49" t="s">
        <v>73</v>
      </c>
      <c r="G243">
        <v>2</v>
      </c>
      <c r="H243">
        <v>5499</v>
      </c>
      <c r="I243">
        <v>0.1</v>
      </c>
      <c r="J243" s="49" t="s">
        <v>67</v>
      </c>
      <c r="K243" s="49" t="s">
        <v>65</v>
      </c>
      <c r="L243" s="49" t="s">
        <v>41</v>
      </c>
    </row>
    <row r="244" spans="1:12" x14ac:dyDescent="0.3">
      <c r="A244">
        <v>10027</v>
      </c>
      <c r="B244" s="48">
        <v>45540</v>
      </c>
      <c r="C244" s="49" t="s">
        <v>97</v>
      </c>
      <c r="D244" s="49" t="s">
        <v>95</v>
      </c>
      <c r="E244" s="49" t="s">
        <v>55</v>
      </c>
      <c r="F244" s="49" t="s">
        <v>88</v>
      </c>
      <c r="G244">
        <v>2</v>
      </c>
      <c r="H244">
        <v>2499</v>
      </c>
      <c r="I244">
        <v>0.1</v>
      </c>
      <c r="J244" s="49" t="s">
        <v>109</v>
      </c>
      <c r="K244" s="49" t="s">
        <v>57</v>
      </c>
      <c r="L244" s="49" t="s">
        <v>50</v>
      </c>
    </row>
    <row r="245" spans="1:12" x14ac:dyDescent="0.3">
      <c r="A245">
        <v>10281</v>
      </c>
      <c r="B245" s="48">
        <v>45743</v>
      </c>
      <c r="C245" s="49" t="s">
        <v>71</v>
      </c>
      <c r="D245" s="49" t="s">
        <v>95</v>
      </c>
      <c r="E245" s="49" t="s">
        <v>53</v>
      </c>
      <c r="F245" s="49" t="s">
        <v>58</v>
      </c>
      <c r="G245">
        <v>2</v>
      </c>
      <c r="H245">
        <v>429</v>
      </c>
      <c r="I245">
        <v>0</v>
      </c>
      <c r="J245" s="49" t="s">
        <v>67</v>
      </c>
      <c r="K245" s="49" t="s">
        <v>65</v>
      </c>
      <c r="L245" s="49" t="s">
        <v>41</v>
      </c>
    </row>
    <row r="246" spans="1:12" x14ac:dyDescent="0.3">
      <c r="A246">
        <v>10084</v>
      </c>
      <c r="B246" s="48">
        <v>45555</v>
      </c>
      <c r="C246" s="49" t="s">
        <v>112</v>
      </c>
      <c r="D246" s="49" t="s">
        <v>74</v>
      </c>
      <c r="E246" s="49" t="s">
        <v>75</v>
      </c>
      <c r="F246" s="49" t="s">
        <v>43</v>
      </c>
      <c r="G246">
        <v>2</v>
      </c>
      <c r="H246">
        <v>6499</v>
      </c>
      <c r="I246">
        <v>0.05</v>
      </c>
      <c r="J246" s="49" t="s">
        <v>67</v>
      </c>
      <c r="K246" s="49" t="s">
        <v>49</v>
      </c>
      <c r="L246" s="49" t="s">
        <v>50</v>
      </c>
    </row>
    <row r="247" spans="1:12" x14ac:dyDescent="0.3">
      <c r="A247">
        <v>10030</v>
      </c>
      <c r="B247" s="48">
        <v>45524</v>
      </c>
      <c r="C247" s="49" t="s">
        <v>98</v>
      </c>
      <c r="D247" s="49" t="s">
        <v>95</v>
      </c>
      <c r="E247" s="49" t="s">
        <v>75</v>
      </c>
      <c r="F247" s="49" t="s">
        <v>66</v>
      </c>
      <c r="G247">
        <v>2</v>
      </c>
      <c r="H247">
        <v>1499</v>
      </c>
      <c r="I247">
        <v>0</v>
      </c>
      <c r="J247" s="49" t="s">
        <v>39</v>
      </c>
      <c r="K247" s="49" t="s">
        <v>40</v>
      </c>
      <c r="L247" s="49" t="s">
        <v>41</v>
      </c>
    </row>
    <row r="248" spans="1:12" x14ac:dyDescent="0.3">
      <c r="A248">
        <v>10199</v>
      </c>
      <c r="B248" s="48">
        <v>45790</v>
      </c>
      <c r="C248" s="49" t="s">
        <v>96</v>
      </c>
      <c r="D248" s="49" t="s">
        <v>95</v>
      </c>
      <c r="E248" s="49" t="s">
        <v>55</v>
      </c>
      <c r="F248" s="49" t="s">
        <v>73</v>
      </c>
      <c r="G248">
        <v>0</v>
      </c>
      <c r="H248">
        <v>5499</v>
      </c>
      <c r="I248">
        <v>0.1</v>
      </c>
      <c r="J248" s="49" t="s">
        <v>39</v>
      </c>
      <c r="K248" s="49" t="s">
        <v>65</v>
      </c>
      <c r="L248" s="49" t="s">
        <v>203</v>
      </c>
    </row>
    <row r="249" spans="1:12" x14ac:dyDescent="0.3">
      <c r="A249">
        <v>10059</v>
      </c>
      <c r="B249" s="48"/>
      <c r="C249" s="49" t="s">
        <v>115</v>
      </c>
      <c r="D249" s="49" t="s">
        <v>59</v>
      </c>
      <c r="E249" s="49" t="s">
        <v>75</v>
      </c>
      <c r="F249" s="49" t="s">
        <v>48</v>
      </c>
      <c r="G249">
        <v>5</v>
      </c>
      <c r="H249">
        <v>799</v>
      </c>
      <c r="I249">
        <v>0.1</v>
      </c>
      <c r="J249" s="49" t="s">
        <v>39</v>
      </c>
      <c r="K249" s="49" t="s">
        <v>45</v>
      </c>
      <c r="L249" s="49" t="s">
        <v>203</v>
      </c>
    </row>
    <row r="250" spans="1:12" x14ac:dyDescent="0.3">
      <c r="A250">
        <v>10258</v>
      </c>
      <c r="B250" s="48">
        <v>45324</v>
      </c>
      <c r="C250" s="49" t="s">
        <v>205</v>
      </c>
      <c r="D250" s="49" t="s">
        <v>52</v>
      </c>
      <c r="E250" s="49" t="s">
        <v>55</v>
      </c>
      <c r="F250" s="49" t="s">
        <v>79</v>
      </c>
      <c r="G250">
        <v>3</v>
      </c>
      <c r="H250">
        <v>599</v>
      </c>
      <c r="I250">
        <v>0.1</v>
      </c>
      <c r="J250" s="49" t="s">
        <v>108</v>
      </c>
      <c r="K250" s="49" t="s">
        <v>57</v>
      </c>
      <c r="L250" s="49" t="s">
        <v>46</v>
      </c>
    </row>
    <row r="251" spans="1:12" x14ac:dyDescent="0.3">
      <c r="A251">
        <v>10102</v>
      </c>
      <c r="B251" s="48">
        <v>45703</v>
      </c>
      <c r="C251" s="49" t="s">
        <v>206</v>
      </c>
      <c r="D251" s="49" t="s">
        <v>72</v>
      </c>
      <c r="E251" s="49" t="s">
        <v>53</v>
      </c>
      <c r="F251" s="49" t="s">
        <v>101</v>
      </c>
      <c r="G251">
        <v>6</v>
      </c>
      <c r="H251">
        <v>99</v>
      </c>
      <c r="I251">
        <v>0.1</v>
      </c>
      <c r="J251" s="49" t="s">
        <v>67</v>
      </c>
      <c r="K251" s="49" t="s">
        <v>65</v>
      </c>
      <c r="L251" s="49" t="s">
        <v>46</v>
      </c>
    </row>
    <row r="252" spans="1:12" x14ac:dyDescent="0.3">
      <c r="A252">
        <v>10301</v>
      </c>
      <c r="B252" s="48"/>
      <c r="C252" s="49" t="s">
        <v>98</v>
      </c>
      <c r="D252" s="49" t="s">
        <v>52</v>
      </c>
      <c r="E252" s="49" t="s">
        <v>75</v>
      </c>
      <c r="F252" s="49" t="s">
        <v>99</v>
      </c>
      <c r="G252">
        <v>4</v>
      </c>
      <c r="H252">
        <v>12999</v>
      </c>
      <c r="I252">
        <v>0</v>
      </c>
      <c r="J252" s="49" t="s">
        <v>109</v>
      </c>
      <c r="K252" s="49" t="s">
        <v>49</v>
      </c>
      <c r="L252" s="49" t="s">
        <v>41</v>
      </c>
    </row>
    <row r="253" spans="1:12" x14ac:dyDescent="0.3">
      <c r="A253">
        <v>10166</v>
      </c>
      <c r="B253" s="48">
        <v>45490</v>
      </c>
      <c r="C253" s="49" t="s">
        <v>107</v>
      </c>
      <c r="D253" s="49" t="s">
        <v>59</v>
      </c>
      <c r="E253" s="49" t="s">
        <v>78</v>
      </c>
      <c r="F253" s="49" t="s">
        <v>79</v>
      </c>
      <c r="G253">
        <v>4</v>
      </c>
      <c r="H253">
        <v>599</v>
      </c>
      <c r="I253">
        <v>0.05</v>
      </c>
      <c r="J253" s="49" t="s">
        <v>109</v>
      </c>
      <c r="K253" s="49" t="s">
        <v>57</v>
      </c>
      <c r="L253" s="49" t="s">
        <v>41</v>
      </c>
    </row>
    <row r="254" spans="1:12" x14ac:dyDescent="0.3">
      <c r="A254">
        <v>10227</v>
      </c>
      <c r="B254" s="48"/>
      <c r="C254" s="49" t="s">
        <v>117</v>
      </c>
      <c r="D254" s="49" t="s">
        <v>52</v>
      </c>
      <c r="E254" s="49" t="s">
        <v>53</v>
      </c>
      <c r="F254" s="49" t="s">
        <v>91</v>
      </c>
      <c r="G254">
        <v>5</v>
      </c>
      <c r="H254">
        <v>249</v>
      </c>
      <c r="I254">
        <v>0.1</v>
      </c>
      <c r="J254" s="49" t="s">
        <v>67</v>
      </c>
      <c r="K254" s="49" t="s">
        <v>45</v>
      </c>
      <c r="L254" s="49" t="s">
        <v>41</v>
      </c>
    </row>
    <row r="255" spans="1:12" x14ac:dyDescent="0.3">
      <c r="A255">
        <v>10298</v>
      </c>
      <c r="B255" s="48"/>
      <c r="C255" s="49" t="s">
        <v>42</v>
      </c>
      <c r="D255" s="49" t="s">
        <v>72</v>
      </c>
      <c r="E255" s="49" t="s">
        <v>76</v>
      </c>
      <c r="F255" s="49" t="s">
        <v>61</v>
      </c>
      <c r="G255">
        <v>1</v>
      </c>
      <c r="H255">
        <v>18999</v>
      </c>
      <c r="I255">
        <v>0</v>
      </c>
      <c r="J255" s="49" t="s">
        <v>44</v>
      </c>
      <c r="K255" s="49" t="s">
        <v>45</v>
      </c>
      <c r="L255" s="49" t="s">
        <v>41</v>
      </c>
    </row>
    <row r="256" spans="1:12" x14ac:dyDescent="0.3">
      <c r="A256">
        <v>10038</v>
      </c>
      <c r="B256" s="48">
        <v>45386</v>
      </c>
      <c r="C256" s="49" t="s">
        <v>106</v>
      </c>
      <c r="D256" s="49" t="s">
        <v>95</v>
      </c>
      <c r="E256" s="49" t="s">
        <v>69</v>
      </c>
      <c r="F256" s="49" t="s">
        <v>104</v>
      </c>
      <c r="G256">
        <v>5</v>
      </c>
      <c r="H256">
        <v>4999</v>
      </c>
      <c r="I256">
        <v>0.05</v>
      </c>
      <c r="J256" s="49" t="s">
        <v>108</v>
      </c>
      <c r="K256" s="49" t="s">
        <v>49</v>
      </c>
      <c r="L256" s="49" t="s">
        <v>41</v>
      </c>
    </row>
    <row r="257" spans="1:12" x14ac:dyDescent="0.3">
      <c r="A257">
        <v>10060</v>
      </c>
      <c r="B257" s="48"/>
      <c r="C257" s="49" t="s">
        <v>96</v>
      </c>
      <c r="D257" s="49" t="s">
        <v>74</v>
      </c>
      <c r="E257" s="49" t="s">
        <v>53</v>
      </c>
      <c r="F257" s="49" t="s">
        <v>60</v>
      </c>
      <c r="G257">
        <v>4</v>
      </c>
      <c r="H257">
        <v>349</v>
      </c>
      <c r="I257">
        <v>0.1</v>
      </c>
      <c r="J257" s="49" t="s">
        <v>39</v>
      </c>
      <c r="K257" s="49" t="s">
        <v>57</v>
      </c>
      <c r="L257" s="49" t="s">
        <v>50</v>
      </c>
    </row>
    <row r="258" spans="1:12" x14ac:dyDescent="0.3">
      <c r="A258">
        <v>10248</v>
      </c>
      <c r="B258" s="48">
        <v>45483</v>
      </c>
      <c r="C258" s="49" t="s">
        <v>71</v>
      </c>
      <c r="D258" s="49" t="s">
        <v>59</v>
      </c>
      <c r="E258" s="49" t="s">
        <v>75</v>
      </c>
      <c r="F258" s="49" t="s">
        <v>48</v>
      </c>
      <c r="G258">
        <v>4</v>
      </c>
      <c r="H258">
        <v>799</v>
      </c>
      <c r="I258">
        <v>0.05</v>
      </c>
      <c r="J258" s="49" t="s">
        <v>67</v>
      </c>
      <c r="K258" s="49" t="s">
        <v>40</v>
      </c>
      <c r="L258" s="49" t="s">
        <v>41</v>
      </c>
    </row>
    <row r="259" spans="1:12" x14ac:dyDescent="0.3">
      <c r="A259">
        <v>10016</v>
      </c>
      <c r="B259" s="48">
        <v>45571</v>
      </c>
      <c r="C259" s="49" t="s">
        <v>84</v>
      </c>
      <c r="D259" s="49" t="s">
        <v>52</v>
      </c>
      <c r="E259" s="49" t="s">
        <v>69</v>
      </c>
      <c r="F259" s="49" t="s">
        <v>85</v>
      </c>
      <c r="G259">
        <v>4</v>
      </c>
      <c r="H259">
        <v>24999</v>
      </c>
      <c r="I259">
        <v>0.05</v>
      </c>
      <c r="J259" s="49" t="s">
        <v>67</v>
      </c>
      <c r="K259" s="49" t="s">
        <v>57</v>
      </c>
      <c r="L259" s="49" t="s">
        <v>41</v>
      </c>
    </row>
    <row r="260" spans="1:12" x14ac:dyDescent="0.3">
      <c r="A260">
        <v>10280</v>
      </c>
      <c r="B260" s="48">
        <v>45390</v>
      </c>
      <c r="C260" s="49" t="s">
        <v>47</v>
      </c>
      <c r="D260" s="49" t="s">
        <v>59</v>
      </c>
      <c r="E260" s="49" t="s">
        <v>37</v>
      </c>
      <c r="F260" s="49" t="s">
        <v>105</v>
      </c>
      <c r="G260">
        <v>3</v>
      </c>
      <c r="H260">
        <v>1199</v>
      </c>
      <c r="I260">
        <v>0</v>
      </c>
      <c r="J260" s="49" t="s">
        <v>109</v>
      </c>
      <c r="K260" s="49" t="s">
        <v>49</v>
      </c>
      <c r="L260" s="49" t="s">
        <v>41</v>
      </c>
    </row>
    <row r="261" spans="1:12" x14ac:dyDescent="0.3">
      <c r="A261">
        <v>10028</v>
      </c>
      <c r="B261" s="48">
        <v>45397</v>
      </c>
      <c r="C261" s="49" t="s">
        <v>114</v>
      </c>
      <c r="D261" s="49" t="s">
        <v>52</v>
      </c>
      <c r="E261" s="49" t="s">
        <v>53</v>
      </c>
      <c r="F261" s="49" t="s">
        <v>58</v>
      </c>
      <c r="G261">
        <v>4</v>
      </c>
      <c r="H261">
        <v>429</v>
      </c>
      <c r="I261">
        <v>0</v>
      </c>
      <c r="J261" s="49" t="s">
        <v>39</v>
      </c>
      <c r="K261" s="49" t="s">
        <v>65</v>
      </c>
      <c r="L261" s="49" t="s">
        <v>41</v>
      </c>
    </row>
    <row r="262" spans="1:12" x14ac:dyDescent="0.3">
      <c r="A262">
        <v>10054</v>
      </c>
      <c r="B262" s="48">
        <v>45588</v>
      </c>
      <c r="C262" s="49" t="s">
        <v>77</v>
      </c>
      <c r="D262" s="49" t="s">
        <v>52</v>
      </c>
      <c r="E262" s="49" t="s">
        <v>53</v>
      </c>
      <c r="F262" s="49" t="s">
        <v>86</v>
      </c>
      <c r="G262">
        <v>6</v>
      </c>
      <c r="H262">
        <v>599</v>
      </c>
      <c r="I262">
        <v>0</v>
      </c>
      <c r="J262" s="49" t="s">
        <v>108</v>
      </c>
      <c r="K262" s="49" t="s">
        <v>57</v>
      </c>
      <c r="L262" s="49" t="s">
        <v>46</v>
      </c>
    </row>
    <row r="263" spans="1:12" x14ac:dyDescent="0.3">
      <c r="A263">
        <v>10278</v>
      </c>
      <c r="B263" s="48">
        <v>45735</v>
      </c>
      <c r="C263" s="49" t="s">
        <v>116</v>
      </c>
      <c r="D263" s="49" t="s">
        <v>95</v>
      </c>
      <c r="E263" s="49" t="s">
        <v>75</v>
      </c>
      <c r="F263" s="49" t="s">
        <v>38</v>
      </c>
      <c r="G263">
        <v>2</v>
      </c>
      <c r="H263">
        <v>2999</v>
      </c>
      <c r="I263">
        <v>0.15</v>
      </c>
      <c r="J263" s="49" t="s">
        <v>39</v>
      </c>
      <c r="K263" s="49" t="s">
        <v>57</v>
      </c>
      <c r="L263" s="49" t="s">
        <v>41</v>
      </c>
    </row>
    <row r="264" spans="1:12" x14ac:dyDescent="0.3">
      <c r="A264">
        <v>10232</v>
      </c>
      <c r="B264" s="48">
        <v>45540</v>
      </c>
      <c r="C264" s="49" t="s">
        <v>47</v>
      </c>
      <c r="D264" s="49" t="s">
        <v>95</v>
      </c>
      <c r="E264" s="49" t="s">
        <v>55</v>
      </c>
      <c r="F264" s="49" t="s">
        <v>88</v>
      </c>
      <c r="G264">
        <v>4</v>
      </c>
      <c r="H264">
        <v>2499</v>
      </c>
      <c r="I264">
        <v>0.05</v>
      </c>
      <c r="J264" s="49" t="s">
        <v>44</v>
      </c>
      <c r="K264" s="49" t="s">
        <v>40</v>
      </c>
      <c r="L264" s="49" t="s">
        <v>46</v>
      </c>
    </row>
    <row r="265" spans="1:12" x14ac:dyDescent="0.3">
      <c r="A265">
        <v>10171</v>
      </c>
      <c r="B265" s="48">
        <v>45364</v>
      </c>
      <c r="C265" s="49" t="s">
        <v>98</v>
      </c>
      <c r="D265" s="49" t="s">
        <v>74</v>
      </c>
      <c r="E265" s="49" t="s">
        <v>55</v>
      </c>
      <c r="F265" s="49" t="s">
        <v>73</v>
      </c>
      <c r="G265">
        <v>0</v>
      </c>
      <c r="H265">
        <v>5499</v>
      </c>
      <c r="I265">
        <v>0.05</v>
      </c>
      <c r="J265" s="49" t="s">
        <v>39</v>
      </c>
      <c r="K265" s="49" t="s">
        <v>65</v>
      </c>
      <c r="L265" s="49" t="s">
        <v>41</v>
      </c>
    </row>
    <row r="266" spans="1:12" x14ac:dyDescent="0.3">
      <c r="A266">
        <v>10129</v>
      </c>
      <c r="B266" s="48"/>
      <c r="C266" s="49" t="s">
        <v>111</v>
      </c>
      <c r="D266" s="49" t="s">
        <v>74</v>
      </c>
      <c r="E266" s="49" t="s">
        <v>69</v>
      </c>
      <c r="F266" s="49" t="s">
        <v>83</v>
      </c>
      <c r="G266">
        <v>1</v>
      </c>
      <c r="H266">
        <v>1299</v>
      </c>
      <c r="I266">
        <v>0</v>
      </c>
      <c r="J266" s="49" t="s">
        <v>67</v>
      </c>
      <c r="K266" s="49" t="s">
        <v>49</v>
      </c>
      <c r="L266" s="49" t="s">
        <v>46</v>
      </c>
    </row>
    <row r="267" spans="1:12" x14ac:dyDescent="0.3">
      <c r="A267">
        <v>10222</v>
      </c>
      <c r="B267" s="48"/>
      <c r="C267" s="49" t="s">
        <v>118</v>
      </c>
      <c r="D267" s="49" t="s">
        <v>72</v>
      </c>
      <c r="E267" s="49" t="s">
        <v>53</v>
      </c>
      <c r="F267" s="49" t="s">
        <v>91</v>
      </c>
      <c r="G267">
        <v>0</v>
      </c>
      <c r="H267">
        <v>249</v>
      </c>
      <c r="I267">
        <v>0.05</v>
      </c>
      <c r="J267" s="49" t="s">
        <v>67</v>
      </c>
      <c r="K267" s="49" t="s">
        <v>65</v>
      </c>
      <c r="L267" s="49" t="s">
        <v>41</v>
      </c>
    </row>
    <row r="268" spans="1:12" x14ac:dyDescent="0.3">
      <c r="A268">
        <v>10108</v>
      </c>
      <c r="B268" s="48"/>
      <c r="C268" s="49" t="s">
        <v>118</v>
      </c>
      <c r="D268" s="49" t="s">
        <v>74</v>
      </c>
      <c r="E268" s="49" t="s">
        <v>55</v>
      </c>
      <c r="F268" s="49" t="s">
        <v>79</v>
      </c>
      <c r="G268">
        <v>4</v>
      </c>
      <c r="H268">
        <v>599</v>
      </c>
      <c r="I268">
        <v>0.05</v>
      </c>
      <c r="J268" s="49" t="s">
        <v>39</v>
      </c>
      <c r="K268" s="49" t="s">
        <v>65</v>
      </c>
      <c r="L268" s="49" t="s">
        <v>50</v>
      </c>
    </row>
    <row r="269" spans="1:12" x14ac:dyDescent="0.3">
      <c r="A269">
        <v>10320</v>
      </c>
      <c r="B269" s="48">
        <v>45324</v>
      </c>
      <c r="C269" s="49" t="s">
        <v>114</v>
      </c>
      <c r="D269" s="49" t="s">
        <v>52</v>
      </c>
      <c r="E269" s="49" t="s">
        <v>53</v>
      </c>
      <c r="F269" s="49" t="s">
        <v>91</v>
      </c>
      <c r="G269">
        <v>1</v>
      </c>
      <c r="H269">
        <v>249</v>
      </c>
      <c r="I269">
        <v>0</v>
      </c>
      <c r="J269" s="49" t="s">
        <v>108</v>
      </c>
      <c r="K269" s="49" t="s">
        <v>40</v>
      </c>
      <c r="L269" s="49" t="s">
        <v>46</v>
      </c>
    </row>
    <row r="270" spans="1:12" x14ac:dyDescent="0.3">
      <c r="A270">
        <v>10186</v>
      </c>
      <c r="B270" s="48">
        <v>45425</v>
      </c>
      <c r="C270" s="49" t="s">
        <v>97</v>
      </c>
      <c r="D270" s="49" t="s">
        <v>59</v>
      </c>
      <c r="E270" s="49" t="s">
        <v>69</v>
      </c>
      <c r="F270" s="49" t="s">
        <v>85</v>
      </c>
      <c r="G270">
        <v>3</v>
      </c>
      <c r="H270">
        <v>24999</v>
      </c>
      <c r="I270">
        <v>0.05</v>
      </c>
      <c r="J270" s="49" t="s">
        <v>108</v>
      </c>
      <c r="K270" s="49" t="s">
        <v>40</v>
      </c>
      <c r="L270" s="49" t="s">
        <v>41</v>
      </c>
    </row>
    <row r="271" spans="1:12" x14ac:dyDescent="0.3">
      <c r="A271">
        <v>10286</v>
      </c>
      <c r="B271" s="48">
        <v>45561</v>
      </c>
      <c r="C271" s="49" t="s">
        <v>93</v>
      </c>
      <c r="D271" s="49" t="s">
        <v>72</v>
      </c>
      <c r="E271" s="49" t="s">
        <v>37</v>
      </c>
      <c r="F271" s="49" t="s">
        <v>100</v>
      </c>
      <c r="G271">
        <v>2</v>
      </c>
      <c r="H271">
        <v>5999</v>
      </c>
      <c r="I271">
        <v>0.05</v>
      </c>
      <c r="J271" s="49" t="s">
        <v>204</v>
      </c>
      <c r="K271" s="49" t="s">
        <v>49</v>
      </c>
      <c r="L271" s="49" t="s">
        <v>41</v>
      </c>
    </row>
    <row r="272" spans="1:12" x14ac:dyDescent="0.3">
      <c r="A272">
        <v>10024</v>
      </c>
      <c r="B272" s="48">
        <v>45602</v>
      </c>
      <c r="C272" s="49" t="s">
        <v>97</v>
      </c>
      <c r="D272" s="49" t="s">
        <v>95</v>
      </c>
      <c r="E272" s="49" t="s">
        <v>53</v>
      </c>
      <c r="F272" s="49" t="s">
        <v>86</v>
      </c>
      <c r="G272">
        <v>3</v>
      </c>
      <c r="H272">
        <v>599</v>
      </c>
      <c r="I272">
        <v>0.1</v>
      </c>
      <c r="J272" s="49" t="s">
        <v>44</v>
      </c>
      <c r="K272" s="49" t="s">
        <v>49</v>
      </c>
      <c r="L272" s="49" t="s">
        <v>46</v>
      </c>
    </row>
    <row r="273" spans="1:12" x14ac:dyDescent="0.3">
      <c r="A273">
        <v>10082</v>
      </c>
      <c r="B273" s="48">
        <v>45780</v>
      </c>
      <c r="C273" s="49" t="s">
        <v>111</v>
      </c>
      <c r="D273" s="49" t="s">
        <v>72</v>
      </c>
      <c r="E273" s="49" t="s">
        <v>76</v>
      </c>
      <c r="F273" s="49" t="s">
        <v>68</v>
      </c>
      <c r="G273">
        <v>6</v>
      </c>
      <c r="H273">
        <v>6999</v>
      </c>
      <c r="I273">
        <v>0</v>
      </c>
      <c r="J273" s="49" t="s">
        <v>204</v>
      </c>
      <c r="K273" s="49" t="s">
        <v>40</v>
      </c>
      <c r="L273" s="49" t="s">
        <v>41</v>
      </c>
    </row>
    <row r="274" spans="1:12" x14ac:dyDescent="0.3">
      <c r="A274">
        <v>10091</v>
      </c>
      <c r="B274" s="48">
        <v>45691</v>
      </c>
      <c r="C274" s="49" t="s">
        <v>42</v>
      </c>
      <c r="D274" s="49" t="s">
        <v>59</v>
      </c>
      <c r="E274" s="49" t="s">
        <v>75</v>
      </c>
      <c r="F274" s="49" t="s">
        <v>99</v>
      </c>
      <c r="G274">
        <v>6</v>
      </c>
      <c r="H274">
        <v>12999</v>
      </c>
      <c r="I274">
        <v>0</v>
      </c>
      <c r="J274" s="49" t="s">
        <v>108</v>
      </c>
      <c r="K274" s="49" t="s">
        <v>45</v>
      </c>
      <c r="L274" s="49" t="s">
        <v>41</v>
      </c>
    </row>
    <row r="275" spans="1:12" x14ac:dyDescent="0.3">
      <c r="A275">
        <v>10254</v>
      </c>
      <c r="B275" s="48">
        <v>45297</v>
      </c>
      <c r="C275" s="49" t="s">
        <v>36</v>
      </c>
      <c r="D275" s="49" t="s">
        <v>52</v>
      </c>
      <c r="E275" s="49" t="s">
        <v>69</v>
      </c>
      <c r="F275" s="49" t="s">
        <v>61</v>
      </c>
      <c r="G275">
        <v>5</v>
      </c>
      <c r="H275">
        <v>18999</v>
      </c>
      <c r="I275">
        <v>0.1</v>
      </c>
      <c r="J275" s="49" t="s">
        <v>108</v>
      </c>
      <c r="K275" s="49" t="s">
        <v>49</v>
      </c>
      <c r="L275" s="49" t="s">
        <v>50</v>
      </c>
    </row>
    <row r="276" spans="1:12" x14ac:dyDescent="0.3">
      <c r="A276">
        <v>10242</v>
      </c>
      <c r="B276" s="48">
        <v>45708</v>
      </c>
      <c r="C276" s="49" t="s">
        <v>80</v>
      </c>
      <c r="D276" s="49" t="s">
        <v>95</v>
      </c>
      <c r="E276" s="49" t="s">
        <v>76</v>
      </c>
      <c r="F276" s="49" t="s">
        <v>61</v>
      </c>
      <c r="G276">
        <v>5</v>
      </c>
      <c r="H276">
        <v>18999</v>
      </c>
      <c r="I276">
        <v>0</v>
      </c>
      <c r="J276" s="49" t="s">
        <v>67</v>
      </c>
      <c r="K276" s="49" t="s">
        <v>40</v>
      </c>
      <c r="L276" s="49" t="s">
        <v>46</v>
      </c>
    </row>
    <row r="277" spans="1:12" x14ac:dyDescent="0.3">
      <c r="A277">
        <v>10077</v>
      </c>
      <c r="B277" s="48"/>
      <c r="C277" s="49" t="s">
        <v>110</v>
      </c>
      <c r="D277" s="49" t="s">
        <v>74</v>
      </c>
      <c r="E277" s="49" t="s">
        <v>53</v>
      </c>
      <c r="F277" s="49" t="s">
        <v>101</v>
      </c>
      <c r="G277">
        <v>6</v>
      </c>
      <c r="H277">
        <v>99</v>
      </c>
      <c r="I277">
        <v>0.05</v>
      </c>
      <c r="J277" s="49" t="s">
        <v>109</v>
      </c>
      <c r="K277" s="49" t="s">
        <v>65</v>
      </c>
      <c r="L277" s="49" t="s">
        <v>46</v>
      </c>
    </row>
    <row r="278" spans="1:12" x14ac:dyDescent="0.3">
      <c r="A278">
        <v>10058</v>
      </c>
      <c r="B278" s="48">
        <v>45480</v>
      </c>
      <c r="C278" s="49" t="s">
        <v>42</v>
      </c>
      <c r="D278" s="49" t="s">
        <v>59</v>
      </c>
      <c r="E278" s="49" t="s">
        <v>69</v>
      </c>
      <c r="F278" s="49" t="s">
        <v>82</v>
      </c>
      <c r="G278">
        <v>2</v>
      </c>
      <c r="H278">
        <v>8999</v>
      </c>
      <c r="I278">
        <v>0.1</v>
      </c>
      <c r="J278" s="49" t="s">
        <v>39</v>
      </c>
      <c r="K278" s="49" t="s">
        <v>49</v>
      </c>
      <c r="L278" s="49" t="s">
        <v>41</v>
      </c>
    </row>
    <row r="279" spans="1:12" x14ac:dyDescent="0.3">
      <c r="A279">
        <v>10100</v>
      </c>
      <c r="B279" s="48"/>
      <c r="C279" s="49" t="s">
        <v>110</v>
      </c>
      <c r="D279" s="49" t="s">
        <v>59</v>
      </c>
      <c r="E279" s="49" t="s">
        <v>75</v>
      </c>
      <c r="F279" s="49" t="s">
        <v>43</v>
      </c>
      <c r="G279">
        <v>0</v>
      </c>
      <c r="H279">
        <v>6499</v>
      </c>
      <c r="I279">
        <v>0.1</v>
      </c>
      <c r="J279" s="49" t="s">
        <v>44</v>
      </c>
      <c r="K279" s="49" t="s">
        <v>49</v>
      </c>
      <c r="L279" s="49" t="s">
        <v>203</v>
      </c>
    </row>
    <row r="280" spans="1:12" x14ac:dyDescent="0.3">
      <c r="A280">
        <v>10029</v>
      </c>
      <c r="B280" s="48">
        <v>45491</v>
      </c>
      <c r="C280" s="49" t="s">
        <v>98</v>
      </c>
      <c r="D280" s="49" t="s">
        <v>72</v>
      </c>
      <c r="E280" s="49" t="s">
        <v>55</v>
      </c>
      <c r="F280" s="49" t="s">
        <v>73</v>
      </c>
      <c r="G280">
        <v>4</v>
      </c>
      <c r="H280">
        <v>5499</v>
      </c>
      <c r="I280">
        <v>0</v>
      </c>
      <c r="J280" s="49" t="s">
        <v>44</v>
      </c>
      <c r="K280" s="49" t="s">
        <v>49</v>
      </c>
      <c r="L280" s="49" t="s">
        <v>41</v>
      </c>
    </row>
    <row r="281" spans="1:12" x14ac:dyDescent="0.3">
      <c r="A281">
        <v>10142</v>
      </c>
      <c r="B281" s="48">
        <v>45294</v>
      </c>
      <c r="C281" s="49" t="s">
        <v>84</v>
      </c>
      <c r="D281" s="49" t="s">
        <v>59</v>
      </c>
      <c r="E281" s="49" t="s">
        <v>37</v>
      </c>
      <c r="F281" s="49" t="s">
        <v>105</v>
      </c>
      <c r="G281">
        <v>3</v>
      </c>
      <c r="H281">
        <v>1199</v>
      </c>
      <c r="I281">
        <v>0</v>
      </c>
      <c r="J281" s="49" t="s">
        <v>108</v>
      </c>
      <c r="K281" s="49" t="s">
        <v>45</v>
      </c>
      <c r="L281" s="49" t="s">
        <v>41</v>
      </c>
    </row>
    <row r="282" spans="1:12" x14ac:dyDescent="0.3">
      <c r="A282">
        <v>10107</v>
      </c>
      <c r="B282" s="48">
        <v>45601</v>
      </c>
      <c r="C282" s="49" t="s">
        <v>206</v>
      </c>
      <c r="D282" s="49" t="s">
        <v>72</v>
      </c>
      <c r="E282" s="49" t="s">
        <v>55</v>
      </c>
      <c r="F282" s="49" t="s">
        <v>88</v>
      </c>
      <c r="G282">
        <v>1</v>
      </c>
      <c r="H282">
        <v>2499</v>
      </c>
      <c r="I282">
        <v>0.1</v>
      </c>
      <c r="J282" s="49" t="s">
        <v>109</v>
      </c>
      <c r="K282" s="49" t="s">
        <v>40</v>
      </c>
      <c r="L282" s="49" t="s">
        <v>41</v>
      </c>
    </row>
    <row r="283" spans="1:12" x14ac:dyDescent="0.3">
      <c r="A283">
        <v>10237</v>
      </c>
      <c r="B283" s="48">
        <v>45640</v>
      </c>
      <c r="C283" s="49" t="s">
        <v>71</v>
      </c>
      <c r="D283" s="49" t="s">
        <v>95</v>
      </c>
      <c r="E283" s="49" t="s">
        <v>69</v>
      </c>
      <c r="F283" s="49" t="s">
        <v>70</v>
      </c>
      <c r="G283">
        <v>2</v>
      </c>
      <c r="H283">
        <v>5499</v>
      </c>
      <c r="I283">
        <v>0.05</v>
      </c>
      <c r="J283" s="49" t="s">
        <v>44</v>
      </c>
      <c r="K283" s="49" t="s">
        <v>45</v>
      </c>
      <c r="L283" s="49" t="s">
        <v>46</v>
      </c>
    </row>
    <row r="284" spans="1:12" x14ac:dyDescent="0.3">
      <c r="A284">
        <v>10113</v>
      </c>
      <c r="B284" s="48">
        <v>45739</v>
      </c>
      <c r="C284" s="49" t="s">
        <v>42</v>
      </c>
      <c r="D284" s="49" t="s">
        <v>95</v>
      </c>
      <c r="E284" s="49" t="s">
        <v>55</v>
      </c>
      <c r="F284" s="49" t="s">
        <v>92</v>
      </c>
      <c r="G284">
        <v>4</v>
      </c>
      <c r="H284">
        <v>799</v>
      </c>
      <c r="I284">
        <v>0.1</v>
      </c>
      <c r="J284" s="49" t="s">
        <v>109</v>
      </c>
      <c r="K284" s="49" t="s">
        <v>45</v>
      </c>
      <c r="L284" s="49" t="s">
        <v>46</v>
      </c>
    </row>
    <row r="285" spans="1:12" x14ac:dyDescent="0.3">
      <c r="A285">
        <v>10259</v>
      </c>
      <c r="B285" s="48"/>
      <c r="C285" s="49" t="s">
        <v>36</v>
      </c>
      <c r="D285" s="49" t="s">
        <v>74</v>
      </c>
      <c r="E285" s="49" t="s">
        <v>69</v>
      </c>
      <c r="F285" s="49" t="s">
        <v>63</v>
      </c>
      <c r="G285">
        <v>1</v>
      </c>
      <c r="H285">
        <v>15999</v>
      </c>
      <c r="I285">
        <v>0</v>
      </c>
      <c r="J285" s="49" t="s">
        <v>204</v>
      </c>
      <c r="K285" s="49" t="s">
        <v>40</v>
      </c>
      <c r="L285" s="49" t="s">
        <v>41</v>
      </c>
    </row>
    <row r="286" spans="1:12" x14ac:dyDescent="0.3">
      <c r="A286">
        <v>10276</v>
      </c>
      <c r="B286" s="48">
        <v>45388</v>
      </c>
      <c r="C286" s="49" t="s">
        <v>71</v>
      </c>
      <c r="D286" s="49" t="s">
        <v>59</v>
      </c>
      <c r="E286" s="49" t="s">
        <v>75</v>
      </c>
      <c r="F286" s="49" t="s">
        <v>99</v>
      </c>
      <c r="G286">
        <v>3</v>
      </c>
      <c r="H286">
        <v>12999</v>
      </c>
      <c r="I286">
        <v>0.05</v>
      </c>
      <c r="J286" s="49" t="s">
        <v>39</v>
      </c>
      <c r="K286" s="49" t="s">
        <v>57</v>
      </c>
      <c r="L286" s="49" t="s">
        <v>41</v>
      </c>
    </row>
    <row r="287" spans="1:12" x14ac:dyDescent="0.3">
      <c r="A287">
        <v>10185</v>
      </c>
      <c r="B287" s="48">
        <v>45390</v>
      </c>
      <c r="C287" s="49" t="s">
        <v>112</v>
      </c>
      <c r="D287" s="49" t="s">
        <v>52</v>
      </c>
      <c r="E287" s="49" t="s">
        <v>53</v>
      </c>
      <c r="F287" s="49" t="s">
        <v>91</v>
      </c>
      <c r="G287">
        <v>3</v>
      </c>
      <c r="H287">
        <v>249</v>
      </c>
      <c r="I287">
        <v>0.05</v>
      </c>
      <c r="J287" s="49" t="s">
        <v>67</v>
      </c>
      <c r="K287" s="49" t="s">
        <v>40</v>
      </c>
      <c r="L287" s="49" t="s">
        <v>41</v>
      </c>
    </row>
    <row r="288" spans="1:12" x14ac:dyDescent="0.3">
      <c r="A288">
        <v>10050</v>
      </c>
      <c r="B288" s="48">
        <v>45674</v>
      </c>
      <c r="C288" s="49" t="s">
        <v>51</v>
      </c>
      <c r="D288" s="49" t="s">
        <v>74</v>
      </c>
      <c r="E288" s="49" t="s">
        <v>55</v>
      </c>
      <c r="F288" s="49" t="s">
        <v>73</v>
      </c>
      <c r="G288">
        <v>6</v>
      </c>
      <c r="H288">
        <v>5499</v>
      </c>
      <c r="I288">
        <v>0</v>
      </c>
      <c r="J288" s="49" t="s">
        <v>44</v>
      </c>
      <c r="K288" s="49" t="s">
        <v>49</v>
      </c>
      <c r="L288" s="49" t="s">
        <v>41</v>
      </c>
    </row>
    <row r="289" spans="1:12" x14ac:dyDescent="0.3">
      <c r="A289">
        <v>10271</v>
      </c>
      <c r="B289" s="48">
        <v>45561</v>
      </c>
      <c r="C289" s="49" t="s">
        <v>106</v>
      </c>
      <c r="D289" s="49" t="s">
        <v>72</v>
      </c>
      <c r="E289" s="49" t="s">
        <v>69</v>
      </c>
      <c r="F289" s="49" t="s">
        <v>70</v>
      </c>
      <c r="G289">
        <v>6</v>
      </c>
      <c r="H289">
        <v>5499</v>
      </c>
      <c r="I289">
        <v>0.1</v>
      </c>
      <c r="J289" s="49" t="s">
        <v>39</v>
      </c>
      <c r="K289" s="49" t="s">
        <v>40</v>
      </c>
      <c r="L289" s="49" t="s">
        <v>41</v>
      </c>
    </row>
    <row r="290" spans="1:12" x14ac:dyDescent="0.3">
      <c r="A290">
        <v>10061</v>
      </c>
      <c r="B290" s="48">
        <v>45510</v>
      </c>
      <c r="C290" s="49" t="s">
        <v>205</v>
      </c>
      <c r="D290" s="49" t="s">
        <v>72</v>
      </c>
      <c r="E290" s="49" t="s">
        <v>53</v>
      </c>
      <c r="F290" s="49" t="s">
        <v>91</v>
      </c>
      <c r="G290">
        <v>1</v>
      </c>
      <c r="H290">
        <v>249</v>
      </c>
      <c r="I290">
        <v>0.05</v>
      </c>
      <c r="J290" s="49" t="s">
        <v>67</v>
      </c>
      <c r="K290" s="49" t="s">
        <v>45</v>
      </c>
      <c r="L290" s="49" t="s">
        <v>41</v>
      </c>
    </row>
    <row r="291" spans="1:12" x14ac:dyDescent="0.3">
      <c r="A291">
        <v>10099</v>
      </c>
      <c r="B291" s="48"/>
      <c r="C291" s="49" t="s">
        <v>89</v>
      </c>
      <c r="D291" s="49" t="s">
        <v>95</v>
      </c>
      <c r="E291" s="49" t="s">
        <v>69</v>
      </c>
      <c r="F291" s="49" t="s">
        <v>104</v>
      </c>
      <c r="G291">
        <v>3</v>
      </c>
      <c r="H291">
        <v>4999</v>
      </c>
      <c r="I291">
        <v>0.1</v>
      </c>
      <c r="J291" s="49" t="s">
        <v>44</v>
      </c>
      <c r="K291" s="49" t="s">
        <v>40</v>
      </c>
      <c r="L291" s="49" t="s">
        <v>41</v>
      </c>
    </row>
    <row r="292" spans="1:12" x14ac:dyDescent="0.3">
      <c r="A292">
        <v>10121</v>
      </c>
      <c r="B292" s="48">
        <v>45571</v>
      </c>
      <c r="C292" s="49" t="s">
        <v>89</v>
      </c>
      <c r="D292" s="49" t="s">
        <v>95</v>
      </c>
      <c r="E292" s="49" t="s">
        <v>69</v>
      </c>
      <c r="F292" s="49" t="s">
        <v>85</v>
      </c>
      <c r="G292">
        <v>6</v>
      </c>
      <c r="H292">
        <v>24999</v>
      </c>
      <c r="I292">
        <v>0.1</v>
      </c>
      <c r="J292" s="49" t="s">
        <v>109</v>
      </c>
      <c r="K292" s="49" t="s">
        <v>49</v>
      </c>
      <c r="L292" s="49" t="s">
        <v>41</v>
      </c>
    </row>
    <row r="293" spans="1:12" x14ac:dyDescent="0.3">
      <c r="A293">
        <v>10285</v>
      </c>
      <c r="B293" s="48">
        <v>45585</v>
      </c>
      <c r="C293" s="49" t="s">
        <v>94</v>
      </c>
      <c r="D293" s="49" t="s">
        <v>95</v>
      </c>
      <c r="E293" s="49" t="s">
        <v>37</v>
      </c>
      <c r="F293" s="49" t="s">
        <v>66</v>
      </c>
      <c r="G293">
        <v>3</v>
      </c>
      <c r="H293">
        <v>1499</v>
      </c>
      <c r="I293">
        <v>0.1</v>
      </c>
      <c r="J293" s="49" t="s">
        <v>39</v>
      </c>
      <c r="K293" s="49" t="s">
        <v>65</v>
      </c>
      <c r="L293" s="49" t="s">
        <v>50</v>
      </c>
    </row>
    <row r="294" spans="1:12" x14ac:dyDescent="0.3">
      <c r="A294">
        <v>10004</v>
      </c>
      <c r="B294" s="48">
        <v>45652</v>
      </c>
      <c r="C294" s="49" t="s">
        <v>51</v>
      </c>
      <c r="D294" s="49" t="s">
        <v>72</v>
      </c>
      <c r="E294" s="49" t="s">
        <v>55</v>
      </c>
      <c r="F294" s="49" t="s">
        <v>103</v>
      </c>
      <c r="G294">
        <v>5</v>
      </c>
      <c r="H294">
        <v>999</v>
      </c>
      <c r="I294">
        <v>0</v>
      </c>
      <c r="J294" s="49" t="s">
        <v>67</v>
      </c>
      <c r="K294" s="49" t="s">
        <v>65</v>
      </c>
      <c r="L294" s="49" t="s">
        <v>41</v>
      </c>
    </row>
    <row r="295" spans="1:12" x14ac:dyDescent="0.3">
      <c r="A295">
        <v>10214</v>
      </c>
      <c r="B295" s="48"/>
      <c r="C295" s="49" t="s">
        <v>84</v>
      </c>
      <c r="D295" s="49" t="s">
        <v>95</v>
      </c>
      <c r="E295" s="49" t="s">
        <v>69</v>
      </c>
      <c r="F295" s="49" t="s">
        <v>70</v>
      </c>
      <c r="G295">
        <v>6</v>
      </c>
      <c r="H295">
        <v>5499</v>
      </c>
      <c r="I295">
        <v>0</v>
      </c>
      <c r="J295" s="49" t="s">
        <v>108</v>
      </c>
      <c r="K295" s="49" t="s">
        <v>49</v>
      </c>
      <c r="L295" s="49" t="s">
        <v>41</v>
      </c>
    </row>
    <row r="296" spans="1:12" x14ac:dyDescent="0.3">
      <c r="A296">
        <v>10178</v>
      </c>
      <c r="B296" s="48">
        <v>45313</v>
      </c>
      <c r="C296" s="49" t="s">
        <v>93</v>
      </c>
      <c r="D296" s="49" t="s">
        <v>95</v>
      </c>
      <c r="E296" s="49" t="s">
        <v>53</v>
      </c>
      <c r="F296" s="49" t="s">
        <v>60</v>
      </c>
      <c r="G296">
        <v>2</v>
      </c>
      <c r="H296">
        <v>349</v>
      </c>
      <c r="I296">
        <v>0</v>
      </c>
      <c r="J296" s="49" t="s">
        <v>39</v>
      </c>
      <c r="K296" s="49" t="s">
        <v>65</v>
      </c>
      <c r="L296" s="49" t="s">
        <v>41</v>
      </c>
    </row>
    <row r="297" spans="1:12" x14ac:dyDescent="0.3">
      <c r="A297">
        <v>10154</v>
      </c>
      <c r="B297" s="48">
        <v>45692</v>
      </c>
      <c r="C297" s="49" t="s">
        <v>114</v>
      </c>
      <c r="D297" s="49" t="s">
        <v>74</v>
      </c>
      <c r="E297" s="49" t="s">
        <v>53</v>
      </c>
      <c r="F297" s="49" t="s">
        <v>60</v>
      </c>
      <c r="G297">
        <v>2</v>
      </c>
      <c r="H297">
        <v>349</v>
      </c>
      <c r="I297">
        <v>0.1</v>
      </c>
      <c r="J297" s="49" t="s">
        <v>39</v>
      </c>
      <c r="K297" s="49" t="s">
        <v>49</v>
      </c>
      <c r="L297" s="49" t="s">
        <v>41</v>
      </c>
    </row>
    <row r="298" spans="1:12" x14ac:dyDescent="0.3">
      <c r="A298">
        <v>10255</v>
      </c>
      <c r="B298" s="48">
        <v>45371</v>
      </c>
      <c r="C298" s="49" t="s">
        <v>77</v>
      </c>
      <c r="D298" s="49" t="s">
        <v>52</v>
      </c>
      <c r="E298" s="49" t="s">
        <v>75</v>
      </c>
      <c r="F298" s="49" t="s">
        <v>100</v>
      </c>
      <c r="G298">
        <v>5</v>
      </c>
      <c r="H298">
        <v>5999</v>
      </c>
      <c r="I298">
        <v>0.1</v>
      </c>
      <c r="J298" s="49" t="s">
        <v>108</v>
      </c>
      <c r="K298" s="49" t="s">
        <v>49</v>
      </c>
      <c r="L298" s="49" t="s">
        <v>41</v>
      </c>
    </row>
    <row r="299" spans="1:12" x14ac:dyDescent="0.3">
      <c r="A299">
        <v>10093</v>
      </c>
      <c r="B299" s="48">
        <v>45505</v>
      </c>
      <c r="C299" s="49" t="s">
        <v>116</v>
      </c>
      <c r="D299" s="49" t="s">
        <v>74</v>
      </c>
      <c r="E299" s="49" t="s">
        <v>76</v>
      </c>
      <c r="F299" s="49" t="s">
        <v>82</v>
      </c>
      <c r="G299">
        <v>-1</v>
      </c>
      <c r="H299">
        <v>8999</v>
      </c>
      <c r="I299">
        <v>0.1</v>
      </c>
      <c r="J299" s="49" t="s">
        <v>108</v>
      </c>
      <c r="K299" s="49" t="s">
        <v>65</v>
      </c>
      <c r="L299" s="49" t="s">
        <v>41</v>
      </c>
    </row>
    <row r="300" spans="1:12" x14ac:dyDescent="0.3">
      <c r="A300">
        <v>10305</v>
      </c>
      <c r="B300" s="48">
        <v>45480</v>
      </c>
      <c r="C300" s="49" t="s">
        <v>80</v>
      </c>
      <c r="D300" s="49" t="s">
        <v>95</v>
      </c>
      <c r="E300" s="49" t="s">
        <v>53</v>
      </c>
      <c r="F300" s="49" t="s">
        <v>86</v>
      </c>
      <c r="G300">
        <v>1</v>
      </c>
      <c r="H300">
        <v>599</v>
      </c>
      <c r="I300">
        <v>0.1</v>
      </c>
      <c r="J300" s="49" t="s">
        <v>44</v>
      </c>
      <c r="K300" s="49" t="s">
        <v>40</v>
      </c>
      <c r="L300" s="49" t="s">
        <v>50</v>
      </c>
    </row>
    <row r="301" spans="1:12" x14ac:dyDescent="0.3">
      <c r="A301">
        <v>10021</v>
      </c>
      <c r="B301" s="48"/>
      <c r="C301" s="49" t="s">
        <v>117</v>
      </c>
      <c r="D301" s="49" t="s">
        <v>74</v>
      </c>
      <c r="E301" s="49" t="s">
        <v>75</v>
      </c>
      <c r="F301" s="49" t="s">
        <v>100</v>
      </c>
      <c r="G301">
        <v>4</v>
      </c>
      <c r="H301">
        <v>5999</v>
      </c>
      <c r="I301">
        <v>0</v>
      </c>
      <c r="J301" s="49" t="s">
        <v>109</v>
      </c>
      <c r="K301" s="49" t="s">
        <v>65</v>
      </c>
      <c r="L301" s="49" t="s">
        <v>50</v>
      </c>
    </row>
    <row r="302" spans="1:12" x14ac:dyDescent="0.3">
      <c r="A302">
        <v>10090</v>
      </c>
      <c r="B302" s="48">
        <v>45531</v>
      </c>
      <c r="C302" s="49" t="s">
        <v>94</v>
      </c>
      <c r="D302" s="49" t="s">
        <v>52</v>
      </c>
      <c r="E302" s="49" t="s">
        <v>53</v>
      </c>
      <c r="F302" s="49" t="s">
        <v>60</v>
      </c>
      <c r="G302">
        <v>4</v>
      </c>
      <c r="H302">
        <v>349</v>
      </c>
      <c r="I302">
        <v>0.05</v>
      </c>
      <c r="J302" s="49" t="s">
        <v>39</v>
      </c>
      <c r="K302" s="49" t="s">
        <v>57</v>
      </c>
      <c r="L302" s="49" t="s">
        <v>41</v>
      </c>
    </row>
    <row r="303" spans="1:12" x14ac:dyDescent="0.3">
      <c r="A303">
        <v>10123</v>
      </c>
      <c r="B303" s="48">
        <v>45356</v>
      </c>
      <c r="C303" s="49" t="s">
        <v>36</v>
      </c>
      <c r="D303" s="49" t="s">
        <v>72</v>
      </c>
      <c r="E303" s="49" t="s">
        <v>69</v>
      </c>
      <c r="F303" s="49" t="s">
        <v>82</v>
      </c>
      <c r="G303">
        <v>2</v>
      </c>
      <c r="H303">
        <v>8999</v>
      </c>
      <c r="I303">
        <v>0.05</v>
      </c>
      <c r="J303" s="49" t="s">
        <v>109</v>
      </c>
      <c r="K303" s="49" t="s">
        <v>40</v>
      </c>
      <c r="L303" s="49" t="s">
        <v>41</v>
      </c>
    </row>
    <row r="304" spans="1:12" x14ac:dyDescent="0.3">
      <c r="A304">
        <v>10210</v>
      </c>
      <c r="B304" s="48">
        <v>45571</v>
      </c>
      <c r="C304" s="49" t="s">
        <v>110</v>
      </c>
      <c r="D304" s="49" t="s">
        <v>72</v>
      </c>
      <c r="E304" s="49" t="s">
        <v>69</v>
      </c>
      <c r="F304" s="49" t="s">
        <v>68</v>
      </c>
      <c r="G304">
        <v>6</v>
      </c>
      <c r="H304">
        <v>6999</v>
      </c>
      <c r="I304">
        <v>0.1</v>
      </c>
      <c r="J304" s="49" t="s">
        <v>109</v>
      </c>
      <c r="K304" s="49" t="s">
        <v>57</v>
      </c>
      <c r="L304" s="49" t="s">
        <v>46</v>
      </c>
    </row>
    <row r="305" spans="1:12" x14ac:dyDescent="0.3">
      <c r="A305">
        <v>10230</v>
      </c>
      <c r="B305" s="48">
        <v>45342</v>
      </c>
      <c r="C305" s="49" t="s">
        <v>93</v>
      </c>
      <c r="D305" s="49" t="s">
        <v>95</v>
      </c>
      <c r="E305" s="49" t="s">
        <v>55</v>
      </c>
      <c r="F305" s="49" t="s">
        <v>88</v>
      </c>
      <c r="G305">
        <v>6</v>
      </c>
      <c r="H305">
        <v>2499</v>
      </c>
      <c r="I305">
        <v>0.1</v>
      </c>
      <c r="J305" s="49" t="s">
        <v>109</v>
      </c>
      <c r="K305" s="49" t="s">
        <v>40</v>
      </c>
      <c r="L305" s="49" t="s">
        <v>41</v>
      </c>
    </row>
    <row r="306" spans="1:12" x14ac:dyDescent="0.3">
      <c r="A306">
        <v>10267</v>
      </c>
      <c r="B306" s="48">
        <v>45440</v>
      </c>
      <c r="C306" s="49" t="s">
        <v>94</v>
      </c>
      <c r="D306" s="49" t="s">
        <v>74</v>
      </c>
      <c r="E306" s="49" t="s">
        <v>53</v>
      </c>
      <c r="F306" s="49" t="s">
        <v>54</v>
      </c>
      <c r="G306">
        <v>5</v>
      </c>
      <c r="H306">
        <v>149</v>
      </c>
      <c r="I306">
        <v>0.15</v>
      </c>
      <c r="J306" s="49" t="s">
        <v>109</v>
      </c>
      <c r="K306" s="49" t="s">
        <v>40</v>
      </c>
      <c r="L306" s="49" t="s">
        <v>41</v>
      </c>
    </row>
    <row r="307" spans="1:12" x14ac:dyDescent="0.3">
      <c r="A307">
        <v>10139</v>
      </c>
      <c r="B307" s="48"/>
      <c r="C307" s="49" t="s">
        <v>42</v>
      </c>
      <c r="D307" s="49" t="s">
        <v>72</v>
      </c>
      <c r="E307" s="49" t="s">
        <v>76</v>
      </c>
      <c r="F307" s="49" t="s">
        <v>104</v>
      </c>
      <c r="G307">
        <v>2</v>
      </c>
      <c r="H307">
        <v>4999</v>
      </c>
      <c r="I307">
        <v>0.05</v>
      </c>
      <c r="J307" s="49" t="s">
        <v>109</v>
      </c>
      <c r="K307" s="49" t="s">
        <v>40</v>
      </c>
      <c r="L307" s="49" t="s">
        <v>50</v>
      </c>
    </row>
    <row r="308" spans="1:12" x14ac:dyDescent="0.3">
      <c r="A308">
        <v>10074</v>
      </c>
      <c r="B308" s="48">
        <v>45463</v>
      </c>
      <c r="C308" s="49" t="s">
        <v>51</v>
      </c>
      <c r="D308" s="49" t="s">
        <v>95</v>
      </c>
      <c r="E308" s="49" t="s">
        <v>69</v>
      </c>
      <c r="F308" s="49" t="s">
        <v>85</v>
      </c>
      <c r="G308">
        <v>6</v>
      </c>
      <c r="H308">
        <v>24999</v>
      </c>
      <c r="I308">
        <v>0.1</v>
      </c>
      <c r="J308" s="49" t="s">
        <v>109</v>
      </c>
      <c r="K308" s="49" t="s">
        <v>45</v>
      </c>
      <c r="L308" s="49" t="s">
        <v>41</v>
      </c>
    </row>
    <row r="309" spans="1:12" x14ac:dyDescent="0.3">
      <c r="A309">
        <v>10106</v>
      </c>
      <c r="B309" s="48">
        <v>45387</v>
      </c>
      <c r="C309" s="49" t="s">
        <v>110</v>
      </c>
      <c r="D309" s="49" t="s">
        <v>95</v>
      </c>
      <c r="E309" s="49" t="s">
        <v>75</v>
      </c>
      <c r="F309" s="49" t="s">
        <v>99</v>
      </c>
      <c r="G309">
        <v>1</v>
      </c>
      <c r="H309">
        <v>12999</v>
      </c>
      <c r="I309">
        <v>0.05</v>
      </c>
      <c r="J309" s="49" t="s">
        <v>204</v>
      </c>
      <c r="K309" s="49" t="s">
        <v>65</v>
      </c>
      <c r="L309" s="49" t="s">
        <v>41</v>
      </c>
    </row>
    <row r="310" spans="1:12" x14ac:dyDescent="0.3">
      <c r="A310">
        <v>10065</v>
      </c>
      <c r="B310" s="48"/>
      <c r="C310" s="49" t="s">
        <v>96</v>
      </c>
      <c r="D310" s="49" t="s">
        <v>74</v>
      </c>
      <c r="E310" s="49" t="s">
        <v>75</v>
      </c>
      <c r="F310" s="49" t="s">
        <v>38</v>
      </c>
      <c r="G310">
        <v>3</v>
      </c>
      <c r="H310">
        <v>2999</v>
      </c>
      <c r="I310">
        <v>0</v>
      </c>
      <c r="J310" s="49" t="s">
        <v>39</v>
      </c>
      <c r="K310" s="49" t="s">
        <v>57</v>
      </c>
      <c r="L310" s="49" t="s">
        <v>41</v>
      </c>
    </row>
    <row r="311" spans="1:12" x14ac:dyDescent="0.3">
      <c r="A311">
        <v>10243</v>
      </c>
      <c r="B311" s="48">
        <v>45316</v>
      </c>
      <c r="C311" s="49" t="s">
        <v>112</v>
      </c>
      <c r="D311" s="49" t="s">
        <v>72</v>
      </c>
      <c r="E311" s="49" t="s">
        <v>55</v>
      </c>
      <c r="F311" s="49" t="s">
        <v>88</v>
      </c>
      <c r="G311">
        <v>4</v>
      </c>
      <c r="H311">
        <v>2499</v>
      </c>
      <c r="I311">
        <v>0.1</v>
      </c>
      <c r="J311" s="49" t="s">
        <v>44</v>
      </c>
      <c r="K311" s="49" t="s">
        <v>40</v>
      </c>
      <c r="L311" s="49" t="s">
        <v>41</v>
      </c>
    </row>
    <row r="312" spans="1:12" x14ac:dyDescent="0.3">
      <c r="A312">
        <v>10213</v>
      </c>
      <c r="B312" s="48">
        <v>45416</v>
      </c>
      <c r="C312" s="49" t="s">
        <v>106</v>
      </c>
      <c r="D312" s="49" t="s">
        <v>74</v>
      </c>
      <c r="E312" s="49" t="s">
        <v>55</v>
      </c>
      <c r="F312" s="49" t="s">
        <v>73</v>
      </c>
      <c r="G312">
        <v>4</v>
      </c>
      <c r="H312">
        <v>5499</v>
      </c>
      <c r="I312">
        <v>0.1</v>
      </c>
      <c r="J312" s="49" t="s">
        <v>108</v>
      </c>
      <c r="K312" s="49" t="s">
        <v>65</v>
      </c>
      <c r="L312" s="49" t="s">
        <v>41</v>
      </c>
    </row>
    <row r="313" spans="1:12" x14ac:dyDescent="0.3">
      <c r="A313">
        <v>10146</v>
      </c>
      <c r="B313" s="48">
        <v>45757</v>
      </c>
      <c r="C313" s="49" t="s">
        <v>96</v>
      </c>
      <c r="D313" s="49" t="s">
        <v>74</v>
      </c>
      <c r="E313" s="49" t="s">
        <v>55</v>
      </c>
      <c r="F313" s="49" t="s">
        <v>103</v>
      </c>
      <c r="G313">
        <v>1</v>
      </c>
      <c r="H313">
        <v>999</v>
      </c>
      <c r="I313">
        <v>0.1</v>
      </c>
      <c r="J313" s="49" t="s">
        <v>39</v>
      </c>
      <c r="K313" s="49" t="s">
        <v>65</v>
      </c>
      <c r="L313" s="49" t="s">
        <v>50</v>
      </c>
    </row>
    <row r="314" spans="1:12" x14ac:dyDescent="0.3">
      <c r="A314">
        <v>10303</v>
      </c>
      <c r="B314" s="48">
        <v>45370</v>
      </c>
      <c r="C314" s="49" t="s">
        <v>47</v>
      </c>
      <c r="D314" s="49" t="s">
        <v>95</v>
      </c>
      <c r="E314" s="49" t="s">
        <v>53</v>
      </c>
      <c r="F314" s="49" t="s">
        <v>54</v>
      </c>
      <c r="G314">
        <v>4</v>
      </c>
      <c r="H314">
        <v>149</v>
      </c>
      <c r="I314">
        <v>0.05</v>
      </c>
      <c r="J314" s="49" t="s">
        <v>204</v>
      </c>
      <c r="K314" s="49" t="s">
        <v>40</v>
      </c>
      <c r="L314" s="49" t="s">
        <v>46</v>
      </c>
    </row>
    <row r="315" spans="1:12" x14ac:dyDescent="0.3">
      <c r="A315">
        <v>10047</v>
      </c>
      <c r="B315" s="48">
        <v>45629</v>
      </c>
      <c r="C315" s="49" t="s">
        <v>89</v>
      </c>
      <c r="D315" s="49" t="s">
        <v>72</v>
      </c>
      <c r="E315" s="49" t="s">
        <v>78</v>
      </c>
      <c r="F315" s="49" t="s">
        <v>92</v>
      </c>
      <c r="G315">
        <v>3</v>
      </c>
      <c r="H315">
        <v>799</v>
      </c>
      <c r="I315">
        <v>0.1</v>
      </c>
      <c r="J315" s="49" t="s">
        <v>67</v>
      </c>
      <c r="K315" s="49" t="s">
        <v>40</v>
      </c>
      <c r="L315" s="49" t="s">
        <v>41</v>
      </c>
    </row>
    <row r="316" spans="1:12" x14ac:dyDescent="0.3">
      <c r="A316">
        <v>10092</v>
      </c>
      <c r="B316" s="48"/>
      <c r="C316" s="49" t="s">
        <v>96</v>
      </c>
      <c r="D316" s="49" t="s">
        <v>59</v>
      </c>
      <c r="E316" s="49" t="s">
        <v>76</v>
      </c>
      <c r="F316" s="49" t="s">
        <v>68</v>
      </c>
      <c r="G316">
        <v>1</v>
      </c>
      <c r="H316">
        <v>6999</v>
      </c>
      <c r="I316">
        <v>0.1</v>
      </c>
      <c r="J316" s="49" t="s">
        <v>44</v>
      </c>
      <c r="K316" s="49" t="s">
        <v>45</v>
      </c>
      <c r="L316" s="49" t="s">
        <v>41</v>
      </c>
    </row>
    <row r="317" spans="1:12" x14ac:dyDescent="0.3">
      <c r="A317">
        <v>10005</v>
      </c>
      <c r="B317" s="48">
        <v>45603</v>
      </c>
      <c r="C317" s="49" t="s">
        <v>97</v>
      </c>
      <c r="D317" s="49" t="s">
        <v>59</v>
      </c>
      <c r="E317" s="49" t="s">
        <v>69</v>
      </c>
      <c r="F317" s="49" t="s">
        <v>104</v>
      </c>
      <c r="G317">
        <v>3</v>
      </c>
      <c r="H317">
        <v>4999</v>
      </c>
      <c r="I317">
        <v>0</v>
      </c>
      <c r="J317" s="49" t="s">
        <v>67</v>
      </c>
      <c r="K317" s="49" t="s">
        <v>45</v>
      </c>
      <c r="L317" s="49" t="s">
        <v>41</v>
      </c>
    </row>
    <row r="318" spans="1:12" x14ac:dyDescent="0.3">
      <c r="A318">
        <v>10043</v>
      </c>
      <c r="B318" s="48">
        <v>45788</v>
      </c>
      <c r="C318" s="49" t="s">
        <v>51</v>
      </c>
      <c r="D318" s="49" t="s">
        <v>72</v>
      </c>
      <c r="E318" s="49" t="s">
        <v>53</v>
      </c>
      <c r="F318" s="49" t="s">
        <v>101</v>
      </c>
      <c r="G318">
        <v>2</v>
      </c>
      <c r="H318">
        <v>99</v>
      </c>
      <c r="I318">
        <v>0.05</v>
      </c>
      <c r="J318" s="49" t="s">
        <v>109</v>
      </c>
      <c r="K318" s="49" t="s">
        <v>40</v>
      </c>
      <c r="L318" s="49" t="s">
        <v>50</v>
      </c>
    </row>
    <row r="319" spans="1:12" x14ac:dyDescent="0.3">
      <c r="A319">
        <v>10249</v>
      </c>
      <c r="B319" s="48">
        <v>45371</v>
      </c>
      <c r="C319" s="49" t="s">
        <v>47</v>
      </c>
      <c r="D319" s="49" t="s">
        <v>95</v>
      </c>
      <c r="E319" s="49" t="s">
        <v>69</v>
      </c>
      <c r="F319" s="49" t="s">
        <v>61</v>
      </c>
      <c r="G319">
        <v>0</v>
      </c>
      <c r="H319">
        <v>18999</v>
      </c>
      <c r="I319">
        <v>0.05</v>
      </c>
      <c r="J319" s="49" t="s">
        <v>44</v>
      </c>
      <c r="K319" s="49" t="s">
        <v>40</v>
      </c>
      <c r="L319" s="49" t="s">
        <v>41</v>
      </c>
    </row>
    <row r="320" spans="1:12" x14ac:dyDescent="0.3">
      <c r="A320">
        <v>10010</v>
      </c>
      <c r="B320" s="48">
        <v>45767</v>
      </c>
      <c r="C320" s="49" t="s">
        <v>42</v>
      </c>
      <c r="D320" s="49" t="s">
        <v>95</v>
      </c>
      <c r="E320" s="49" t="s">
        <v>53</v>
      </c>
      <c r="F320" s="49" t="s">
        <v>54</v>
      </c>
      <c r="G320">
        <v>5</v>
      </c>
      <c r="H320">
        <v>149</v>
      </c>
      <c r="I320">
        <v>0</v>
      </c>
      <c r="J320" s="49" t="s">
        <v>44</v>
      </c>
      <c r="K320" s="49" t="s">
        <v>57</v>
      </c>
      <c r="L320" s="49" t="s">
        <v>41</v>
      </c>
    </row>
    <row r="321" spans="1:12" x14ac:dyDescent="0.3">
      <c r="A321">
        <v>10081</v>
      </c>
      <c r="B321" s="48">
        <v>45348</v>
      </c>
      <c r="C321" s="49" t="s">
        <v>114</v>
      </c>
      <c r="D321" s="49" t="s">
        <v>59</v>
      </c>
      <c r="E321" s="49" t="s">
        <v>76</v>
      </c>
      <c r="F321" s="49" t="s">
        <v>68</v>
      </c>
      <c r="G321">
        <v>2</v>
      </c>
      <c r="H321">
        <v>6999</v>
      </c>
      <c r="I321">
        <v>0</v>
      </c>
      <c r="J321" s="49" t="s">
        <v>204</v>
      </c>
      <c r="K321" s="49" t="s">
        <v>45</v>
      </c>
      <c r="L321" s="49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9"/>
  <sheetViews>
    <sheetView showGridLines="0" zoomScaleNormal="100" workbookViewId="0">
      <pane ySplit="1" topLeftCell="A2" activePane="bottomLeft" state="frozen"/>
      <selection pane="bottomLeft" activeCell="J299" sqref="J299"/>
    </sheetView>
  </sheetViews>
  <sheetFormatPr defaultColWidth="8.6640625" defaultRowHeight="14.4" x14ac:dyDescent="0.3"/>
  <cols>
    <col min="1" max="1" width="10" customWidth="1"/>
    <col min="2" max="2" width="13" style="21" customWidth="1"/>
    <col min="3" max="3" width="20" customWidth="1"/>
    <col min="4" max="4" width="10" customWidth="1"/>
    <col min="5" max="5" width="20.21875" customWidth="1"/>
    <col min="6" max="6" width="22" customWidth="1"/>
    <col min="7" max="7" width="10" customWidth="1"/>
    <col min="8" max="8" width="12.77734375" style="19" customWidth="1"/>
    <col min="9" max="10" width="13.33203125" style="20" customWidth="1"/>
    <col min="11" max="11" width="20.6640625" bestFit="1" customWidth="1"/>
    <col min="12" max="12" width="17.6640625" customWidth="1"/>
    <col min="13" max="13" width="13.77734375" customWidth="1"/>
    <col min="14" max="14" width="10.5546875" style="21" bestFit="1" customWidth="1"/>
  </cols>
  <sheetData>
    <row r="1" spans="1:14" s="22" customFormat="1" x14ac:dyDescent="0.3">
      <c r="A1" s="36" t="s">
        <v>24</v>
      </c>
      <c r="B1" s="37" t="s">
        <v>25</v>
      </c>
      <c r="C1" s="38" t="s">
        <v>26</v>
      </c>
      <c r="D1" s="38" t="s">
        <v>208</v>
      </c>
      <c r="E1" s="38" t="s">
        <v>28</v>
      </c>
      <c r="F1" s="38" t="s">
        <v>29</v>
      </c>
      <c r="G1" s="38" t="s">
        <v>200</v>
      </c>
      <c r="H1" s="39" t="s">
        <v>201</v>
      </c>
      <c r="I1" s="40" t="s">
        <v>32</v>
      </c>
      <c r="J1" s="40" t="s">
        <v>169</v>
      </c>
      <c r="K1" s="38" t="s">
        <v>209</v>
      </c>
      <c r="L1" s="38" t="s">
        <v>34</v>
      </c>
      <c r="M1" s="41" t="s">
        <v>207</v>
      </c>
      <c r="N1" s="23"/>
    </row>
    <row r="2" spans="1:14" x14ac:dyDescent="0.3">
      <c r="A2" s="34">
        <v>10261</v>
      </c>
      <c r="B2" s="21">
        <v>45389</v>
      </c>
      <c r="C2" s="25" t="s">
        <v>36</v>
      </c>
      <c r="D2" s="25" t="s">
        <v>74</v>
      </c>
      <c r="E2" s="25" t="s">
        <v>37</v>
      </c>
      <c r="F2" s="25" t="s">
        <v>38</v>
      </c>
      <c r="G2" s="25">
        <v>1</v>
      </c>
      <c r="H2" s="27">
        <v>2999</v>
      </c>
      <c r="I2" s="28">
        <v>0.05</v>
      </c>
      <c r="J2" s="28">
        <v>2849.0499999999997</v>
      </c>
      <c r="K2" s="25" t="s">
        <v>39</v>
      </c>
      <c r="L2" s="25" t="s">
        <v>40</v>
      </c>
      <c r="M2" s="35" t="s">
        <v>41</v>
      </c>
    </row>
    <row r="3" spans="1:14" x14ac:dyDescent="0.3">
      <c r="A3" s="34">
        <v>10205</v>
      </c>
      <c r="B3" s="26">
        <v>45316</v>
      </c>
      <c r="C3" s="25" t="s">
        <v>42</v>
      </c>
      <c r="D3" s="25" t="s">
        <v>95</v>
      </c>
      <c r="E3" s="25" t="s">
        <v>75</v>
      </c>
      <c r="F3" s="25" t="s">
        <v>43</v>
      </c>
      <c r="G3" s="25">
        <v>2</v>
      </c>
      <c r="H3" s="27">
        <v>6499</v>
      </c>
      <c r="I3" s="28">
        <v>0.1</v>
      </c>
      <c r="J3" s="28">
        <v>11698.2</v>
      </c>
      <c r="K3" s="25" t="s">
        <v>44</v>
      </c>
      <c r="L3" s="25" t="s">
        <v>45</v>
      </c>
      <c r="M3" s="35" t="s">
        <v>46</v>
      </c>
    </row>
    <row r="4" spans="1:14" x14ac:dyDescent="0.3">
      <c r="A4" s="34">
        <v>10175</v>
      </c>
      <c r="B4" s="26">
        <v>45336</v>
      </c>
      <c r="C4" s="25" t="s">
        <v>47</v>
      </c>
      <c r="D4" s="25" t="s">
        <v>95</v>
      </c>
      <c r="E4" s="25" t="s">
        <v>75</v>
      </c>
      <c r="F4" s="25" t="s">
        <v>48</v>
      </c>
      <c r="G4" s="25">
        <v>4</v>
      </c>
      <c r="H4" s="27">
        <v>799</v>
      </c>
      <c r="I4" s="28">
        <v>0.05</v>
      </c>
      <c r="J4" s="28">
        <v>3036.2</v>
      </c>
      <c r="K4" s="25" t="s">
        <v>44</v>
      </c>
      <c r="L4" s="25" t="s">
        <v>49</v>
      </c>
      <c r="M4" s="35" t="s">
        <v>50</v>
      </c>
    </row>
    <row r="5" spans="1:14" x14ac:dyDescent="0.3">
      <c r="A5" s="34">
        <v>10111</v>
      </c>
      <c r="B5" s="26">
        <v>45482</v>
      </c>
      <c r="C5" s="25" t="s">
        <v>51</v>
      </c>
      <c r="D5" s="25" t="s">
        <v>52</v>
      </c>
      <c r="E5" s="25" t="s">
        <v>53</v>
      </c>
      <c r="F5" s="25" t="s">
        <v>54</v>
      </c>
      <c r="G5" s="25">
        <v>4</v>
      </c>
      <c r="H5" s="27">
        <v>149</v>
      </c>
      <c r="I5" s="28">
        <v>0.1</v>
      </c>
      <c r="J5" s="28">
        <v>536.4</v>
      </c>
      <c r="K5" s="25" t="s">
        <v>67</v>
      </c>
      <c r="L5" s="25" t="s">
        <v>49</v>
      </c>
      <c r="M5" s="35" t="s">
        <v>41</v>
      </c>
    </row>
    <row r="6" spans="1:14" x14ac:dyDescent="0.3">
      <c r="A6" s="34">
        <v>10071</v>
      </c>
      <c r="B6" s="26">
        <v>45734</v>
      </c>
      <c r="C6" s="25" t="s">
        <v>97</v>
      </c>
      <c r="D6" s="25" t="s">
        <v>72</v>
      </c>
      <c r="E6" s="25" t="s">
        <v>55</v>
      </c>
      <c r="F6" s="25" t="s">
        <v>56</v>
      </c>
      <c r="G6" s="25">
        <v>5</v>
      </c>
      <c r="H6" s="27">
        <v>3999</v>
      </c>
      <c r="I6" s="28">
        <v>0.05</v>
      </c>
      <c r="J6" s="28">
        <v>18995.25</v>
      </c>
      <c r="K6" s="25" t="s">
        <v>44</v>
      </c>
      <c r="L6" s="25" t="s">
        <v>57</v>
      </c>
      <c r="M6" s="35" t="s">
        <v>50</v>
      </c>
    </row>
    <row r="7" spans="1:14" x14ac:dyDescent="0.3">
      <c r="A7" s="34">
        <v>10128</v>
      </c>
      <c r="B7" s="26">
        <v>45344</v>
      </c>
      <c r="C7" s="25" t="s">
        <v>96</v>
      </c>
      <c r="D7" s="25" t="s">
        <v>59</v>
      </c>
      <c r="E7" s="25" t="s">
        <v>53</v>
      </c>
      <c r="F7" s="25" t="s">
        <v>58</v>
      </c>
      <c r="G7" s="25">
        <v>1</v>
      </c>
      <c r="H7" s="27">
        <v>429</v>
      </c>
      <c r="I7" s="28">
        <v>0.05</v>
      </c>
      <c r="J7" s="28">
        <v>407.54999999999995</v>
      </c>
      <c r="K7" s="25" t="s">
        <v>67</v>
      </c>
      <c r="L7" s="25" t="s">
        <v>49</v>
      </c>
      <c r="M7" s="35" t="s">
        <v>41</v>
      </c>
    </row>
    <row r="8" spans="1:14" x14ac:dyDescent="0.3">
      <c r="A8" s="34">
        <v>10308</v>
      </c>
      <c r="B8" s="26">
        <v>45349</v>
      </c>
      <c r="C8" s="25" t="s">
        <v>116</v>
      </c>
      <c r="D8" s="25" t="s">
        <v>59</v>
      </c>
      <c r="E8" s="25" t="s">
        <v>53</v>
      </c>
      <c r="F8" s="25" t="s">
        <v>60</v>
      </c>
      <c r="G8" s="25">
        <v>3</v>
      </c>
      <c r="H8" s="27">
        <v>349</v>
      </c>
      <c r="I8" s="28">
        <v>0.1</v>
      </c>
      <c r="J8" s="28">
        <v>942.30000000000007</v>
      </c>
      <c r="K8" s="25" t="s">
        <v>67</v>
      </c>
      <c r="L8" s="25" t="s">
        <v>45</v>
      </c>
      <c r="M8" s="35" t="s">
        <v>50</v>
      </c>
    </row>
    <row r="9" spans="1:14" x14ac:dyDescent="0.3">
      <c r="A9" s="34">
        <v>10265</v>
      </c>
      <c r="B9" s="26">
        <v>45667</v>
      </c>
      <c r="C9" s="25" t="s">
        <v>51</v>
      </c>
      <c r="D9" s="25" t="s">
        <v>72</v>
      </c>
      <c r="E9" s="25" t="s">
        <v>69</v>
      </c>
      <c r="F9" s="25" t="s">
        <v>61</v>
      </c>
      <c r="G9" s="25">
        <v>3</v>
      </c>
      <c r="H9" s="27">
        <v>18999</v>
      </c>
      <c r="I9" s="28">
        <v>0</v>
      </c>
      <c r="J9" s="28">
        <v>56997</v>
      </c>
      <c r="K9" s="25" t="s">
        <v>39</v>
      </c>
      <c r="L9" s="25" t="s">
        <v>57</v>
      </c>
      <c r="M9" s="35" t="s">
        <v>41</v>
      </c>
    </row>
    <row r="10" spans="1:14" x14ac:dyDescent="0.3">
      <c r="A10" s="34">
        <v>10198</v>
      </c>
      <c r="B10" s="26">
        <v>45645</v>
      </c>
      <c r="C10" s="25" t="s">
        <v>62</v>
      </c>
      <c r="D10" s="25" t="s">
        <v>59</v>
      </c>
      <c r="E10" s="25" t="s">
        <v>69</v>
      </c>
      <c r="F10" s="25" t="s">
        <v>63</v>
      </c>
      <c r="G10" s="25">
        <v>4</v>
      </c>
      <c r="H10" s="27">
        <v>15999</v>
      </c>
      <c r="I10" s="28">
        <v>0.05</v>
      </c>
      <c r="J10" s="28">
        <v>60796.2</v>
      </c>
      <c r="K10" s="25" t="s">
        <v>67</v>
      </c>
      <c r="L10" s="25" t="s">
        <v>49</v>
      </c>
      <c r="M10" s="35" t="s">
        <v>46</v>
      </c>
    </row>
    <row r="11" spans="1:14" x14ac:dyDescent="0.3">
      <c r="A11" s="34">
        <v>10309</v>
      </c>
      <c r="B11" s="26">
        <v>45686</v>
      </c>
      <c r="C11" s="25" t="s">
        <v>112</v>
      </c>
      <c r="D11" s="25" t="s">
        <v>74</v>
      </c>
      <c r="E11" s="25" t="s">
        <v>75</v>
      </c>
      <c r="F11" s="25" t="s">
        <v>64</v>
      </c>
      <c r="G11" s="25">
        <v>2</v>
      </c>
      <c r="H11" s="27">
        <v>1799</v>
      </c>
      <c r="I11" s="28">
        <v>0.05</v>
      </c>
      <c r="J11" s="28">
        <v>3418.1</v>
      </c>
      <c r="K11" s="25" t="s">
        <v>39</v>
      </c>
      <c r="L11" s="25" t="s">
        <v>65</v>
      </c>
      <c r="M11" s="35" t="s">
        <v>41</v>
      </c>
    </row>
    <row r="12" spans="1:14" x14ac:dyDescent="0.3">
      <c r="A12" s="34">
        <v>10145</v>
      </c>
      <c r="B12" s="26">
        <v>45545</v>
      </c>
      <c r="C12" s="25" t="s">
        <v>107</v>
      </c>
      <c r="D12" s="25" t="s">
        <v>95</v>
      </c>
      <c r="E12" s="25" t="s">
        <v>75</v>
      </c>
      <c r="F12" s="25" t="s">
        <v>66</v>
      </c>
      <c r="G12" s="25">
        <v>5</v>
      </c>
      <c r="H12" s="27">
        <v>1499</v>
      </c>
      <c r="I12" s="28">
        <v>0</v>
      </c>
      <c r="J12" s="28">
        <v>7495</v>
      </c>
      <c r="K12" s="25" t="s">
        <v>67</v>
      </c>
      <c r="L12" s="25" t="s">
        <v>65</v>
      </c>
      <c r="M12" s="35" t="s">
        <v>41</v>
      </c>
    </row>
    <row r="13" spans="1:14" x14ac:dyDescent="0.3">
      <c r="A13" s="34">
        <v>10158</v>
      </c>
      <c r="B13" s="26">
        <v>45753</v>
      </c>
      <c r="C13" s="25" t="s">
        <v>42</v>
      </c>
      <c r="D13" s="25" t="s">
        <v>95</v>
      </c>
      <c r="E13" s="25" t="s">
        <v>69</v>
      </c>
      <c r="F13" s="25" t="s">
        <v>68</v>
      </c>
      <c r="G13" s="25">
        <v>4</v>
      </c>
      <c r="H13" s="27">
        <v>6999</v>
      </c>
      <c r="I13" s="28">
        <v>0.1</v>
      </c>
      <c r="J13" s="28">
        <v>25196.400000000001</v>
      </c>
      <c r="K13" s="25" t="s">
        <v>204</v>
      </c>
      <c r="L13" s="25" t="s">
        <v>57</v>
      </c>
      <c r="M13" s="35" t="s">
        <v>46</v>
      </c>
    </row>
    <row r="14" spans="1:14" x14ac:dyDescent="0.3">
      <c r="A14" s="34">
        <v>10073</v>
      </c>
      <c r="B14" s="26">
        <v>45657</v>
      </c>
      <c r="C14" s="25" t="s">
        <v>51</v>
      </c>
      <c r="D14" s="25" t="s">
        <v>72</v>
      </c>
      <c r="E14" s="25" t="s">
        <v>69</v>
      </c>
      <c r="F14" s="25" t="s">
        <v>70</v>
      </c>
      <c r="G14" s="25">
        <v>4</v>
      </c>
      <c r="H14" s="27">
        <v>5499</v>
      </c>
      <c r="I14" s="28">
        <v>0.05</v>
      </c>
      <c r="J14" s="28">
        <v>20896.2</v>
      </c>
      <c r="K14" s="25" t="s">
        <v>39</v>
      </c>
      <c r="L14" s="25" t="s">
        <v>57</v>
      </c>
      <c r="M14" s="35" t="s">
        <v>41</v>
      </c>
    </row>
    <row r="15" spans="1:14" x14ac:dyDescent="0.3">
      <c r="A15" s="34">
        <v>10155</v>
      </c>
      <c r="B15" s="26">
        <v>45731</v>
      </c>
      <c r="C15" s="25" t="s">
        <v>115</v>
      </c>
      <c r="D15" s="25" t="s">
        <v>59</v>
      </c>
      <c r="E15" s="25" t="s">
        <v>69</v>
      </c>
      <c r="F15" s="25" t="s">
        <v>63</v>
      </c>
      <c r="G15" s="25">
        <v>0</v>
      </c>
      <c r="H15" s="27">
        <v>15999</v>
      </c>
      <c r="I15" s="28">
        <v>0.05</v>
      </c>
      <c r="J15" s="28">
        <v>0</v>
      </c>
      <c r="K15" s="25" t="s">
        <v>44</v>
      </c>
      <c r="L15" s="25" t="s">
        <v>45</v>
      </c>
      <c r="M15" s="35" t="s">
        <v>41</v>
      </c>
    </row>
    <row r="16" spans="1:14" x14ac:dyDescent="0.3">
      <c r="A16" s="34">
        <v>10279</v>
      </c>
      <c r="B16" s="26">
        <v>45347</v>
      </c>
      <c r="C16" s="25" t="s">
        <v>71</v>
      </c>
      <c r="D16" s="25" t="s">
        <v>72</v>
      </c>
      <c r="E16" s="25" t="s">
        <v>55</v>
      </c>
      <c r="F16" s="25" t="s">
        <v>73</v>
      </c>
      <c r="G16" s="25">
        <v>6</v>
      </c>
      <c r="H16" s="27">
        <v>5499</v>
      </c>
      <c r="I16" s="28">
        <v>0.1</v>
      </c>
      <c r="J16" s="28">
        <v>29694.600000000002</v>
      </c>
      <c r="K16" s="25" t="s">
        <v>44</v>
      </c>
      <c r="L16" s="25" t="s">
        <v>57</v>
      </c>
      <c r="M16" s="35" t="s">
        <v>41</v>
      </c>
    </row>
    <row r="17" spans="1:13" x14ac:dyDescent="0.3">
      <c r="A17" s="34">
        <v>10219</v>
      </c>
      <c r="B17" s="26">
        <v>45627</v>
      </c>
      <c r="C17" s="25" t="s">
        <v>118</v>
      </c>
      <c r="D17" s="25" t="s">
        <v>74</v>
      </c>
      <c r="E17" s="25" t="s">
        <v>75</v>
      </c>
      <c r="F17" s="25" t="s">
        <v>38</v>
      </c>
      <c r="G17" s="25">
        <v>4</v>
      </c>
      <c r="H17" s="27">
        <v>2999</v>
      </c>
      <c r="I17" s="28">
        <v>0.1</v>
      </c>
      <c r="J17" s="28">
        <v>10796.4</v>
      </c>
      <c r="K17" s="25" t="s">
        <v>39</v>
      </c>
      <c r="L17" s="25" t="s">
        <v>57</v>
      </c>
      <c r="M17" s="35" t="s">
        <v>50</v>
      </c>
    </row>
    <row r="18" spans="1:13" x14ac:dyDescent="0.3">
      <c r="A18" s="34">
        <v>10152</v>
      </c>
      <c r="B18" s="26">
        <v>45684</v>
      </c>
      <c r="C18" s="25" t="s">
        <v>93</v>
      </c>
      <c r="D18" s="25" t="s">
        <v>52</v>
      </c>
      <c r="E18" s="25" t="s">
        <v>75</v>
      </c>
      <c r="F18" s="25" t="s">
        <v>38</v>
      </c>
      <c r="G18" s="25">
        <v>4</v>
      </c>
      <c r="H18" s="27">
        <v>2999</v>
      </c>
      <c r="I18" s="28">
        <v>0.1</v>
      </c>
      <c r="J18" s="28">
        <v>10796.4</v>
      </c>
      <c r="K18" s="25" t="s">
        <v>108</v>
      </c>
      <c r="L18" s="25" t="s">
        <v>49</v>
      </c>
      <c r="M18" s="35" t="s">
        <v>50</v>
      </c>
    </row>
    <row r="19" spans="1:13" x14ac:dyDescent="0.3">
      <c r="A19" s="34">
        <v>10041</v>
      </c>
      <c r="B19" s="26">
        <v>45328</v>
      </c>
      <c r="C19" s="25" t="s">
        <v>106</v>
      </c>
      <c r="D19" s="25" t="s">
        <v>95</v>
      </c>
      <c r="E19" s="25" t="s">
        <v>76</v>
      </c>
      <c r="F19" s="25" t="s">
        <v>68</v>
      </c>
      <c r="G19" s="25">
        <v>6</v>
      </c>
      <c r="H19" s="27">
        <v>6999</v>
      </c>
      <c r="I19" s="28">
        <v>0</v>
      </c>
      <c r="J19" s="28">
        <v>41994</v>
      </c>
      <c r="K19" s="25" t="s">
        <v>108</v>
      </c>
      <c r="L19" s="25" t="s">
        <v>49</v>
      </c>
      <c r="M19" s="35" t="s">
        <v>41</v>
      </c>
    </row>
    <row r="20" spans="1:13" x14ac:dyDescent="0.3">
      <c r="A20" s="34">
        <v>10191</v>
      </c>
      <c r="B20" s="26">
        <v>45901</v>
      </c>
      <c r="C20" s="25" t="s">
        <v>77</v>
      </c>
      <c r="D20" s="25" t="s">
        <v>95</v>
      </c>
      <c r="E20" s="25" t="s">
        <v>78</v>
      </c>
      <c r="F20" s="25" t="s">
        <v>79</v>
      </c>
      <c r="G20" s="25">
        <v>4</v>
      </c>
      <c r="H20" s="27">
        <v>599</v>
      </c>
      <c r="I20" s="28">
        <v>0.05</v>
      </c>
      <c r="J20" s="28">
        <v>2276.1999999999998</v>
      </c>
      <c r="K20" s="25" t="s">
        <v>109</v>
      </c>
      <c r="L20" s="25" t="s">
        <v>45</v>
      </c>
      <c r="M20" s="35" t="s">
        <v>203</v>
      </c>
    </row>
    <row r="21" spans="1:13" x14ac:dyDescent="0.3">
      <c r="A21" s="34">
        <v>10181</v>
      </c>
      <c r="B21" s="26">
        <v>45642</v>
      </c>
      <c r="C21" s="25" t="s">
        <v>80</v>
      </c>
      <c r="D21" s="25" t="s">
        <v>59</v>
      </c>
      <c r="E21" s="25" t="s">
        <v>75</v>
      </c>
      <c r="F21" s="25" t="s">
        <v>43</v>
      </c>
      <c r="G21" s="25">
        <v>5</v>
      </c>
      <c r="H21" s="27">
        <v>6499</v>
      </c>
      <c r="I21" s="28">
        <v>0.1</v>
      </c>
      <c r="J21" s="28">
        <v>29245.5</v>
      </c>
      <c r="K21" s="25" t="s">
        <v>67</v>
      </c>
      <c r="L21" s="25" t="s">
        <v>65</v>
      </c>
      <c r="M21" s="35" t="s">
        <v>50</v>
      </c>
    </row>
    <row r="22" spans="1:13" x14ac:dyDescent="0.3">
      <c r="A22" s="34">
        <v>10238</v>
      </c>
      <c r="B22" s="26">
        <v>45575</v>
      </c>
      <c r="C22" s="25" t="s">
        <v>81</v>
      </c>
      <c r="D22" s="25" t="s">
        <v>59</v>
      </c>
      <c r="E22" s="25" t="s">
        <v>69</v>
      </c>
      <c r="F22" s="25" t="s">
        <v>82</v>
      </c>
      <c r="G22" s="25">
        <v>4</v>
      </c>
      <c r="H22" s="27">
        <v>8999</v>
      </c>
      <c r="I22" s="28">
        <v>0</v>
      </c>
      <c r="J22" s="28">
        <v>35996</v>
      </c>
      <c r="K22" s="25" t="s">
        <v>39</v>
      </c>
      <c r="L22" s="25" t="s">
        <v>40</v>
      </c>
      <c r="M22" s="35" t="s">
        <v>46</v>
      </c>
    </row>
    <row r="23" spans="1:13" x14ac:dyDescent="0.3">
      <c r="A23" s="34">
        <v>10217</v>
      </c>
      <c r="B23" s="26">
        <v>45623</v>
      </c>
      <c r="C23" s="25" t="s">
        <v>77</v>
      </c>
      <c r="D23" s="25" t="s">
        <v>72</v>
      </c>
      <c r="E23" s="25" t="s">
        <v>53</v>
      </c>
      <c r="F23" s="25" t="s">
        <v>58</v>
      </c>
      <c r="G23" s="25">
        <v>2</v>
      </c>
      <c r="H23" s="27">
        <v>429</v>
      </c>
      <c r="I23" s="28">
        <v>0.1</v>
      </c>
      <c r="J23" s="28">
        <v>772.2</v>
      </c>
      <c r="K23" s="25" t="s">
        <v>67</v>
      </c>
      <c r="L23" s="25" t="s">
        <v>57</v>
      </c>
      <c r="M23" s="35" t="s">
        <v>41</v>
      </c>
    </row>
    <row r="24" spans="1:13" x14ac:dyDescent="0.3">
      <c r="A24" s="34">
        <v>10085</v>
      </c>
      <c r="B24" s="26">
        <v>45605</v>
      </c>
      <c r="C24" s="25" t="s">
        <v>77</v>
      </c>
      <c r="D24" s="25" t="s">
        <v>95</v>
      </c>
      <c r="E24" s="25" t="s">
        <v>69</v>
      </c>
      <c r="F24" s="25" t="s">
        <v>83</v>
      </c>
      <c r="G24" s="25">
        <v>4</v>
      </c>
      <c r="H24" s="27">
        <v>1299</v>
      </c>
      <c r="I24" s="28">
        <v>0.1</v>
      </c>
      <c r="J24" s="28">
        <v>4676.4000000000005</v>
      </c>
      <c r="K24" s="25" t="s">
        <v>109</v>
      </c>
      <c r="L24" s="25" t="s">
        <v>57</v>
      </c>
      <c r="M24" s="35" t="s">
        <v>41</v>
      </c>
    </row>
    <row r="25" spans="1:13" x14ac:dyDescent="0.3">
      <c r="A25" s="34">
        <v>10053</v>
      </c>
      <c r="B25" s="26">
        <v>45643</v>
      </c>
      <c r="C25" s="25" t="s">
        <v>84</v>
      </c>
      <c r="D25" s="25" t="s">
        <v>59</v>
      </c>
      <c r="E25" s="25" t="s">
        <v>76</v>
      </c>
      <c r="F25" s="25" t="s">
        <v>85</v>
      </c>
      <c r="G25" s="25">
        <v>6</v>
      </c>
      <c r="H25" s="27">
        <v>24999</v>
      </c>
      <c r="I25" s="28">
        <v>0</v>
      </c>
      <c r="J25" s="28">
        <v>149994</v>
      </c>
      <c r="K25" s="25" t="s">
        <v>108</v>
      </c>
      <c r="L25" s="25" t="s">
        <v>57</v>
      </c>
      <c r="M25" s="35" t="s">
        <v>46</v>
      </c>
    </row>
    <row r="26" spans="1:13" x14ac:dyDescent="0.3">
      <c r="A26" s="34">
        <v>10022</v>
      </c>
      <c r="B26" s="26">
        <v>45665</v>
      </c>
      <c r="C26" s="25" t="s">
        <v>94</v>
      </c>
      <c r="D26" s="25" t="s">
        <v>74</v>
      </c>
      <c r="E26" s="25" t="s">
        <v>76</v>
      </c>
      <c r="F26" s="25" t="s">
        <v>82</v>
      </c>
      <c r="G26" s="25">
        <v>3</v>
      </c>
      <c r="H26" s="27">
        <v>8999</v>
      </c>
      <c r="I26" s="28">
        <v>0.05</v>
      </c>
      <c r="J26" s="28">
        <v>25647.149999999998</v>
      </c>
      <c r="K26" s="25" t="s">
        <v>67</v>
      </c>
      <c r="L26" s="25" t="s">
        <v>40</v>
      </c>
      <c r="M26" s="35" t="s">
        <v>41</v>
      </c>
    </row>
    <row r="27" spans="1:13" x14ac:dyDescent="0.3">
      <c r="A27" s="34">
        <v>10018</v>
      </c>
      <c r="B27" s="26">
        <v>45550</v>
      </c>
      <c r="C27" s="25" t="s">
        <v>89</v>
      </c>
      <c r="D27" s="25" t="s">
        <v>59</v>
      </c>
      <c r="E27" s="25" t="s">
        <v>53</v>
      </c>
      <c r="F27" s="25" t="s">
        <v>86</v>
      </c>
      <c r="G27" s="25">
        <v>3</v>
      </c>
      <c r="H27" s="27">
        <v>599</v>
      </c>
      <c r="I27" s="28">
        <v>0.05</v>
      </c>
      <c r="J27" s="28">
        <v>1707.1499999999999</v>
      </c>
      <c r="K27" s="25" t="s">
        <v>44</v>
      </c>
      <c r="L27" s="25" t="s">
        <v>65</v>
      </c>
      <c r="M27" s="35" t="s">
        <v>203</v>
      </c>
    </row>
    <row r="28" spans="1:13" x14ac:dyDescent="0.3">
      <c r="A28" s="34">
        <v>10089</v>
      </c>
      <c r="B28" s="26">
        <v>45706</v>
      </c>
      <c r="C28" s="25" t="s">
        <v>205</v>
      </c>
      <c r="D28" s="25" t="s">
        <v>74</v>
      </c>
      <c r="E28" s="25" t="s">
        <v>55</v>
      </c>
      <c r="F28" s="25" t="s">
        <v>88</v>
      </c>
      <c r="G28" s="25">
        <v>4</v>
      </c>
      <c r="H28" s="27">
        <v>2499</v>
      </c>
      <c r="I28" s="28">
        <v>0</v>
      </c>
      <c r="J28" s="28">
        <v>9996</v>
      </c>
      <c r="K28" s="25" t="s">
        <v>39</v>
      </c>
      <c r="L28" s="25" t="s">
        <v>45</v>
      </c>
      <c r="M28" s="35" t="s">
        <v>50</v>
      </c>
    </row>
    <row r="29" spans="1:13" x14ac:dyDescent="0.3">
      <c r="A29" s="34">
        <v>10277</v>
      </c>
      <c r="B29" s="26">
        <v>45423</v>
      </c>
      <c r="C29" s="25" t="s">
        <v>89</v>
      </c>
      <c r="D29" s="25" t="s">
        <v>52</v>
      </c>
      <c r="E29" s="25" t="s">
        <v>53</v>
      </c>
      <c r="F29" s="25" t="s">
        <v>90</v>
      </c>
      <c r="G29" s="25">
        <v>6</v>
      </c>
      <c r="H29" s="27">
        <v>199</v>
      </c>
      <c r="I29" s="28">
        <v>0</v>
      </c>
      <c r="J29" s="28">
        <v>1194</v>
      </c>
      <c r="K29" s="25" t="s">
        <v>108</v>
      </c>
      <c r="L29" s="25" t="s">
        <v>45</v>
      </c>
      <c r="M29" s="35" t="s">
        <v>46</v>
      </c>
    </row>
    <row r="30" spans="1:13" x14ac:dyDescent="0.3">
      <c r="A30" s="34">
        <v>10165</v>
      </c>
      <c r="B30" s="26">
        <v>45331</v>
      </c>
      <c r="C30" s="25" t="s">
        <v>106</v>
      </c>
      <c r="D30" s="25" t="s">
        <v>72</v>
      </c>
      <c r="E30" s="25" t="s">
        <v>53</v>
      </c>
      <c r="F30" s="25" t="s">
        <v>91</v>
      </c>
      <c r="G30" s="25">
        <v>6</v>
      </c>
      <c r="H30" s="27">
        <v>249</v>
      </c>
      <c r="I30" s="28">
        <v>0.1</v>
      </c>
      <c r="J30" s="28">
        <v>1344.6000000000001</v>
      </c>
      <c r="K30" s="25" t="s">
        <v>44</v>
      </c>
      <c r="L30" s="25" t="s">
        <v>45</v>
      </c>
      <c r="M30" s="35" t="s">
        <v>41</v>
      </c>
    </row>
    <row r="31" spans="1:13" x14ac:dyDescent="0.3">
      <c r="A31" s="34">
        <v>10300</v>
      </c>
      <c r="B31" s="26">
        <v>45347</v>
      </c>
      <c r="C31" s="25" t="s">
        <v>205</v>
      </c>
      <c r="D31" s="25" t="s">
        <v>72</v>
      </c>
      <c r="E31" s="25" t="s">
        <v>55</v>
      </c>
      <c r="F31" s="25" t="s">
        <v>92</v>
      </c>
      <c r="G31" s="25">
        <v>2</v>
      </c>
      <c r="H31" s="27">
        <v>799</v>
      </c>
      <c r="I31" s="28">
        <v>0.1</v>
      </c>
      <c r="J31" s="28">
        <v>1438.2</v>
      </c>
      <c r="K31" s="25" t="s">
        <v>108</v>
      </c>
      <c r="L31" s="25" t="s">
        <v>45</v>
      </c>
      <c r="M31" s="35" t="s">
        <v>46</v>
      </c>
    </row>
    <row r="32" spans="1:13" x14ac:dyDescent="0.3">
      <c r="A32" s="34">
        <v>10014</v>
      </c>
      <c r="B32" s="26">
        <v>45438</v>
      </c>
      <c r="C32" s="25" t="s">
        <v>93</v>
      </c>
      <c r="D32" s="25" t="s">
        <v>74</v>
      </c>
      <c r="E32" s="25" t="s">
        <v>53</v>
      </c>
      <c r="F32" s="25" t="s">
        <v>58</v>
      </c>
      <c r="G32" s="25">
        <v>4</v>
      </c>
      <c r="H32" s="27">
        <v>429</v>
      </c>
      <c r="I32" s="28">
        <v>0.05</v>
      </c>
      <c r="J32" s="28">
        <v>1630.1999999999998</v>
      </c>
      <c r="K32" s="25" t="s">
        <v>39</v>
      </c>
      <c r="L32" s="25" t="s">
        <v>57</v>
      </c>
      <c r="M32" s="35" t="s">
        <v>41</v>
      </c>
    </row>
    <row r="33" spans="1:13" x14ac:dyDescent="0.3">
      <c r="A33" s="34">
        <v>10133</v>
      </c>
      <c r="B33" s="26">
        <v>45651</v>
      </c>
      <c r="C33" s="25" t="s">
        <v>94</v>
      </c>
      <c r="D33" s="25" t="s">
        <v>95</v>
      </c>
      <c r="E33" s="25" t="s">
        <v>55</v>
      </c>
      <c r="F33" s="25" t="s">
        <v>73</v>
      </c>
      <c r="G33" s="25">
        <v>6</v>
      </c>
      <c r="H33" s="27">
        <v>5499</v>
      </c>
      <c r="I33" s="28">
        <v>0.1</v>
      </c>
      <c r="J33" s="28">
        <v>29694.600000000002</v>
      </c>
      <c r="K33" s="25" t="s">
        <v>44</v>
      </c>
      <c r="L33" s="25" t="s">
        <v>57</v>
      </c>
      <c r="M33" s="35" t="s">
        <v>46</v>
      </c>
    </row>
    <row r="34" spans="1:13" x14ac:dyDescent="0.3">
      <c r="A34" s="34">
        <v>10169</v>
      </c>
      <c r="B34" s="26">
        <v>45761</v>
      </c>
      <c r="C34" s="25" t="s">
        <v>96</v>
      </c>
      <c r="D34" s="25" t="s">
        <v>59</v>
      </c>
      <c r="E34" s="25" t="s">
        <v>53</v>
      </c>
      <c r="F34" s="25" t="s">
        <v>54</v>
      </c>
      <c r="G34" s="25">
        <v>3</v>
      </c>
      <c r="H34" s="27">
        <v>149</v>
      </c>
      <c r="I34" s="28">
        <v>0.1</v>
      </c>
      <c r="J34" s="28">
        <v>402.3</v>
      </c>
      <c r="K34" s="25" t="s">
        <v>39</v>
      </c>
      <c r="L34" s="25" t="s">
        <v>57</v>
      </c>
      <c r="M34" s="35" t="s">
        <v>41</v>
      </c>
    </row>
    <row r="35" spans="1:13" x14ac:dyDescent="0.3">
      <c r="A35" s="34">
        <v>10245</v>
      </c>
      <c r="B35" s="26">
        <v>45507</v>
      </c>
      <c r="C35" s="25" t="s">
        <v>97</v>
      </c>
      <c r="D35" s="25" t="s">
        <v>59</v>
      </c>
      <c r="E35" s="25" t="s">
        <v>55</v>
      </c>
      <c r="F35" s="25" t="s">
        <v>73</v>
      </c>
      <c r="G35" s="25">
        <v>2</v>
      </c>
      <c r="H35" s="27">
        <v>5499</v>
      </c>
      <c r="I35" s="28">
        <v>0.05</v>
      </c>
      <c r="J35" s="28">
        <v>10448.1</v>
      </c>
      <c r="K35" s="25" t="s">
        <v>204</v>
      </c>
      <c r="L35" s="25" t="s">
        <v>65</v>
      </c>
      <c r="M35" s="35" t="s">
        <v>50</v>
      </c>
    </row>
    <row r="36" spans="1:13" x14ac:dyDescent="0.3">
      <c r="A36" s="34">
        <v>10197</v>
      </c>
      <c r="B36" s="26">
        <v>45351</v>
      </c>
      <c r="C36" s="25" t="s">
        <v>80</v>
      </c>
      <c r="D36" s="25" t="s">
        <v>52</v>
      </c>
      <c r="E36" s="25" t="s">
        <v>75</v>
      </c>
      <c r="F36" s="25" t="s">
        <v>66</v>
      </c>
      <c r="G36" s="25">
        <v>3</v>
      </c>
      <c r="H36" s="27">
        <v>1499</v>
      </c>
      <c r="I36" s="28">
        <v>0.1</v>
      </c>
      <c r="J36" s="28">
        <v>4047.3</v>
      </c>
      <c r="K36" s="25" t="s">
        <v>108</v>
      </c>
      <c r="L36" s="25" t="s">
        <v>65</v>
      </c>
      <c r="M36" s="35" t="s">
        <v>50</v>
      </c>
    </row>
    <row r="37" spans="1:13" x14ac:dyDescent="0.3">
      <c r="A37" s="34">
        <v>10140</v>
      </c>
      <c r="B37" s="26">
        <v>45501</v>
      </c>
      <c r="C37" s="25" t="s">
        <v>205</v>
      </c>
      <c r="D37" s="25" t="s">
        <v>95</v>
      </c>
      <c r="E37" s="25" t="s">
        <v>69</v>
      </c>
      <c r="F37" s="25" t="s">
        <v>82</v>
      </c>
      <c r="G37" s="25">
        <v>4</v>
      </c>
      <c r="H37" s="27">
        <v>8999</v>
      </c>
      <c r="I37" s="28">
        <v>0.05</v>
      </c>
      <c r="J37" s="28">
        <v>34196.199999999997</v>
      </c>
      <c r="K37" s="25" t="s">
        <v>39</v>
      </c>
      <c r="L37" s="25" t="s">
        <v>45</v>
      </c>
      <c r="M37" s="35" t="s">
        <v>203</v>
      </c>
    </row>
    <row r="38" spans="1:13" x14ac:dyDescent="0.3">
      <c r="A38" s="34">
        <v>10094</v>
      </c>
      <c r="B38" s="26">
        <v>45689</v>
      </c>
      <c r="C38" s="25" t="s">
        <v>98</v>
      </c>
      <c r="D38" s="25" t="s">
        <v>95</v>
      </c>
      <c r="E38" s="25" t="s">
        <v>75</v>
      </c>
      <c r="F38" s="25" t="s">
        <v>99</v>
      </c>
      <c r="G38" s="25">
        <v>2</v>
      </c>
      <c r="H38" s="27">
        <v>12999</v>
      </c>
      <c r="I38" s="28">
        <v>0</v>
      </c>
      <c r="J38" s="28">
        <v>25998</v>
      </c>
      <c r="K38" s="25" t="s">
        <v>109</v>
      </c>
      <c r="L38" s="25" t="s">
        <v>65</v>
      </c>
      <c r="M38" s="35" t="s">
        <v>41</v>
      </c>
    </row>
    <row r="39" spans="1:13" x14ac:dyDescent="0.3">
      <c r="A39" s="34">
        <v>10315</v>
      </c>
      <c r="B39" s="26">
        <v>45566</v>
      </c>
      <c r="C39" s="25" t="s">
        <v>89</v>
      </c>
      <c r="D39" s="25" t="s">
        <v>59</v>
      </c>
      <c r="E39" s="25" t="s">
        <v>75</v>
      </c>
      <c r="F39" s="25" t="s">
        <v>43</v>
      </c>
      <c r="G39" s="25">
        <v>0</v>
      </c>
      <c r="H39" s="27">
        <v>6499</v>
      </c>
      <c r="I39" s="28">
        <v>0.05</v>
      </c>
      <c r="J39" s="28">
        <v>0</v>
      </c>
      <c r="K39" s="25" t="s">
        <v>108</v>
      </c>
      <c r="L39" s="25" t="s">
        <v>40</v>
      </c>
      <c r="M39" s="35" t="s">
        <v>50</v>
      </c>
    </row>
    <row r="40" spans="1:13" x14ac:dyDescent="0.3">
      <c r="A40" s="34">
        <v>10098</v>
      </c>
      <c r="B40" s="26">
        <v>45497</v>
      </c>
      <c r="C40" s="25" t="s">
        <v>111</v>
      </c>
      <c r="D40" s="25" t="s">
        <v>59</v>
      </c>
      <c r="E40" s="25" t="s">
        <v>75</v>
      </c>
      <c r="F40" s="25" t="s">
        <v>100</v>
      </c>
      <c r="G40" s="25">
        <v>3</v>
      </c>
      <c r="H40" s="27">
        <v>5999</v>
      </c>
      <c r="I40" s="28">
        <v>0</v>
      </c>
      <c r="J40" s="28">
        <v>17997</v>
      </c>
      <c r="K40" s="25" t="s">
        <v>67</v>
      </c>
      <c r="L40" s="25" t="s">
        <v>57</v>
      </c>
      <c r="M40" s="35" t="s">
        <v>46</v>
      </c>
    </row>
    <row r="41" spans="1:13" x14ac:dyDescent="0.3">
      <c r="A41" s="34">
        <v>10190</v>
      </c>
      <c r="B41" s="26">
        <v>45616</v>
      </c>
      <c r="C41" s="25" t="s">
        <v>106</v>
      </c>
      <c r="D41" s="25" t="s">
        <v>59</v>
      </c>
      <c r="E41" s="25" t="s">
        <v>55</v>
      </c>
      <c r="F41" s="25" t="s">
        <v>88</v>
      </c>
      <c r="G41" s="25">
        <v>4</v>
      </c>
      <c r="H41" s="27">
        <v>2499</v>
      </c>
      <c r="I41" s="28">
        <v>0.05</v>
      </c>
      <c r="J41" s="28">
        <v>9496.1999999999989</v>
      </c>
      <c r="K41" s="25" t="s">
        <v>39</v>
      </c>
      <c r="L41" s="25" t="s">
        <v>40</v>
      </c>
      <c r="M41" s="35" t="s">
        <v>46</v>
      </c>
    </row>
    <row r="42" spans="1:13" x14ac:dyDescent="0.3">
      <c r="A42" s="34">
        <v>10201</v>
      </c>
      <c r="B42" s="26">
        <v>45317</v>
      </c>
      <c r="C42" s="25" t="s">
        <v>111</v>
      </c>
      <c r="D42" s="25" t="s">
        <v>95</v>
      </c>
      <c r="E42" s="25" t="s">
        <v>53</v>
      </c>
      <c r="F42" s="25" t="s">
        <v>101</v>
      </c>
      <c r="G42" s="25">
        <v>4</v>
      </c>
      <c r="H42" s="27">
        <v>99</v>
      </c>
      <c r="I42" s="28">
        <v>0.05</v>
      </c>
      <c r="J42" s="28">
        <v>376.2</v>
      </c>
      <c r="K42" s="25" t="s">
        <v>39</v>
      </c>
      <c r="L42" s="25" t="s">
        <v>40</v>
      </c>
      <c r="M42" s="35" t="s">
        <v>41</v>
      </c>
    </row>
    <row r="43" spans="1:13" x14ac:dyDescent="0.3">
      <c r="A43" s="34">
        <v>10173</v>
      </c>
      <c r="B43" s="26">
        <v>45475</v>
      </c>
      <c r="C43" s="25" t="s">
        <v>98</v>
      </c>
      <c r="D43" s="25" t="s">
        <v>95</v>
      </c>
      <c r="E43" s="25" t="s">
        <v>53</v>
      </c>
      <c r="F43" s="25" t="s">
        <v>54</v>
      </c>
      <c r="G43" s="25">
        <v>1</v>
      </c>
      <c r="H43" s="27">
        <v>149</v>
      </c>
      <c r="I43" s="28">
        <v>0</v>
      </c>
      <c r="J43" s="28">
        <v>149</v>
      </c>
      <c r="K43" s="25" t="s">
        <v>108</v>
      </c>
      <c r="L43" s="25" t="s">
        <v>65</v>
      </c>
      <c r="M43" s="35" t="s">
        <v>41</v>
      </c>
    </row>
    <row r="44" spans="1:13" x14ac:dyDescent="0.3">
      <c r="A44" s="34">
        <v>10200</v>
      </c>
      <c r="B44" s="26">
        <v>45538</v>
      </c>
      <c r="C44" s="25" t="s">
        <v>77</v>
      </c>
      <c r="D44" s="25" t="s">
        <v>72</v>
      </c>
      <c r="E44" s="25" t="s">
        <v>53</v>
      </c>
      <c r="F44" s="25" t="s">
        <v>102</v>
      </c>
      <c r="G44" s="25">
        <v>5</v>
      </c>
      <c r="H44" s="27">
        <v>899</v>
      </c>
      <c r="I44" s="28">
        <v>0</v>
      </c>
      <c r="J44" s="28">
        <v>4495</v>
      </c>
      <c r="K44" s="25" t="s">
        <v>44</v>
      </c>
      <c r="L44" s="25" t="s">
        <v>49</v>
      </c>
      <c r="M44" s="35" t="s">
        <v>41</v>
      </c>
    </row>
    <row r="45" spans="1:13" x14ac:dyDescent="0.3">
      <c r="A45" s="34">
        <v>10153</v>
      </c>
      <c r="B45" s="26">
        <v>45325</v>
      </c>
      <c r="C45" s="25" t="s">
        <v>47</v>
      </c>
      <c r="D45" s="25" t="s">
        <v>72</v>
      </c>
      <c r="E45" s="25" t="s">
        <v>53</v>
      </c>
      <c r="F45" s="25" t="s">
        <v>54</v>
      </c>
      <c r="G45" s="25">
        <v>6</v>
      </c>
      <c r="H45" s="27">
        <v>149</v>
      </c>
      <c r="I45" s="28">
        <v>0.1</v>
      </c>
      <c r="J45" s="28">
        <v>804.6</v>
      </c>
      <c r="K45" s="25" t="s">
        <v>67</v>
      </c>
      <c r="L45" s="25" t="s">
        <v>57</v>
      </c>
      <c r="M45" s="35" t="s">
        <v>41</v>
      </c>
    </row>
    <row r="46" spans="1:13" x14ac:dyDescent="0.3">
      <c r="A46" s="34">
        <v>10236</v>
      </c>
      <c r="B46" s="26">
        <v>45425</v>
      </c>
      <c r="C46" s="25" t="s">
        <v>81</v>
      </c>
      <c r="D46" s="25" t="s">
        <v>59</v>
      </c>
      <c r="E46" s="25" t="s">
        <v>76</v>
      </c>
      <c r="F46" s="25" t="s">
        <v>61</v>
      </c>
      <c r="G46" s="25">
        <v>2</v>
      </c>
      <c r="H46" s="27">
        <v>18999</v>
      </c>
      <c r="I46" s="28">
        <v>0</v>
      </c>
      <c r="J46" s="28">
        <v>37998</v>
      </c>
      <c r="K46" s="25" t="s">
        <v>204</v>
      </c>
      <c r="L46" s="25" t="s">
        <v>57</v>
      </c>
      <c r="M46" s="35" t="s">
        <v>41</v>
      </c>
    </row>
    <row r="47" spans="1:13" x14ac:dyDescent="0.3">
      <c r="A47" s="34">
        <v>10294</v>
      </c>
      <c r="B47" s="26">
        <v>45431</v>
      </c>
      <c r="C47" s="25" t="s">
        <v>96</v>
      </c>
      <c r="D47" s="25" t="s">
        <v>52</v>
      </c>
      <c r="E47" s="25" t="s">
        <v>53</v>
      </c>
      <c r="F47" s="25" t="s">
        <v>102</v>
      </c>
      <c r="G47" s="25">
        <v>5</v>
      </c>
      <c r="H47" s="27">
        <v>899</v>
      </c>
      <c r="I47" s="28">
        <v>0</v>
      </c>
      <c r="J47" s="28">
        <v>4495</v>
      </c>
      <c r="K47" s="25" t="s">
        <v>39</v>
      </c>
      <c r="L47" s="25" t="s">
        <v>57</v>
      </c>
      <c r="M47" s="35" t="s">
        <v>46</v>
      </c>
    </row>
    <row r="48" spans="1:13" x14ac:dyDescent="0.3">
      <c r="A48" s="34">
        <v>10033</v>
      </c>
      <c r="B48" s="26">
        <v>45346</v>
      </c>
      <c r="C48" s="25" t="s">
        <v>93</v>
      </c>
      <c r="D48" s="25" t="s">
        <v>59</v>
      </c>
      <c r="E48" s="25" t="s">
        <v>69</v>
      </c>
      <c r="F48" s="25" t="s">
        <v>83</v>
      </c>
      <c r="G48" s="25">
        <v>3</v>
      </c>
      <c r="H48" s="27">
        <v>1299</v>
      </c>
      <c r="I48" s="28">
        <v>0.05</v>
      </c>
      <c r="J48" s="28">
        <v>3702.1499999999996</v>
      </c>
      <c r="K48" s="25" t="s">
        <v>108</v>
      </c>
      <c r="L48" s="25" t="s">
        <v>57</v>
      </c>
      <c r="M48" s="35" t="s">
        <v>50</v>
      </c>
    </row>
    <row r="49" spans="1:13" x14ac:dyDescent="0.3">
      <c r="A49" s="34">
        <v>10011</v>
      </c>
      <c r="B49" s="26">
        <v>45615</v>
      </c>
      <c r="C49" s="25" t="s">
        <v>106</v>
      </c>
      <c r="D49" s="25" t="s">
        <v>59</v>
      </c>
      <c r="E49" s="25" t="s">
        <v>53</v>
      </c>
      <c r="F49" s="25" t="s">
        <v>60</v>
      </c>
      <c r="G49" s="25">
        <v>2</v>
      </c>
      <c r="H49" s="27">
        <v>349</v>
      </c>
      <c r="I49" s="28">
        <v>0.1</v>
      </c>
      <c r="J49" s="28">
        <v>628.20000000000005</v>
      </c>
      <c r="K49" s="25" t="s">
        <v>204</v>
      </c>
      <c r="L49" s="25" t="s">
        <v>45</v>
      </c>
      <c r="M49" s="35" t="s">
        <v>41</v>
      </c>
    </row>
    <row r="50" spans="1:13" x14ac:dyDescent="0.3">
      <c r="A50" s="34">
        <v>10283</v>
      </c>
      <c r="B50" s="26">
        <v>45526</v>
      </c>
      <c r="C50" s="25" t="s">
        <v>89</v>
      </c>
      <c r="D50" s="25" t="s">
        <v>52</v>
      </c>
      <c r="E50" s="25" t="s">
        <v>55</v>
      </c>
      <c r="F50" s="25" t="s">
        <v>92</v>
      </c>
      <c r="G50" s="25">
        <v>2</v>
      </c>
      <c r="H50" s="27">
        <v>799</v>
      </c>
      <c r="I50" s="28">
        <v>0</v>
      </c>
      <c r="J50" s="28">
        <v>1598</v>
      </c>
      <c r="K50" s="25" t="s">
        <v>108</v>
      </c>
      <c r="L50" s="25" t="s">
        <v>40</v>
      </c>
      <c r="M50" s="35" t="s">
        <v>41</v>
      </c>
    </row>
    <row r="51" spans="1:13" x14ac:dyDescent="0.3">
      <c r="A51" s="34">
        <v>10137</v>
      </c>
      <c r="B51" s="26">
        <v>45706</v>
      </c>
      <c r="C51" s="25" t="s">
        <v>94</v>
      </c>
      <c r="D51" s="25" t="s">
        <v>72</v>
      </c>
      <c r="E51" s="25" t="s">
        <v>53</v>
      </c>
      <c r="F51" s="25" t="s">
        <v>101</v>
      </c>
      <c r="G51" s="25">
        <v>6</v>
      </c>
      <c r="H51" s="27">
        <v>99</v>
      </c>
      <c r="I51" s="28">
        <v>0.1</v>
      </c>
      <c r="J51" s="28">
        <v>534.6</v>
      </c>
      <c r="K51" s="25" t="s">
        <v>109</v>
      </c>
      <c r="L51" s="25" t="s">
        <v>65</v>
      </c>
      <c r="M51" s="35" t="s">
        <v>41</v>
      </c>
    </row>
    <row r="52" spans="1:13" x14ac:dyDescent="0.3">
      <c r="A52" s="34">
        <v>10235</v>
      </c>
      <c r="B52" s="26">
        <v>45634</v>
      </c>
      <c r="C52" s="25" t="s">
        <v>112</v>
      </c>
      <c r="D52" s="25" t="s">
        <v>52</v>
      </c>
      <c r="E52" s="25" t="s">
        <v>37</v>
      </c>
      <c r="F52" s="25" t="s">
        <v>64</v>
      </c>
      <c r="G52" s="25">
        <v>1</v>
      </c>
      <c r="H52" s="27">
        <v>1799</v>
      </c>
      <c r="I52" s="28">
        <v>0.05</v>
      </c>
      <c r="J52" s="28">
        <v>1709.05</v>
      </c>
      <c r="K52" s="25" t="s">
        <v>204</v>
      </c>
      <c r="L52" s="25" t="s">
        <v>57</v>
      </c>
      <c r="M52" s="35" t="s">
        <v>41</v>
      </c>
    </row>
    <row r="53" spans="1:13" x14ac:dyDescent="0.3">
      <c r="A53" s="34">
        <v>10289</v>
      </c>
      <c r="B53" s="26">
        <v>45461</v>
      </c>
      <c r="C53" s="25" t="s">
        <v>114</v>
      </c>
      <c r="D53" s="25" t="s">
        <v>59</v>
      </c>
      <c r="E53" s="25" t="s">
        <v>75</v>
      </c>
      <c r="F53" s="25" t="s">
        <v>64</v>
      </c>
      <c r="G53" s="25">
        <v>5</v>
      </c>
      <c r="H53" s="27">
        <v>1799</v>
      </c>
      <c r="I53" s="28">
        <v>0</v>
      </c>
      <c r="J53" s="28">
        <v>8995</v>
      </c>
      <c r="K53" s="25" t="s">
        <v>109</v>
      </c>
      <c r="L53" s="25" t="s">
        <v>40</v>
      </c>
      <c r="M53" s="35" t="s">
        <v>46</v>
      </c>
    </row>
    <row r="54" spans="1:13" x14ac:dyDescent="0.3">
      <c r="A54" s="34">
        <v>10207</v>
      </c>
      <c r="B54" s="26">
        <v>45549</v>
      </c>
      <c r="C54" s="25" t="s">
        <v>42</v>
      </c>
      <c r="D54" s="25" t="s">
        <v>72</v>
      </c>
      <c r="E54" s="25" t="s">
        <v>53</v>
      </c>
      <c r="F54" s="25" t="s">
        <v>90</v>
      </c>
      <c r="G54" s="25">
        <v>6</v>
      </c>
      <c r="H54" s="27">
        <v>199</v>
      </c>
      <c r="I54" s="28">
        <v>0</v>
      </c>
      <c r="J54" s="28">
        <v>1194</v>
      </c>
      <c r="K54" s="25" t="s">
        <v>67</v>
      </c>
      <c r="L54" s="25" t="s">
        <v>40</v>
      </c>
      <c r="M54" s="35" t="s">
        <v>41</v>
      </c>
    </row>
    <row r="55" spans="1:13" x14ac:dyDescent="0.3">
      <c r="A55" s="34">
        <v>10302</v>
      </c>
      <c r="B55" s="26">
        <v>45712</v>
      </c>
      <c r="C55" s="25" t="s">
        <v>77</v>
      </c>
      <c r="D55" s="25" t="s">
        <v>59</v>
      </c>
      <c r="E55" s="25" t="s">
        <v>55</v>
      </c>
      <c r="F55" s="25" t="s">
        <v>88</v>
      </c>
      <c r="G55" s="25">
        <v>5</v>
      </c>
      <c r="H55" s="27">
        <v>2499</v>
      </c>
      <c r="I55" s="28">
        <v>0</v>
      </c>
      <c r="J55" s="28">
        <v>12495</v>
      </c>
      <c r="K55" s="25" t="s">
        <v>108</v>
      </c>
      <c r="L55" s="25" t="s">
        <v>40</v>
      </c>
      <c r="M55" s="35" t="s">
        <v>50</v>
      </c>
    </row>
    <row r="56" spans="1:13" x14ac:dyDescent="0.3">
      <c r="A56" s="34">
        <v>10135</v>
      </c>
      <c r="B56" s="26">
        <v>45470</v>
      </c>
      <c r="C56" s="25" t="s">
        <v>47</v>
      </c>
      <c r="D56" s="25" t="s">
        <v>59</v>
      </c>
      <c r="E56" s="25" t="s">
        <v>78</v>
      </c>
      <c r="F56" s="25" t="s">
        <v>103</v>
      </c>
      <c r="G56" s="25">
        <v>1</v>
      </c>
      <c r="H56" s="27">
        <v>999</v>
      </c>
      <c r="I56" s="28">
        <v>0</v>
      </c>
      <c r="J56" s="28">
        <v>999</v>
      </c>
      <c r="K56" s="25" t="s">
        <v>109</v>
      </c>
      <c r="L56" s="25" t="s">
        <v>65</v>
      </c>
      <c r="M56" s="35" t="s">
        <v>41</v>
      </c>
    </row>
    <row r="57" spans="1:13" x14ac:dyDescent="0.3">
      <c r="A57" s="34">
        <v>10295</v>
      </c>
      <c r="B57" s="26">
        <v>45519</v>
      </c>
      <c r="C57" s="25" t="s">
        <v>106</v>
      </c>
      <c r="D57" s="25" t="s">
        <v>59</v>
      </c>
      <c r="E57" s="25" t="s">
        <v>69</v>
      </c>
      <c r="F57" s="25" t="s">
        <v>104</v>
      </c>
      <c r="G57" s="25">
        <v>1</v>
      </c>
      <c r="H57" s="27">
        <v>4999</v>
      </c>
      <c r="I57" s="28">
        <v>0.1</v>
      </c>
      <c r="J57" s="28">
        <v>4499.1000000000004</v>
      </c>
      <c r="K57" s="25" t="s">
        <v>44</v>
      </c>
      <c r="L57" s="25" t="s">
        <v>45</v>
      </c>
      <c r="M57" s="35" t="s">
        <v>41</v>
      </c>
    </row>
    <row r="58" spans="1:13" x14ac:dyDescent="0.3">
      <c r="A58" s="34">
        <v>10162</v>
      </c>
      <c r="B58" s="26">
        <v>45638</v>
      </c>
      <c r="C58" s="25" t="s">
        <v>47</v>
      </c>
      <c r="D58" s="25" t="s">
        <v>59</v>
      </c>
      <c r="E58" s="25" t="s">
        <v>75</v>
      </c>
      <c r="F58" s="25" t="s">
        <v>105</v>
      </c>
      <c r="G58" s="25">
        <v>2</v>
      </c>
      <c r="H58" s="27">
        <v>1199</v>
      </c>
      <c r="I58" s="28">
        <v>0</v>
      </c>
      <c r="J58" s="28">
        <v>2398</v>
      </c>
      <c r="K58" s="25" t="s">
        <v>39</v>
      </c>
      <c r="L58" s="25" t="s">
        <v>45</v>
      </c>
      <c r="M58" s="35" t="s">
        <v>41</v>
      </c>
    </row>
    <row r="59" spans="1:13" x14ac:dyDescent="0.3">
      <c r="A59" s="34">
        <v>10307</v>
      </c>
      <c r="B59" s="26">
        <v>45425</v>
      </c>
      <c r="C59" s="25" t="s">
        <v>106</v>
      </c>
      <c r="D59" s="25" t="s">
        <v>52</v>
      </c>
      <c r="E59" s="25" t="s">
        <v>69</v>
      </c>
      <c r="F59" s="25" t="s">
        <v>85</v>
      </c>
      <c r="G59" s="25">
        <v>5</v>
      </c>
      <c r="H59" s="27">
        <v>24999</v>
      </c>
      <c r="I59" s="28">
        <v>0.1</v>
      </c>
      <c r="J59" s="28">
        <v>112495.5</v>
      </c>
      <c r="K59" s="25" t="s">
        <v>108</v>
      </c>
      <c r="L59" s="25" t="s">
        <v>49</v>
      </c>
      <c r="M59" s="35" t="s">
        <v>41</v>
      </c>
    </row>
    <row r="60" spans="1:13" x14ac:dyDescent="0.3">
      <c r="A60" s="34">
        <v>10172</v>
      </c>
      <c r="B60" s="26">
        <v>45931</v>
      </c>
      <c r="C60" s="25" t="s">
        <v>93</v>
      </c>
      <c r="D60" s="25" t="s">
        <v>74</v>
      </c>
      <c r="E60" s="25" t="s">
        <v>53</v>
      </c>
      <c r="F60" s="25" t="s">
        <v>90</v>
      </c>
      <c r="G60" s="25">
        <v>1</v>
      </c>
      <c r="H60" s="27">
        <v>199</v>
      </c>
      <c r="I60" s="28">
        <v>0.15</v>
      </c>
      <c r="J60" s="28">
        <v>169.15</v>
      </c>
      <c r="K60" s="25" t="s">
        <v>67</v>
      </c>
      <c r="L60" s="25" t="s">
        <v>40</v>
      </c>
      <c r="M60" s="35" t="s">
        <v>41</v>
      </c>
    </row>
    <row r="61" spans="1:13" x14ac:dyDescent="0.3">
      <c r="A61" s="34">
        <v>10031</v>
      </c>
      <c r="B61" s="26">
        <v>45394</v>
      </c>
      <c r="C61" s="25" t="s">
        <v>114</v>
      </c>
      <c r="D61" s="25" t="s">
        <v>52</v>
      </c>
      <c r="E61" s="25" t="s">
        <v>75</v>
      </c>
      <c r="F61" s="25" t="s">
        <v>64</v>
      </c>
      <c r="G61" s="25">
        <v>6</v>
      </c>
      <c r="H61" s="27">
        <v>1799</v>
      </c>
      <c r="I61" s="28">
        <v>0.05</v>
      </c>
      <c r="J61" s="28">
        <v>10254.299999999999</v>
      </c>
      <c r="K61" s="25" t="s">
        <v>108</v>
      </c>
      <c r="L61" s="25" t="s">
        <v>40</v>
      </c>
      <c r="M61" s="35" t="s">
        <v>46</v>
      </c>
    </row>
    <row r="62" spans="1:13" x14ac:dyDescent="0.3">
      <c r="A62" s="34">
        <v>10215</v>
      </c>
      <c r="B62" s="26">
        <v>45698</v>
      </c>
      <c r="C62" s="25" t="s">
        <v>107</v>
      </c>
      <c r="D62" s="25" t="s">
        <v>74</v>
      </c>
      <c r="E62" s="25" t="s">
        <v>55</v>
      </c>
      <c r="F62" s="25" t="s">
        <v>79</v>
      </c>
      <c r="G62" s="25">
        <v>0</v>
      </c>
      <c r="H62" s="27">
        <v>599</v>
      </c>
      <c r="I62" s="28">
        <v>0.05</v>
      </c>
      <c r="J62" s="28">
        <v>0</v>
      </c>
      <c r="K62" s="25" t="s">
        <v>39</v>
      </c>
      <c r="L62" s="25" t="s">
        <v>40</v>
      </c>
      <c r="M62" s="35" t="s">
        <v>41</v>
      </c>
    </row>
    <row r="63" spans="1:13" x14ac:dyDescent="0.3">
      <c r="A63" s="34">
        <v>10067</v>
      </c>
      <c r="B63" s="26">
        <v>45561</v>
      </c>
      <c r="C63" s="25" t="s">
        <v>205</v>
      </c>
      <c r="D63" s="25" t="s">
        <v>72</v>
      </c>
      <c r="E63" s="25" t="s">
        <v>69</v>
      </c>
      <c r="F63" s="25" t="s">
        <v>68</v>
      </c>
      <c r="G63" s="25">
        <v>1</v>
      </c>
      <c r="H63" s="27">
        <v>6999</v>
      </c>
      <c r="I63" s="28">
        <v>0.05</v>
      </c>
      <c r="J63" s="28">
        <v>6649.0499999999993</v>
      </c>
      <c r="K63" s="25" t="s">
        <v>108</v>
      </c>
      <c r="L63" s="25" t="s">
        <v>65</v>
      </c>
      <c r="M63" s="35" t="s">
        <v>203</v>
      </c>
    </row>
    <row r="64" spans="1:13" x14ac:dyDescent="0.3">
      <c r="A64" s="34">
        <v>10026</v>
      </c>
      <c r="B64" s="26">
        <v>45761</v>
      </c>
      <c r="C64" s="25" t="s">
        <v>62</v>
      </c>
      <c r="D64" s="25" t="s">
        <v>95</v>
      </c>
      <c r="E64" s="25" t="s">
        <v>75</v>
      </c>
      <c r="F64" s="25" t="s">
        <v>66</v>
      </c>
      <c r="G64" s="25">
        <v>6</v>
      </c>
      <c r="H64" s="27">
        <v>1499</v>
      </c>
      <c r="I64" s="28">
        <v>0.05</v>
      </c>
      <c r="J64" s="28">
        <v>8544.2999999999993</v>
      </c>
      <c r="K64" s="25" t="s">
        <v>39</v>
      </c>
      <c r="L64" s="25" t="s">
        <v>57</v>
      </c>
      <c r="M64" s="35" t="s">
        <v>41</v>
      </c>
    </row>
    <row r="65" spans="1:13" x14ac:dyDescent="0.3">
      <c r="A65" s="34">
        <v>10174</v>
      </c>
      <c r="B65" s="26">
        <v>45343</v>
      </c>
      <c r="C65" s="25" t="s">
        <v>98</v>
      </c>
      <c r="D65" s="25" t="s">
        <v>74</v>
      </c>
      <c r="E65" s="25" t="s">
        <v>55</v>
      </c>
      <c r="F65" s="25" t="s">
        <v>79</v>
      </c>
      <c r="G65" s="25">
        <v>2</v>
      </c>
      <c r="H65" s="27">
        <v>599</v>
      </c>
      <c r="I65" s="28">
        <v>0</v>
      </c>
      <c r="J65" s="28">
        <v>1198</v>
      </c>
      <c r="K65" s="25" t="s">
        <v>109</v>
      </c>
      <c r="L65" s="25" t="s">
        <v>65</v>
      </c>
      <c r="M65" s="35" t="s">
        <v>41</v>
      </c>
    </row>
    <row r="66" spans="1:13" x14ac:dyDescent="0.3">
      <c r="A66" s="34">
        <v>10078</v>
      </c>
      <c r="B66" s="26">
        <v>45738</v>
      </c>
      <c r="C66" s="25" t="s">
        <v>107</v>
      </c>
      <c r="D66" s="25" t="s">
        <v>95</v>
      </c>
      <c r="E66" s="25" t="s">
        <v>55</v>
      </c>
      <c r="F66" s="25" t="s">
        <v>92</v>
      </c>
      <c r="G66" s="25">
        <v>2</v>
      </c>
      <c r="H66" s="27">
        <v>799</v>
      </c>
      <c r="I66" s="28">
        <v>0</v>
      </c>
      <c r="J66" s="28">
        <v>1598</v>
      </c>
      <c r="K66" s="25" t="s">
        <v>44</v>
      </c>
      <c r="L66" s="25" t="s">
        <v>49</v>
      </c>
      <c r="M66" s="35" t="s">
        <v>41</v>
      </c>
    </row>
    <row r="67" spans="1:13" x14ac:dyDescent="0.3">
      <c r="A67" s="34">
        <v>10131</v>
      </c>
      <c r="B67" s="26">
        <v>45787</v>
      </c>
      <c r="C67" s="25" t="s">
        <v>98</v>
      </c>
      <c r="D67" s="25" t="s">
        <v>59</v>
      </c>
      <c r="E67" s="25" t="s">
        <v>53</v>
      </c>
      <c r="F67" s="25" t="s">
        <v>86</v>
      </c>
      <c r="G67" s="25">
        <v>2</v>
      </c>
      <c r="H67" s="27">
        <v>599</v>
      </c>
      <c r="I67" s="28">
        <v>0.15</v>
      </c>
      <c r="J67" s="28">
        <v>1018.3</v>
      </c>
      <c r="K67" s="25" t="s">
        <v>44</v>
      </c>
      <c r="L67" s="25" t="s">
        <v>65</v>
      </c>
      <c r="M67" s="35" t="s">
        <v>41</v>
      </c>
    </row>
    <row r="68" spans="1:13" x14ac:dyDescent="0.3">
      <c r="A68" s="34">
        <v>10233</v>
      </c>
      <c r="B68" s="26">
        <v>45294</v>
      </c>
      <c r="C68" s="25" t="s">
        <v>94</v>
      </c>
      <c r="D68" s="25" t="s">
        <v>72</v>
      </c>
      <c r="E68" s="25" t="s">
        <v>55</v>
      </c>
      <c r="F68" s="25" t="s">
        <v>92</v>
      </c>
      <c r="G68" s="25">
        <v>6</v>
      </c>
      <c r="H68" s="27">
        <v>799</v>
      </c>
      <c r="I68" s="28">
        <v>0.1</v>
      </c>
      <c r="J68" s="28">
        <v>4314.6000000000004</v>
      </c>
      <c r="K68" s="25" t="s">
        <v>44</v>
      </c>
      <c r="L68" s="25" t="s">
        <v>45</v>
      </c>
      <c r="M68" s="35" t="s">
        <v>50</v>
      </c>
    </row>
    <row r="69" spans="1:13" x14ac:dyDescent="0.3">
      <c r="A69" s="34">
        <v>10306</v>
      </c>
      <c r="B69" s="26">
        <v>45754</v>
      </c>
      <c r="C69" s="25" t="s">
        <v>98</v>
      </c>
      <c r="D69" s="25" t="s">
        <v>95</v>
      </c>
      <c r="E69" s="25" t="s">
        <v>75</v>
      </c>
      <c r="F69" s="25" t="s">
        <v>105</v>
      </c>
      <c r="G69" s="25">
        <v>5</v>
      </c>
      <c r="H69" s="27">
        <v>1199</v>
      </c>
      <c r="I69" s="28">
        <v>0</v>
      </c>
      <c r="J69" s="28">
        <v>5995</v>
      </c>
      <c r="K69" s="25" t="s">
        <v>108</v>
      </c>
      <c r="L69" s="25" t="s">
        <v>40</v>
      </c>
      <c r="M69" s="35" t="s">
        <v>50</v>
      </c>
    </row>
    <row r="70" spans="1:13" x14ac:dyDescent="0.3">
      <c r="A70" s="34">
        <v>10069</v>
      </c>
      <c r="B70" s="26">
        <v>45379</v>
      </c>
      <c r="C70" s="25" t="s">
        <v>94</v>
      </c>
      <c r="D70" s="25" t="s">
        <v>72</v>
      </c>
      <c r="E70" s="25" t="s">
        <v>69</v>
      </c>
      <c r="F70" s="25" t="s">
        <v>83</v>
      </c>
      <c r="G70" s="25">
        <v>4</v>
      </c>
      <c r="H70" s="27">
        <v>1299</v>
      </c>
      <c r="I70" s="28">
        <v>0.05</v>
      </c>
      <c r="J70" s="28">
        <v>4936.2</v>
      </c>
      <c r="K70" s="25" t="s">
        <v>109</v>
      </c>
      <c r="L70" s="25" t="s">
        <v>40</v>
      </c>
      <c r="M70" s="35" t="s">
        <v>41</v>
      </c>
    </row>
    <row r="71" spans="1:13" x14ac:dyDescent="0.3">
      <c r="A71" s="34">
        <v>10263</v>
      </c>
      <c r="B71" s="26">
        <v>45570</v>
      </c>
      <c r="C71" s="25" t="s">
        <v>77</v>
      </c>
      <c r="D71" s="25" t="s">
        <v>59</v>
      </c>
      <c r="E71" s="25" t="s">
        <v>55</v>
      </c>
      <c r="F71" s="25" t="s">
        <v>79</v>
      </c>
      <c r="G71" s="25">
        <v>0</v>
      </c>
      <c r="H71" s="27">
        <v>599</v>
      </c>
      <c r="I71" s="28">
        <v>0.1</v>
      </c>
      <c r="J71" s="28">
        <v>0</v>
      </c>
      <c r="K71" s="25" t="s">
        <v>204</v>
      </c>
      <c r="L71" s="25" t="s">
        <v>65</v>
      </c>
      <c r="M71" s="35" t="s">
        <v>203</v>
      </c>
    </row>
    <row r="72" spans="1:13" x14ac:dyDescent="0.3">
      <c r="A72" s="34">
        <v>10319</v>
      </c>
      <c r="B72" s="26">
        <v>45368</v>
      </c>
      <c r="C72" s="25" t="s">
        <v>110</v>
      </c>
      <c r="D72" s="25" t="s">
        <v>74</v>
      </c>
      <c r="E72" s="25" t="s">
        <v>75</v>
      </c>
      <c r="F72" s="25" t="s">
        <v>100</v>
      </c>
      <c r="G72" s="25">
        <v>6</v>
      </c>
      <c r="H72" s="27">
        <v>5999</v>
      </c>
      <c r="I72" s="28">
        <v>0.1</v>
      </c>
      <c r="J72" s="28">
        <v>32394.600000000002</v>
      </c>
      <c r="K72" s="25" t="s">
        <v>39</v>
      </c>
      <c r="L72" s="25" t="s">
        <v>57</v>
      </c>
      <c r="M72" s="35" t="s">
        <v>41</v>
      </c>
    </row>
    <row r="73" spans="1:13" x14ac:dyDescent="0.3">
      <c r="A73" s="34">
        <v>10068</v>
      </c>
      <c r="B73" s="26">
        <v>45409</v>
      </c>
      <c r="C73" s="25" t="s">
        <v>111</v>
      </c>
      <c r="D73" s="25" t="s">
        <v>59</v>
      </c>
      <c r="E73" s="25" t="s">
        <v>69</v>
      </c>
      <c r="F73" s="25" t="s">
        <v>85</v>
      </c>
      <c r="G73" s="25">
        <v>2</v>
      </c>
      <c r="H73" s="27">
        <v>24999</v>
      </c>
      <c r="I73" s="28">
        <v>0.1</v>
      </c>
      <c r="J73" s="28">
        <v>44998.200000000004</v>
      </c>
      <c r="K73" s="25" t="s">
        <v>108</v>
      </c>
      <c r="L73" s="25" t="s">
        <v>49</v>
      </c>
      <c r="M73" s="35" t="s">
        <v>203</v>
      </c>
    </row>
    <row r="74" spans="1:13" x14ac:dyDescent="0.3">
      <c r="A74" s="34">
        <v>10103</v>
      </c>
      <c r="B74" s="26">
        <v>45570</v>
      </c>
      <c r="C74" s="25" t="s">
        <v>112</v>
      </c>
      <c r="D74" s="25" t="s">
        <v>95</v>
      </c>
      <c r="E74" s="25" t="s">
        <v>55</v>
      </c>
      <c r="F74" s="25" t="s">
        <v>92</v>
      </c>
      <c r="G74" s="25">
        <v>6</v>
      </c>
      <c r="H74" s="27">
        <v>799</v>
      </c>
      <c r="I74" s="28">
        <v>0.1</v>
      </c>
      <c r="J74" s="28">
        <v>4314.6000000000004</v>
      </c>
      <c r="K74" s="25" t="s">
        <v>67</v>
      </c>
      <c r="L74" s="25" t="s">
        <v>49</v>
      </c>
      <c r="M74" s="35" t="s">
        <v>50</v>
      </c>
    </row>
    <row r="75" spans="1:13" x14ac:dyDescent="0.3">
      <c r="A75" s="34">
        <v>10063</v>
      </c>
      <c r="B75" s="26">
        <v>45717</v>
      </c>
      <c r="C75" s="25" t="s">
        <v>51</v>
      </c>
      <c r="D75" s="25" t="s">
        <v>59</v>
      </c>
      <c r="E75" s="25" t="s">
        <v>69</v>
      </c>
      <c r="F75" s="25" t="s">
        <v>83</v>
      </c>
      <c r="G75" s="25">
        <v>2</v>
      </c>
      <c r="H75" s="27">
        <v>1299</v>
      </c>
      <c r="I75" s="28">
        <v>0</v>
      </c>
      <c r="J75" s="28">
        <v>2598</v>
      </c>
      <c r="K75" s="25" t="s">
        <v>67</v>
      </c>
      <c r="L75" s="25" t="s">
        <v>57</v>
      </c>
      <c r="M75" s="35" t="s">
        <v>41</v>
      </c>
    </row>
    <row r="76" spans="1:13" x14ac:dyDescent="0.3">
      <c r="A76" s="34">
        <v>10284</v>
      </c>
      <c r="B76" s="26">
        <v>45386</v>
      </c>
      <c r="C76" s="25" t="s">
        <v>96</v>
      </c>
      <c r="D76" s="25" t="s">
        <v>52</v>
      </c>
      <c r="E76" s="25" t="s">
        <v>75</v>
      </c>
      <c r="F76" s="25" t="s">
        <v>48</v>
      </c>
      <c r="G76" s="25">
        <v>6</v>
      </c>
      <c r="H76" s="27">
        <v>799</v>
      </c>
      <c r="I76" s="28">
        <v>0</v>
      </c>
      <c r="J76" s="28">
        <v>4794</v>
      </c>
      <c r="K76" s="25" t="s">
        <v>44</v>
      </c>
      <c r="L76" s="25" t="s">
        <v>65</v>
      </c>
      <c r="M76" s="35" t="s">
        <v>41</v>
      </c>
    </row>
    <row r="77" spans="1:13" x14ac:dyDescent="0.3">
      <c r="A77" s="34">
        <v>10046</v>
      </c>
      <c r="B77" s="26">
        <v>45416</v>
      </c>
      <c r="C77" s="25" t="s">
        <v>71</v>
      </c>
      <c r="D77" s="25" t="s">
        <v>95</v>
      </c>
      <c r="E77" s="25" t="s">
        <v>75</v>
      </c>
      <c r="F77" s="25" t="s">
        <v>99</v>
      </c>
      <c r="G77" s="25">
        <v>3</v>
      </c>
      <c r="H77" s="27">
        <v>12999</v>
      </c>
      <c r="I77" s="28">
        <v>0.05</v>
      </c>
      <c r="J77" s="28">
        <v>37047.15</v>
      </c>
      <c r="K77" s="25" t="s">
        <v>67</v>
      </c>
      <c r="L77" s="25" t="s">
        <v>49</v>
      </c>
      <c r="M77" s="35" t="s">
        <v>46</v>
      </c>
    </row>
    <row r="78" spans="1:13" x14ac:dyDescent="0.3">
      <c r="A78" s="34">
        <v>10314</v>
      </c>
      <c r="B78" s="26">
        <v>45517</v>
      </c>
      <c r="C78" s="25" t="s">
        <v>51</v>
      </c>
      <c r="D78" s="25" t="s">
        <v>95</v>
      </c>
      <c r="E78" s="25" t="s">
        <v>76</v>
      </c>
      <c r="F78" s="25" t="s">
        <v>82</v>
      </c>
      <c r="G78" s="25">
        <v>1</v>
      </c>
      <c r="H78" s="27">
        <v>8999</v>
      </c>
      <c r="I78" s="28">
        <v>0</v>
      </c>
      <c r="J78" s="28">
        <v>8999</v>
      </c>
      <c r="K78" s="25" t="s">
        <v>109</v>
      </c>
      <c r="L78" s="25" t="s">
        <v>57</v>
      </c>
      <c r="M78" s="35" t="s">
        <v>46</v>
      </c>
    </row>
    <row r="79" spans="1:13" x14ac:dyDescent="0.3">
      <c r="A79" s="34">
        <v>10282</v>
      </c>
      <c r="B79" s="26">
        <v>45759</v>
      </c>
      <c r="C79" s="25" t="s">
        <v>98</v>
      </c>
      <c r="D79" s="25" t="s">
        <v>72</v>
      </c>
      <c r="E79" s="25" t="s">
        <v>55</v>
      </c>
      <c r="F79" s="25" t="s">
        <v>79</v>
      </c>
      <c r="G79" s="25">
        <v>4</v>
      </c>
      <c r="H79" s="27">
        <v>599</v>
      </c>
      <c r="I79" s="28">
        <v>0.05</v>
      </c>
      <c r="J79" s="28">
        <v>2276.1999999999998</v>
      </c>
      <c r="K79" s="25" t="s">
        <v>44</v>
      </c>
      <c r="L79" s="25" t="s">
        <v>40</v>
      </c>
      <c r="M79" s="35" t="s">
        <v>41</v>
      </c>
    </row>
    <row r="80" spans="1:13" x14ac:dyDescent="0.3">
      <c r="A80" s="34">
        <v>10196</v>
      </c>
      <c r="B80" s="26">
        <v>45544</v>
      </c>
      <c r="C80" s="25" t="s">
        <v>96</v>
      </c>
      <c r="D80" s="25" t="s">
        <v>52</v>
      </c>
      <c r="E80" s="25" t="s">
        <v>55</v>
      </c>
      <c r="F80" s="25" t="s">
        <v>92</v>
      </c>
      <c r="G80" s="25">
        <v>2</v>
      </c>
      <c r="H80" s="27">
        <v>799</v>
      </c>
      <c r="I80" s="28">
        <v>0.1</v>
      </c>
      <c r="J80" s="28">
        <v>1438.2</v>
      </c>
      <c r="K80" s="25" t="s">
        <v>108</v>
      </c>
      <c r="L80" s="25" t="s">
        <v>40</v>
      </c>
      <c r="M80" s="35" t="s">
        <v>46</v>
      </c>
    </row>
    <row r="81" spans="1:13" x14ac:dyDescent="0.3">
      <c r="A81" s="34">
        <v>10141</v>
      </c>
      <c r="B81" s="26">
        <v>45429</v>
      </c>
      <c r="C81" s="25" t="s">
        <v>84</v>
      </c>
      <c r="D81" s="25" t="s">
        <v>52</v>
      </c>
      <c r="E81" s="25" t="s">
        <v>53</v>
      </c>
      <c r="F81" s="25" t="s">
        <v>86</v>
      </c>
      <c r="G81" s="25">
        <v>4</v>
      </c>
      <c r="H81" s="27">
        <v>599</v>
      </c>
      <c r="I81" s="28">
        <v>0</v>
      </c>
      <c r="J81" s="28">
        <v>2396</v>
      </c>
      <c r="K81" s="25" t="s">
        <v>109</v>
      </c>
      <c r="L81" s="25" t="s">
        <v>57</v>
      </c>
      <c r="M81" s="35" t="s">
        <v>41</v>
      </c>
    </row>
    <row r="82" spans="1:13" x14ac:dyDescent="0.3">
      <c r="A82" s="34">
        <v>10055</v>
      </c>
      <c r="B82" s="26">
        <v>45531</v>
      </c>
      <c r="C82" s="25" t="s">
        <v>51</v>
      </c>
      <c r="D82" s="25" t="s">
        <v>59</v>
      </c>
      <c r="E82" s="25" t="s">
        <v>69</v>
      </c>
      <c r="F82" s="25" t="s">
        <v>104</v>
      </c>
      <c r="G82" s="25">
        <v>3</v>
      </c>
      <c r="H82" s="27">
        <v>4999</v>
      </c>
      <c r="I82" s="28">
        <v>0</v>
      </c>
      <c r="J82" s="28">
        <v>14997</v>
      </c>
      <c r="K82" s="25" t="s">
        <v>109</v>
      </c>
      <c r="L82" s="25" t="s">
        <v>49</v>
      </c>
      <c r="M82" s="35" t="s">
        <v>41</v>
      </c>
    </row>
    <row r="83" spans="1:13" x14ac:dyDescent="0.3">
      <c r="A83" s="34">
        <v>10317</v>
      </c>
      <c r="B83" s="26">
        <v>45382</v>
      </c>
      <c r="C83" s="25" t="s">
        <v>42</v>
      </c>
      <c r="D83" s="25" t="s">
        <v>72</v>
      </c>
      <c r="E83" s="25" t="s">
        <v>75</v>
      </c>
      <c r="F83" s="25" t="s">
        <v>64</v>
      </c>
      <c r="G83" s="25">
        <v>4</v>
      </c>
      <c r="H83" s="27">
        <v>1799</v>
      </c>
      <c r="I83" s="28">
        <v>0</v>
      </c>
      <c r="J83" s="28">
        <v>7196</v>
      </c>
      <c r="K83" s="25" t="s">
        <v>67</v>
      </c>
      <c r="L83" s="25" t="s">
        <v>40</v>
      </c>
      <c r="M83" s="35" t="s">
        <v>50</v>
      </c>
    </row>
    <row r="84" spans="1:13" x14ac:dyDescent="0.3">
      <c r="A84" s="34">
        <v>10211</v>
      </c>
      <c r="B84" s="26">
        <v>45655</v>
      </c>
      <c r="C84" s="25" t="s">
        <v>96</v>
      </c>
      <c r="D84" s="25" t="s">
        <v>72</v>
      </c>
      <c r="E84" s="25" t="s">
        <v>78</v>
      </c>
      <c r="F84" s="25" t="s">
        <v>92</v>
      </c>
      <c r="G84" s="25">
        <v>5</v>
      </c>
      <c r="H84" s="27">
        <v>799</v>
      </c>
      <c r="I84" s="28">
        <v>0.15</v>
      </c>
      <c r="J84" s="28">
        <v>3395.75</v>
      </c>
      <c r="K84" s="25" t="s">
        <v>204</v>
      </c>
      <c r="L84" s="25" t="s">
        <v>65</v>
      </c>
      <c r="M84" s="35" t="s">
        <v>41</v>
      </c>
    </row>
    <row r="85" spans="1:13" x14ac:dyDescent="0.3">
      <c r="A85" s="34">
        <v>10229</v>
      </c>
      <c r="B85" s="26">
        <v>45629</v>
      </c>
      <c r="C85" s="25" t="s">
        <v>96</v>
      </c>
      <c r="D85" s="25" t="s">
        <v>72</v>
      </c>
      <c r="E85" s="25" t="s">
        <v>53</v>
      </c>
      <c r="F85" s="25" t="s">
        <v>101</v>
      </c>
      <c r="G85" s="25">
        <v>0</v>
      </c>
      <c r="H85" s="27">
        <v>99</v>
      </c>
      <c r="I85" s="28">
        <v>0.15</v>
      </c>
      <c r="J85" s="28">
        <v>0</v>
      </c>
      <c r="K85" s="25" t="s">
        <v>44</v>
      </c>
      <c r="L85" s="25" t="s">
        <v>40</v>
      </c>
      <c r="M85" s="35" t="s">
        <v>41</v>
      </c>
    </row>
    <row r="86" spans="1:13" x14ac:dyDescent="0.3">
      <c r="A86" s="34">
        <v>10257</v>
      </c>
      <c r="B86" s="26">
        <v>45760</v>
      </c>
      <c r="C86" s="25" t="s">
        <v>62</v>
      </c>
      <c r="D86" s="25" t="s">
        <v>72</v>
      </c>
      <c r="E86" s="25" t="s">
        <v>78</v>
      </c>
      <c r="F86" s="25" t="s">
        <v>88</v>
      </c>
      <c r="G86" s="25">
        <v>0</v>
      </c>
      <c r="H86" s="27">
        <v>2499</v>
      </c>
      <c r="I86" s="28">
        <v>0.1</v>
      </c>
      <c r="J86" s="28">
        <v>0</v>
      </c>
      <c r="K86" s="25" t="s">
        <v>39</v>
      </c>
      <c r="L86" s="25" t="s">
        <v>65</v>
      </c>
      <c r="M86" s="35" t="s">
        <v>41</v>
      </c>
    </row>
    <row r="87" spans="1:13" x14ac:dyDescent="0.3">
      <c r="A87" s="34">
        <v>10311</v>
      </c>
      <c r="B87" s="26">
        <v>45492</v>
      </c>
      <c r="C87" s="25" t="s">
        <v>71</v>
      </c>
      <c r="D87" s="25" t="s">
        <v>72</v>
      </c>
      <c r="E87" s="25" t="s">
        <v>76</v>
      </c>
      <c r="F87" s="25" t="s">
        <v>83</v>
      </c>
      <c r="G87" s="25">
        <v>0</v>
      </c>
      <c r="H87" s="27">
        <v>1299</v>
      </c>
      <c r="I87" s="28">
        <v>0.1</v>
      </c>
      <c r="J87" s="28">
        <v>0</v>
      </c>
      <c r="K87" s="25" t="s">
        <v>67</v>
      </c>
      <c r="L87" s="25" t="s">
        <v>65</v>
      </c>
      <c r="M87" s="35" t="s">
        <v>46</v>
      </c>
    </row>
    <row r="88" spans="1:13" x14ac:dyDescent="0.3">
      <c r="A88" s="34">
        <v>10318</v>
      </c>
      <c r="B88" s="26">
        <v>45491</v>
      </c>
      <c r="C88" s="25" t="s">
        <v>51</v>
      </c>
      <c r="D88" s="25" t="s">
        <v>52</v>
      </c>
      <c r="E88" s="25" t="s">
        <v>55</v>
      </c>
      <c r="F88" s="25" t="s">
        <v>79</v>
      </c>
      <c r="G88" s="25">
        <v>1</v>
      </c>
      <c r="H88" s="27">
        <v>599</v>
      </c>
      <c r="I88" s="28">
        <v>0.05</v>
      </c>
      <c r="J88" s="28">
        <v>569.04999999999995</v>
      </c>
      <c r="K88" s="25" t="s">
        <v>39</v>
      </c>
      <c r="L88" s="25" t="s">
        <v>49</v>
      </c>
      <c r="M88" s="35" t="s">
        <v>41</v>
      </c>
    </row>
    <row r="89" spans="1:13" x14ac:dyDescent="0.3">
      <c r="A89" s="34">
        <v>10075</v>
      </c>
      <c r="B89" s="26">
        <v>45621</v>
      </c>
      <c r="C89" s="25" t="s">
        <v>94</v>
      </c>
      <c r="D89" s="25" t="s">
        <v>59</v>
      </c>
      <c r="E89" s="25" t="s">
        <v>53</v>
      </c>
      <c r="F89" s="25" t="s">
        <v>102</v>
      </c>
      <c r="G89" s="25">
        <v>6</v>
      </c>
      <c r="H89" s="27">
        <v>899</v>
      </c>
      <c r="I89" s="28">
        <v>0.05</v>
      </c>
      <c r="J89" s="28">
        <v>5124.3</v>
      </c>
      <c r="K89" s="25" t="s">
        <v>109</v>
      </c>
      <c r="L89" s="25" t="s">
        <v>49</v>
      </c>
      <c r="M89" s="35" t="s">
        <v>50</v>
      </c>
    </row>
    <row r="90" spans="1:13" x14ac:dyDescent="0.3">
      <c r="A90" s="34">
        <v>10180</v>
      </c>
      <c r="B90" s="26">
        <v>45534</v>
      </c>
      <c r="C90" s="25" t="s">
        <v>106</v>
      </c>
      <c r="D90" s="25" t="s">
        <v>72</v>
      </c>
      <c r="E90" s="25" t="s">
        <v>75</v>
      </c>
      <c r="F90" s="25" t="s">
        <v>38</v>
      </c>
      <c r="G90" s="25">
        <v>3</v>
      </c>
      <c r="H90" s="27">
        <v>2999</v>
      </c>
      <c r="I90" s="28">
        <v>0.1</v>
      </c>
      <c r="J90" s="28">
        <v>8097.3</v>
      </c>
      <c r="K90" s="25" t="s">
        <v>67</v>
      </c>
      <c r="L90" s="25" t="s">
        <v>40</v>
      </c>
      <c r="M90" s="35" t="s">
        <v>41</v>
      </c>
    </row>
    <row r="91" spans="1:13" x14ac:dyDescent="0.3">
      <c r="A91" s="34">
        <v>10179</v>
      </c>
      <c r="B91" s="26">
        <v>45694</v>
      </c>
      <c r="C91" s="25" t="s">
        <v>206</v>
      </c>
      <c r="D91" s="25" t="s">
        <v>95</v>
      </c>
      <c r="E91" s="25" t="s">
        <v>75</v>
      </c>
      <c r="F91" s="25" t="s">
        <v>66</v>
      </c>
      <c r="G91" s="25">
        <v>3</v>
      </c>
      <c r="H91" s="27">
        <v>1499</v>
      </c>
      <c r="I91" s="28">
        <v>0</v>
      </c>
      <c r="J91" s="28">
        <v>4497</v>
      </c>
      <c r="K91" s="25" t="s">
        <v>44</v>
      </c>
      <c r="L91" s="25" t="s">
        <v>57</v>
      </c>
      <c r="M91" s="35" t="s">
        <v>41</v>
      </c>
    </row>
    <row r="92" spans="1:13" x14ac:dyDescent="0.3">
      <c r="A92" s="34">
        <v>10272</v>
      </c>
      <c r="B92" s="26">
        <v>45792</v>
      </c>
      <c r="C92" s="25" t="s">
        <v>206</v>
      </c>
      <c r="D92" s="25" t="s">
        <v>74</v>
      </c>
      <c r="E92" s="25" t="s">
        <v>69</v>
      </c>
      <c r="F92" s="25" t="s">
        <v>61</v>
      </c>
      <c r="G92" s="25">
        <v>6</v>
      </c>
      <c r="H92" s="27">
        <v>18999</v>
      </c>
      <c r="I92" s="28">
        <v>0.1</v>
      </c>
      <c r="J92" s="28">
        <v>102594.6</v>
      </c>
      <c r="K92" s="25" t="s">
        <v>108</v>
      </c>
      <c r="L92" s="25" t="s">
        <v>57</v>
      </c>
      <c r="M92" s="35" t="s">
        <v>46</v>
      </c>
    </row>
    <row r="93" spans="1:13" x14ac:dyDescent="0.3">
      <c r="A93" s="34">
        <v>10032</v>
      </c>
      <c r="B93" s="26">
        <v>45495</v>
      </c>
      <c r="C93" s="25" t="s">
        <v>206</v>
      </c>
      <c r="D93" s="25" t="s">
        <v>52</v>
      </c>
      <c r="E93" s="25" t="s">
        <v>53</v>
      </c>
      <c r="F93" s="25" t="s">
        <v>60</v>
      </c>
      <c r="G93" s="25">
        <v>1</v>
      </c>
      <c r="H93" s="27">
        <v>349</v>
      </c>
      <c r="I93" s="28">
        <v>0.05</v>
      </c>
      <c r="J93" s="28">
        <v>331.55</v>
      </c>
      <c r="K93" s="25" t="s">
        <v>67</v>
      </c>
      <c r="L93" s="25" t="s">
        <v>49</v>
      </c>
      <c r="M93" s="35" t="s">
        <v>41</v>
      </c>
    </row>
    <row r="94" spans="1:13" x14ac:dyDescent="0.3">
      <c r="A94" s="34">
        <v>10187</v>
      </c>
      <c r="B94" s="26">
        <v>45584</v>
      </c>
      <c r="C94" s="25" t="s">
        <v>114</v>
      </c>
      <c r="D94" s="25" t="s">
        <v>59</v>
      </c>
      <c r="E94" s="25" t="s">
        <v>37</v>
      </c>
      <c r="F94" s="25" t="s">
        <v>43</v>
      </c>
      <c r="G94" s="25">
        <v>4</v>
      </c>
      <c r="H94" s="27">
        <v>6499</v>
      </c>
      <c r="I94" s="28">
        <v>0.1</v>
      </c>
      <c r="J94" s="28">
        <v>23396.400000000001</v>
      </c>
      <c r="K94" s="25" t="s">
        <v>67</v>
      </c>
      <c r="L94" s="25" t="s">
        <v>57</v>
      </c>
      <c r="M94" s="35" t="s">
        <v>50</v>
      </c>
    </row>
    <row r="95" spans="1:13" x14ac:dyDescent="0.3">
      <c r="A95" s="34">
        <v>10019</v>
      </c>
      <c r="B95" s="26">
        <v>45754</v>
      </c>
      <c r="C95" s="25" t="s">
        <v>96</v>
      </c>
      <c r="D95" s="25" t="s">
        <v>95</v>
      </c>
      <c r="E95" s="25" t="s">
        <v>76</v>
      </c>
      <c r="F95" s="25" t="s">
        <v>104</v>
      </c>
      <c r="G95" s="25">
        <v>5</v>
      </c>
      <c r="H95" s="27">
        <v>4999</v>
      </c>
      <c r="I95" s="28">
        <v>0.1</v>
      </c>
      <c r="J95" s="28">
        <v>22495.5</v>
      </c>
      <c r="K95" s="25" t="s">
        <v>44</v>
      </c>
      <c r="L95" s="25" t="s">
        <v>65</v>
      </c>
      <c r="M95" s="35" t="s">
        <v>50</v>
      </c>
    </row>
    <row r="96" spans="1:13" x14ac:dyDescent="0.3">
      <c r="A96" s="34">
        <v>10313</v>
      </c>
      <c r="B96" s="26">
        <v>45648</v>
      </c>
      <c r="C96" s="25" t="s">
        <v>81</v>
      </c>
      <c r="D96" s="25" t="s">
        <v>72</v>
      </c>
      <c r="E96" s="25" t="s">
        <v>75</v>
      </c>
      <c r="F96" s="25" t="s">
        <v>66</v>
      </c>
      <c r="G96" s="25">
        <v>6</v>
      </c>
      <c r="H96" s="27">
        <v>1499</v>
      </c>
      <c r="I96" s="28">
        <v>0</v>
      </c>
      <c r="J96" s="28">
        <v>8994</v>
      </c>
      <c r="K96" s="25" t="s">
        <v>39</v>
      </c>
      <c r="L96" s="25" t="s">
        <v>65</v>
      </c>
      <c r="M96" s="35" t="s">
        <v>50</v>
      </c>
    </row>
    <row r="97" spans="1:13" x14ac:dyDescent="0.3">
      <c r="A97" s="34">
        <v>10160</v>
      </c>
      <c r="B97" s="26">
        <v>45631</v>
      </c>
      <c r="C97" s="25" t="s">
        <v>96</v>
      </c>
      <c r="D97" s="25" t="s">
        <v>72</v>
      </c>
      <c r="E97" s="25" t="s">
        <v>75</v>
      </c>
      <c r="F97" s="25" t="s">
        <v>66</v>
      </c>
      <c r="G97" s="25">
        <v>4</v>
      </c>
      <c r="H97" s="27">
        <v>1499</v>
      </c>
      <c r="I97" s="28">
        <v>0.05</v>
      </c>
      <c r="J97" s="28">
        <v>5696.2</v>
      </c>
      <c r="K97" s="25" t="s">
        <v>39</v>
      </c>
      <c r="L97" s="25" t="s">
        <v>65</v>
      </c>
      <c r="M97" s="35" t="s">
        <v>50</v>
      </c>
    </row>
    <row r="98" spans="1:13" x14ac:dyDescent="0.3">
      <c r="A98" s="34">
        <v>10256</v>
      </c>
      <c r="B98" s="26">
        <v>45931</v>
      </c>
      <c r="C98" s="25" t="s">
        <v>36</v>
      </c>
      <c r="D98" s="25" t="s">
        <v>95</v>
      </c>
      <c r="E98" s="25" t="s">
        <v>75</v>
      </c>
      <c r="F98" s="25" t="s">
        <v>99</v>
      </c>
      <c r="G98" s="25">
        <v>5</v>
      </c>
      <c r="H98" s="27">
        <v>12999</v>
      </c>
      <c r="I98" s="28">
        <v>0.05</v>
      </c>
      <c r="J98" s="28">
        <v>61745.25</v>
      </c>
      <c r="K98" s="25" t="s">
        <v>39</v>
      </c>
      <c r="L98" s="25" t="s">
        <v>40</v>
      </c>
      <c r="M98" s="35" t="s">
        <v>41</v>
      </c>
    </row>
    <row r="99" spans="1:13" x14ac:dyDescent="0.3">
      <c r="A99" s="34">
        <v>10132</v>
      </c>
      <c r="B99" s="26">
        <v>45717</v>
      </c>
      <c r="C99" s="25" t="s">
        <v>206</v>
      </c>
      <c r="D99" s="25" t="s">
        <v>72</v>
      </c>
      <c r="E99" s="25" t="s">
        <v>53</v>
      </c>
      <c r="F99" s="25" t="s">
        <v>54</v>
      </c>
      <c r="G99" s="25">
        <v>4</v>
      </c>
      <c r="H99" s="27">
        <v>149</v>
      </c>
      <c r="I99" s="28">
        <v>0.05</v>
      </c>
      <c r="J99" s="28">
        <v>566.19999999999993</v>
      </c>
      <c r="K99" s="25" t="s">
        <v>108</v>
      </c>
      <c r="L99" s="25" t="s">
        <v>40</v>
      </c>
      <c r="M99" s="35" t="s">
        <v>46</v>
      </c>
    </row>
    <row r="100" spans="1:13" x14ac:dyDescent="0.3">
      <c r="A100" s="34">
        <v>10266</v>
      </c>
      <c r="B100" s="26">
        <v>45674</v>
      </c>
      <c r="C100" s="25" t="s">
        <v>97</v>
      </c>
      <c r="D100" s="25" t="s">
        <v>74</v>
      </c>
      <c r="E100" s="25" t="s">
        <v>55</v>
      </c>
      <c r="F100" s="25" t="s">
        <v>103</v>
      </c>
      <c r="G100" s="25">
        <v>4</v>
      </c>
      <c r="H100" s="27">
        <v>999</v>
      </c>
      <c r="I100" s="28">
        <v>0</v>
      </c>
      <c r="J100" s="28">
        <v>3996</v>
      </c>
      <c r="K100" s="25" t="s">
        <v>204</v>
      </c>
      <c r="L100" s="25" t="s">
        <v>57</v>
      </c>
      <c r="M100" s="35" t="s">
        <v>50</v>
      </c>
    </row>
    <row r="101" spans="1:13" x14ac:dyDescent="0.3">
      <c r="A101" s="34">
        <v>10293</v>
      </c>
      <c r="B101" s="26">
        <v>45738</v>
      </c>
      <c r="C101" s="25" t="s">
        <v>51</v>
      </c>
      <c r="D101" s="25" t="s">
        <v>95</v>
      </c>
      <c r="E101" s="25" t="s">
        <v>75</v>
      </c>
      <c r="F101" s="25" t="s">
        <v>43</v>
      </c>
      <c r="G101" s="25">
        <v>3</v>
      </c>
      <c r="H101" s="27">
        <v>6499</v>
      </c>
      <c r="I101" s="28">
        <v>0.1</v>
      </c>
      <c r="J101" s="28">
        <v>17547.3</v>
      </c>
      <c r="K101" s="25" t="s">
        <v>44</v>
      </c>
      <c r="L101" s="25" t="s">
        <v>57</v>
      </c>
      <c r="M101" s="35" t="s">
        <v>41</v>
      </c>
    </row>
    <row r="102" spans="1:13" x14ac:dyDescent="0.3">
      <c r="A102" s="34">
        <v>10083</v>
      </c>
      <c r="B102" s="26">
        <v>45679</v>
      </c>
      <c r="C102" s="25" t="s">
        <v>98</v>
      </c>
      <c r="D102" s="25" t="s">
        <v>74</v>
      </c>
      <c r="E102" s="25" t="s">
        <v>37</v>
      </c>
      <c r="F102" s="25" t="s">
        <v>64</v>
      </c>
      <c r="G102" s="25">
        <v>6</v>
      </c>
      <c r="H102" s="27">
        <v>1799</v>
      </c>
      <c r="I102" s="28">
        <v>0.1</v>
      </c>
      <c r="J102" s="28">
        <v>9714.6</v>
      </c>
      <c r="K102" s="25" t="s">
        <v>67</v>
      </c>
      <c r="L102" s="25" t="s">
        <v>40</v>
      </c>
      <c r="M102" s="35" t="s">
        <v>41</v>
      </c>
    </row>
    <row r="103" spans="1:13" x14ac:dyDescent="0.3">
      <c r="A103" s="34">
        <v>10193</v>
      </c>
      <c r="B103" s="26">
        <v>45593</v>
      </c>
      <c r="C103" s="25" t="s">
        <v>111</v>
      </c>
      <c r="D103" s="25" t="s">
        <v>95</v>
      </c>
      <c r="E103" s="25" t="s">
        <v>53</v>
      </c>
      <c r="F103" s="25" t="s">
        <v>54</v>
      </c>
      <c r="G103" s="25">
        <v>6</v>
      </c>
      <c r="H103" s="27">
        <v>149</v>
      </c>
      <c r="I103" s="28">
        <v>0</v>
      </c>
      <c r="J103" s="28">
        <v>894</v>
      </c>
      <c r="K103" s="25" t="s">
        <v>108</v>
      </c>
      <c r="L103" s="25" t="s">
        <v>57</v>
      </c>
      <c r="M103" s="35" t="s">
        <v>41</v>
      </c>
    </row>
    <row r="104" spans="1:13" x14ac:dyDescent="0.3">
      <c r="A104" s="34">
        <v>10192</v>
      </c>
      <c r="B104" s="26">
        <v>45444</v>
      </c>
      <c r="C104" s="25" t="s">
        <v>47</v>
      </c>
      <c r="D104" s="25" t="s">
        <v>52</v>
      </c>
      <c r="E104" s="25" t="s">
        <v>76</v>
      </c>
      <c r="F104" s="25" t="s">
        <v>85</v>
      </c>
      <c r="G104" s="25">
        <v>5</v>
      </c>
      <c r="H104" s="27">
        <v>24999</v>
      </c>
      <c r="I104" s="28">
        <v>0</v>
      </c>
      <c r="J104" s="28">
        <v>124995</v>
      </c>
      <c r="K104" s="25" t="s">
        <v>108</v>
      </c>
      <c r="L104" s="25" t="s">
        <v>65</v>
      </c>
      <c r="M104" s="35" t="s">
        <v>46</v>
      </c>
    </row>
    <row r="105" spans="1:13" x14ac:dyDescent="0.3">
      <c r="A105" s="34">
        <v>10168</v>
      </c>
      <c r="B105" s="26">
        <v>45569</v>
      </c>
      <c r="C105" s="25" t="s">
        <v>47</v>
      </c>
      <c r="D105" s="25" t="s">
        <v>59</v>
      </c>
      <c r="E105" s="25" t="s">
        <v>69</v>
      </c>
      <c r="F105" s="25" t="s">
        <v>82</v>
      </c>
      <c r="G105" s="25">
        <v>0</v>
      </c>
      <c r="H105" s="27">
        <v>8999</v>
      </c>
      <c r="I105" s="28">
        <v>0.05</v>
      </c>
      <c r="J105" s="28">
        <v>0</v>
      </c>
      <c r="K105" s="25" t="s">
        <v>204</v>
      </c>
      <c r="L105" s="25" t="s">
        <v>57</v>
      </c>
      <c r="M105" s="35" t="s">
        <v>41</v>
      </c>
    </row>
    <row r="106" spans="1:13" x14ac:dyDescent="0.3">
      <c r="A106" s="34">
        <v>10007</v>
      </c>
      <c r="B106" s="26">
        <v>45732</v>
      </c>
      <c r="C106" s="25" t="s">
        <v>80</v>
      </c>
      <c r="D106" s="25" t="s">
        <v>95</v>
      </c>
      <c r="E106" s="25" t="s">
        <v>55</v>
      </c>
      <c r="F106" s="25" t="s">
        <v>73</v>
      </c>
      <c r="G106" s="25">
        <v>2</v>
      </c>
      <c r="H106" s="27">
        <v>5499</v>
      </c>
      <c r="I106" s="28">
        <v>0</v>
      </c>
      <c r="J106" s="28">
        <v>10998</v>
      </c>
      <c r="K106" s="25" t="s">
        <v>67</v>
      </c>
      <c r="L106" s="25" t="s">
        <v>57</v>
      </c>
      <c r="M106" s="35" t="s">
        <v>41</v>
      </c>
    </row>
    <row r="107" spans="1:13" x14ac:dyDescent="0.3">
      <c r="A107" s="34">
        <v>10124</v>
      </c>
      <c r="B107" s="26">
        <v>45296</v>
      </c>
      <c r="C107" s="25" t="s">
        <v>206</v>
      </c>
      <c r="D107" s="25" t="s">
        <v>74</v>
      </c>
      <c r="E107" s="25" t="s">
        <v>53</v>
      </c>
      <c r="F107" s="25" t="s">
        <v>86</v>
      </c>
      <c r="G107" s="25">
        <v>4</v>
      </c>
      <c r="H107" s="27">
        <v>599</v>
      </c>
      <c r="I107" s="28">
        <v>0.1</v>
      </c>
      <c r="J107" s="28">
        <v>2156.4</v>
      </c>
      <c r="K107" s="25" t="s">
        <v>108</v>
      </c>
      <c r="L107" s="25" t="s">
        <v>57</v>
      </c>
      <c r="M107" s="35" t="s">
        <v>41</v>
      </c>
    </row>
    <row r="108" spans="1:13" x14ac:dyDescent="0.3">
      <c r="A108" s="34">
        <v>10262</v>
      </c>
      <c r="B108" s="26">
        <v>45372</v>
      </c>
      <c r="C108" s="25" t="s">
        <v>42</v>
      </c>
      <c r="D108" s="25" t="s">
        <v>95</v>
      </c>
      <c r="E108" s="25" t="s">
        <v>69</v>
      </c>
      <c r="F108" s="25" t="s">
        <v>70</v>
      </c>
      <c r="G108" s="25">
        <v>2</v>
      </c>
      <c r="H108" s="27">
        <v>5499</v>
      </c>
      <c r="I108" s="28">
        <v>0.1</v>
      </c>
      <c r="J108" s="28">
        <v>9898.2000000000007</v>
      </c>
      <c r="K108" s="25" t="s">
        <v>108</v>
      </c>
      <c r="L108" s="25" t="s">
        <v>65</v>
      </c>
      <c r="M108" s="35" t="s">
        <v>50</v>
      </c>
    </row>
    <row r="109" spans="1:13" x14ac:dyDescent="0.3">
      <c r="A109" s="34">
        <v>10115</v>
      </c>
      <c r="B109" s="26">
        <v>45363</v>
      </c>
      <c r="C109" s="25" t="s">
        <v>111</v>
      </c>
      <c r="D109" s="25" t="s">
        <v>74</v>
      </c>
      <c r="E109" s="25" t="s">
        <v>37</v>
      </c>
      <c r="F109" s="25" t="s">
        <v>105</v>
      </c>
      <c r="G109" s="25">
        <v>5</v>
      </c>
      <c r="H109" s="27">
        <v>1199</v>
      </c>
      <c r="I109" s="28">
        <v>0</v>
      </c>
      <c r="J109" s="28">
        <v>5995</v>
      </c>
      <c r="K109" s="25" t="s">
        <v>109</v>
      </c>
      <c r="L109" s="25" t="s">
        <v>45</v>
      </c>
      <c r="M109" s="35" t="s">
        <v>50</v>
      </c>
    </row>
    <row r="110" spans="1:13" x14ac:dyDescent="0.3">
      <c r="A110" s="34">
        <v>10223</v>
      </c>
      <c r="B110" s="26">
        <v>45962</v>
      </c>
      <c r="C110" s="25" t="s">
        <v>110</v>
      </c>
      <c r="D110" s="25" t="s">
        <v>72</v>
      </c>
      <c r="E110" s="25" t="s">
        <v>53</v>
      </c>
      <c r="F110" s="25" t="s">
        <v>54</v>
      </c>
      <c r="G110" s="25">
        <v>2</v>
      </c>
      <c r="H110" s="27">
        <v>149</v>
      </c>
      <c r="I110" s="28">
        <v>0</v>
      </c>
      <c r="J110" s="28">
        <v>298</v>
      </c>
      <c r="K110" s="25" t="s">
        <v>39</v>
      </c>
      <c r="L110" s="25" t="s">
        <v>65</v>
      </c>
      <c r="M110" s="35" t="s">
        <v>50</v>
      </c>
    </row>
    <row r="111" spans="1:13" x14ac:dyDescent="0.3">
      <c r="A111" s="34">
        <v>10264</v>
      </c>
      <c r="B111" s="26">
        <v>45774</v>
      </c>
      <c r="C111" s="25" t="s">
        <v>206</v>
      </c>
      <c r="D111" s="25" t="s">
        <v>74</v>
      </c>
      <c r="E111" s="25" t="s">
        <v>53</v>
      </c>
      <c r="F111" s="25" t="s">
        <v>86</v>
      </c>
      <c r="G111" s="25">
        <v>2</v>
      </c>
      <c r="H111" s="27">
        <v>599</v>
      </c>
      <c r="I111" s="28">
        <v>0</v>
      </c>
      <c r="J111" s="28">
        <v>1198</v>
      </c>
      <c r="K111" s="25" t="s">
        <v>67</v>
      </c>
      <c r="L111" s="25" t="s">
        <v>40</v>
      </c>
      <c r="M111" s="35" t="s">
        <v>41</v>
      </c>
    </row>
    <row r="112" spans="1:13" x14ac:dyDescent="0.3">
      <c r="A112" s="34">
        <v>10144</v>
      </c>
      <c r="B112" s="26">
        <v>45330</v>
      </c>
      <c r="C112" s="25" t="s">
        <v>97</v>
      </c>
      <c r="D112" s="25" t="s">
        <v>95</v>
      </c>
      <c r="E112" s="25" t="s">
        <v>69</v>
      </c>
      <c r="F112" s="25" t="s">
        <v>68</v>
      </c>
      <c r="G112" s="25">
        <v>6</v>
      </c>
      <c r="H112" s="27">
        <v>6999</v>
      </c>
      <c r="I112" s="28">
        <v>0.05</v>
      </c>
      <c r="J112" s="28">
        <v>39894.299999999996</v>
      </c>
      <c r="K112" s="25" t="s">
        <v>109</v>
      </c>
      <c r="L112" s="25" t="s">
        <v>40</v>
      </c>
      <c r="M112" s="35" t="s">
        <v>50</v>
      </c>
    </row>
    <row r="113" spans="1:13" x14ac:dyDescent="0.3">
      <c r="A113" s="34">
        <v>10114</v>
      </c>
      <c r="B113" s="26">
        <v>45447</v>
      </c>
      <c r="C113" s="25" t="s">
        <v>110</v>
      </c>
      <c r="D113" s="25" t="s">
        <v>72</v>
      </c>
      <c r="E113" s="25" t="s">
        <v>69</v>
      </c>
      <c r="F113" s="25" t="s">
        <v>70</v>
      </c>
      <c r="G113" s="25">
        <v>2</v>
      </c>
      <c r="H113" s="27">
        <v>5499</v>
      </c>
      <c r="I113" s="28">
        <v>0.05</v>
      </c>
      <c r="J113" s="28">
        <v>10448.1</v>
      </c>
      <c r="K113" s="25" t="s">
        <v>109</v>
      </c>
      <c r="L113" s="25" t="s">
        <v>49</v>
      </c>
      <c r="M113" s="35" t="s">
        <v>41</v>
      </c>
    </row>
    <row r="114" spans="1:13" x14ac:dyDescent="0.3">
      <c r="A114" s="34">
        <v>10048</v>
      </c>
      <c r="B114" s="26">
        <v>45759</v>
      </c>
      <c r="C114" s="25" t="s">
        <v>94</v>
      </c>
      <c r="D114" s="25" t="s">
        <v>72</v>
      </c>
      <c r="E114" s="25" t="s">
        <v>53</v>
      </c>
      <c r="F114" s="25" t="s">
        <v>90</v>
      </c>
      <c r="G114" s="25">
        <v>4</v>
      </c>
      <c r="H114" s="27">
        <v>199</v>
      </c>
      <c r="I114" s="28">
        <v>0.1</v>
      </c>
      <c r="J114" s="28">
        <v>716.4</v>
      </c>
      <c r="K114" s="25" t="s">
        <v>109</v>
      </c>
      <c r="L114" s="25" t="s">
        <v>65</v>
      </c>
      <c r="M114" s="35" t="s">
        <v>41</v>
      </c>
    </row>
    <row r="115" spans="1:13" x14ac:dyDescent="0.3">
      <c r="A115" s="34">
        <v>10087</v>
      </c>
      <c r="B115" s="26">
        <v>45622</v>
      </c>
      <c r="C115" s="25" t="s">
        <v>77</v>
      </c>
      <c r="D115" s="25" t="s">
        <v>52</v>
      </c>
      <c r="E115" s="25" t="s">
        <v>53</v>
      </c>
      <c r="F115" s="25" t="s">
        <v>91</v>
      </c>
      <c r="G115" s="25">
        <v>4</v>
      </c>
      <c r="H115" s="27">
        <v>249</v>
      </c>
      <c r="I115" s="28">
        <v>0</v>
      </c>
      <c r="J115" s="28">
        <v>996</v>
      </c>
      <c r="K115" s="25" t="s">
        <v>44</v>
      </c>
      <c r="L115" s="25" t="s">
        <v>65</v>
      </c>
      <c r="M115" s="35" t="s">
        <v>50</v>
      </c>
    </row>
    <row r="116" spans="1:13" x14ac:dyDescent="0.3">
      <c r="A116" s="34">
        <v>10157</v>
      </c>
      <c r="B116" s="26">
        <v>45735</v>
      </c>
      <c r="C116" s="25" t="s">
        <v>47</v>
      </c>
      <c r="D116" s="25" t="s">
        <v>52</v>
      </c>
      <c r="E116" s="25" t="s">
        <v>75</v>
      </c>
      <c r="F116" s="25" t="s">
        <v>48</v>
      </c>
      <c r="G116" s="25">
        <v>1</v>
      </c>
      <c r="H116" s="27">
        <v>799</v>
      </c>
      <c r="I116" s="28">
        <v>0.15</v>
      </c>
      <c r="J116" s="28">
        <v>679.15</v>
      </c>
      <c r="K116" s="25" t="s">
        <v>39</v>
      </c>
      <c r="L116" s="25" t="s">
        <v>45</v>
      </c>
      <c r="M116" s="35" t="s">
        <v>203</v>
      </c>
    </row>
    <row r="117" spans="1:13" x14ac:dyDescent="0.3">
      <c r="A117" s="34">
        <v>10066</v>
      </c>
      <c r="B117" s="26">
        <v>45744</v>
      </c>
      <c r="C117" s="25" t="s">
        <v>106</v>
      </c>
      <c r="D117" s="25" t="s">
        <v>52</v>
      </c>
      <c r="E117" s="25" t="s">
        <v>55</v>
      </c>
      <c r="F117" s="25" t="s">
        <v>92</v>
      </c>
      <c r="G117" s="25">
        <v>3</v>
      </c>
      <c r="H117" s="27">
        <v>799</v>
      </c>
      <c r="I117" s="28">
        <v>0</v>
      </c>
      <c r="J117" s="28">
        <v>2397</v>
      </c>
      <c r="K117" s="25" t="s">
        <v>67</v>
      </c>
      <c r="L117" s="25" t="s">
        <v>40</v>
      </c>
      <c r="M117" s="35" t="s">
        <v>41</v>
      </c>
    </row>
    <row r="118" spans="1:13" x14ac:dyDescent="0.3">
      <c r="A118" s="34">
        <v>10009</v>
      </c>
      <c r="B118" s="26">
        <v>45741</v>
      </c>
      <c r="C118" s="25" t="s">
        <v>114</v>
      </c>
      <c r="D118" s="25" t="s">
        <v>72</v>
      </c>
      <c r="E118" s="25" t="s">
        <v>69</v>
      </c>
      <c r="F118" s="25" t="s">
        <v>104</v>
      </c>
      <c r="G118" s="25">
        <v>5</v>
      </c>
      <c r="H118" s="27">
        <v>4999</v>
      </c>
      <c r="I118" s="28">
        <v>0.1</v>
      </c>
      <c r="J118" s="28">
        <v>22495.5</v>
      </c>
      <c r="K118" s="25" t="s">
        <v>44</v>
      </c>
      <c r="L118" s="25" t="s">
        <v>40</v>
      </c>
      <c r="M118" s="35" t="s">
        <v>41</v>
      </c>
    </row>
    <row r="119" spans="1:13" x14ac:dyDescent="0.3">
      <c r="A119" s="34">
        <v>10209</v>
      </c>
      <c r="B119" s="26">
        <v>45693</v>
      </c>
      <c r="C119" s="25" t="s">
        <v>94</v>
      </c>
      <c r="D119" s="25" t="s">
        <v>72</v>
      </c>
      <c r="E119" s="25" t="s">
        <v>55</v>
      </c>
      <c r="F119" s="25" t="s">
        <v>103</v>
      </c>
      <c r="G119" s="25">
        <v>0</v>
      </c>
      <c r="H119" s="27">
        <v>999</v>
      </c>
      <c r="I119" s="28">
        <v>0.1</v>
      </c>
      <c r="J119" s="28">
        <v>0</v>
      </c>
      <c r="K119" s="25" t="s">
        <v>44</v>
      </c>
      <c r="L119" s="25" t="s">
        <v>57</v>
      </c>
      <c r="M119" s="35" t="s">
        <v>50</v>
      </c>
    </row>
    <row r="120" spans="1:13" x14ac:dyDescent="0.3">
      <c r="A120" s="34">
        <v>10138</v>
      </c>
      <c r="B120" s="26">
        <v>45708</v>
      </c>
      <c r="C120" s="25" t="s">
        <v>205</v>
      </c>
      <c r="D120" s="25" t="s">
        <v>72</v>
      </c>
      <c r="E120" s="25" t="s">
        <v>76</v>
      </c>
      <c r="F120" s="25" t="s">
        <v>83</v>
      </c>
      <c r="G120" s="25">
        <v>3</v>
      </c>
      <c r="H120" s="27">
        <v>1299</v>
      </c>
      <c r="I120" s="28">
        <v>0</v>
      </c>
      <c r="J120" s="28">
        <v>3897</v>
      </c>
      <c r="K120" s="25" t="s">
        <v>109</v>
      </c>
      <c r="L120" s="25" t="s">
        <v>45</v>
      </c>
      <c r="M120" s="35" t="s">
        <v>41</v>
      </c>
    </row>
    <row r="121" spans="1:13" x14ac:dyDescent="0.3">
      <c r="A121" s="34">
        <v>10044</v>
      </c>
      <c r="B121" s="26">
        <v>45734</v>
      </c>
      <c r="C121" s="25" t="s">
        <v>111</v>
      </c>
      <c r="D121" s="25" t="s">
        <v>74</v>
      </c>
      <c r="E121" s="25" t="s">
        <v>78</v>
      </c>
      <c r="F121" s="25" t="s">
        <v>73</v>
      </c>
      <c r="G121" s="25">
        <v>3</v>
      </c>
      <c r="H121" s="27">
        <v>5499</v>
      </c>
      <c r="I121" s="28">
        <v>0.05</v>
      </c>
      <c r="J121" s="28">
        <v>15672.15</v>
      </c>
      <c r="K121" s="25" t="s">
        <v>109</v>
      </c>
      <c r="L121" s="25" t="s">
        <v>57</v>
      </c>
      <c r="M121" s="35" t="s">
        <v>50</v>
      </c>
    </row>
    <row r="122" spans="1:13" x14ac:dyDescent="0.3">
      <c r="A122" s="34">
        <v>10290</v>
      </c>
      <c r="B122" s="26">
        <v>45398</v>
      </c>
      <c r="C122" s="25" t="s">
        <v>115</v>
      </c>
      <c r="D122" s="25" t="s">
        <v>74</v>
      </c>
      <c r="E122" s="25" t="s">
        <v>55</v>
      </c>
      <c r="F122" s="25" t="s">
        <v>56</v>
      </c>
      <c r="G122" s="25">
        <v>6</v>
      </c>
      <c r="H122" s="27">
        <v>3999</v>
      </c>
      <c r="I122" s="28">
        <v>0</v>
      </c>
      <c r="J122" s="28">
        <v>23994</v>
      </c>
      <c r="K122" s="25" t="s">
        <v>44</v>
      </c>
      <c r="L122" s="25" t="s">
        <v>40</v>
      </c>
      <c r="M122" s="35" t="s">
        <v>50</v>
      </c>
    </row>
    <row r="123" spans="1:13" x14ac:dyDescent="0.3">
      <c r="A123" s="34">
        <v>10080</v>
      </c>
      <c r="B123" s="26">
        <v>45532</v>
      </c>
      <c r="C123" s="25" t="s">
        <v>71</v>
      </c>
      <c r="D123" s="25" t="s">
        <v>52</v>
      </c>
      <c r="E123" s="25" t="s">
        <v>75</v>
      </c>
      <c r="F123" s="25" t="s">
        <v>64</v>
      </c>
      <c r="G123" s="25">
        <v>3</v>
      </c>
      <c r="H123" s="27">
        <v>1799</v>
      </c>
      <c r="I123" s="28">
        <v>0.1</v>
      </c>
      <c r="J123" s="28">
        <v>4857.3</v>
      </c>
      <c r="K123" s="25" t="s">
        <v>39</v>
      </c>
      <c r="L123" s="25" t="s">
        <v>57</v>
      </c>
      <c r="M123" s="35" t="s">
        <v>41</v>
      </c>
    </row>
    <row r="124" spans="1:13" x14ac:dyDescent="0.3">
      <c r="A124" s="34">
        <v>10170</v>
      </c>
      <c r="B124" s="26">
        <v>45647</v>
      </c>
      <c r="C124" s="25" t="s">
        <v>116</v>
      </c>
      <c r="D124" s="25" t="s">
        <v>52</v>
      </c>
      <c r="E124" s="25" t="s">
        <v>76</v>
      </c>
      <c r="F124" s="25" t="s">
        <v>104</v>
      </c>
      <c r="G124" s="25">
        <v>4</v>
      </c>
      <c r="H124" s="27">
        <v>4999</v>
      </c>
      <c r="I124" s="28">
        <v>0</v>
      </c>
      <c r="J124" s="28">
        <v>19996</v>
      </c>
      <c r="K124" s="25" t="s">
        <v>109</v>
      </c>
      <c r="L124" s="25" t="s">
        <v>45</v>
      </c>
      <c r="M124" s="35" t="s">
        <v>50</v>
      </c>
    </row>
    <row r="125" spans="1:13" x14ac:dyDescent="0.3">
      <c r="A125" s="34">
        <v>10204</v>
      </c>
      <c r="B125" s="26">
        <v>45604</v>
      </c>
      <c r="C125" s="25" t="s">
        <v>36</v>
      </c>
      <c r="D125" s="25" t="s">
        <v>52</v>
      </c>
      <c r="E125" s="25" t="s">
        <v>75</v>
      </c>
      <c r="F125" s="25" t="s">
        <v>48</v>
      </c>
      <c r="G125" s="25">
        <v>6</v>
      </c>
      <c r="H125" s="27">
        <v>799</v>
      </c>
      <c r="I125" s="28">
        <v>0.05</v>
      </c>
      <c r="J125" s="28">
        <v>4554.3</v>
      </c>
      <c r="K125" s="25" t="s">
        <v>109</v>
      </c>
      <c r="L125" s="25" t="s">
        <v>40</v>
      </c>
      <c r="M125" s="35" t="s">
        <v>41</v>
      </c>
    </row>
    <row r="126" spans="1:13" x14ac:dyDescent="0.3">
      <c r="A126" s="34">
        <v>10164</v>
      </c>
      <c r="B126" s="26">
        <v>45712</v>
      </c>
      <c r="C126" s="25" t="s">
        <v>110</v>
      </c>
      <c r="D126" s="25" t="s">
        <v>74</v>
      </c>
      <c r="E126" s="25" t="s">
        <v>55</v>
      </c>
      <c r="F126" s="25" t="s">
        <v>88</v>
      </c>
      <c r="G126" s="25">
        <v>4</v>
      </c>
      <c r="H126" s="27">
        <v>2499</v>
      </c>
      <c r="I126" s="28">
        <v>0.05</v>
      </c>
      <c r="J126" s="28">
        <v>9496.1999999999989</v>
      </c>
      <c r="K126" s="25" t="s">
        <v>67</v>
      </c>
      <c r="L126" s="25" t="s">
        <v>65</v>
      </c>
      <c r="M126" s="35" t="s">
        <v>46</v>
      </c>
    </row>
    <row r="127" spans="1:13" x14ac:dyDescent="0.3">
      <c r="A127" s="34">
        <v>10268</v>
      </c>
      <c r="B127" s="26">
        <v>45579</v>
      </c>
      <c r="C127" s="25" t="s">
        <v>116</v>
      </c>
      <c r="D127" s="25" t="s">
        <v>52</v>
      </c>
      <c r="E127" s="25" t="s">
        <v>55</v>
      </c>
      <c r="F127" s="25" t="s">
        <v>79</v>
      </c>
      <c r="G127" s="25">
        <v>2</v>
      </c>
      <c r="H127" s="27">
        <v>599</v>
      </c>
      <c r="I127" s="28">
        <v>0</v>
      </c>
      <c r="J127" s="28">
        <v>1198</v>
      </c>
      <c r="K127" s="25" t="s">
        <v>39</v>
      </c>
      <c r="L127" s="25" t="s">
        <v>57</v>
      </c>
      <c r="M127" s="35" t="s">
        <v>50</v>
      </c>
    </row>
    <row r="128" spans="1:13" x14ac:dyDescent="0.3">
      <c r="A128" s="34">
        <v>10220</v>
      </c>
      <c r="B128" s="26">
        <v>45620</v>
      </c>
      <c r="C128" s="25" t="s">
        <v>93</v>
      </c>
      <c r="D128" s="25" t="s">
        <v>59</v>
      </c>
      <c r="E128" s="25" t="s">
        <v>53</v>
      </c>
      <c r="F128" s="25" t="s">
        <v>102</v>
      </c>
      <c r="G128" s="25">
        <v>3</v>
      </c>
      <c r="H128" s="27">
        <v>899</v>
      </c>
      <c r="I128" s="28">
        <v>0.1</v>
      </c>
      <c r="J128" s="28">
        <v>2427.3000000000002</v>
      </c>
      <c r="K128" s="25" t="s">
        <v>109</v>
      </c>
      <c r="L128" s="25" t="s">
        <v>40</v>
      </c>
      <c r="M128" s="35" t="s">
        <v>41</v>
      </c>
    </row>
    <row r="129" spans="1:13" x14ac:dyDescent="0.3">
      <c r="A129" s="34">
        <v>10183</v>
      </c>
      <c r="B129" s="26">
        <v>45550</v>
      </c>
      <c r="C129" s="25" t="s">
        <v>112</v>
      </c>
      <c r="D129" s="25" t="s">
        <v>52</v>
      </c>
      <c r="E129" s="25" t="s">
        <v>53</v>
      </c>
      <c r="F129" s="25" t="s">
        <v>91</v>
      </c>
      <c r="G129" s="25">
        <v>3</v>
      </c>
      <c r="H129" s="27">
        <v>249</v>
      </c>
      <c r="I129" s="28">
        <v>0.05</v>
      </c>
      <c r="J129" s="28">
        <v>709.65</v>
      </c>
      <c r="K129" s="25" t="s">
        <v>108</v>
      </c>
      <c r="L129" s="25" t="s">
        <v>40</v>
      </c>
      <c r="M129" s="35" t="s">
        <v>46</v>
      </c>
    </row>
    <row r="130" spans="1:13" x14ac:dyDescent="0.3">
      <c r="A130" s="34">
        <v>10176</v>
      </c>
      <c r="B130" s="26">
        <v>45481</v>
      </c>
      <c r="C130" s="25" t="s">
        <v>112</v>
      </c>
      <c r="D130" s="25" t="s">
        <v>95</v>
      </c>
      <c r="E130" s="25" t="s">
        <v>69</v>
      </c>
      <c r="F130" s="25" t="s">
        <v>83</v>
      </c>
      <c r="G130" s="25">
        <v>3</v>
      </c>
      <c r="H130" s="27">
        <v>1299</v>
      </c>
      <c r="I130" s="28">
        <v>0</v>
      </c>
      <c r="J130" s="28">
        <v>3897</v>
      </c>
      <c r="K130" s="25" t="s">
        <v>109</v>
      </c>
      <c r="L130" s="25" t="s">
        <v>57</v>
      </c>
      <c r="M130" s="35" t="s">
        <v>50</v>
      </c>
    </row>
    <row r="131" spans="1:13" x14ac:dyDescent="0.3">
      <c r="A131" s="34">
        <v>10167</v>
      </c>
      <c r="B131" s="26">
        <v>45320</v>
      </c>
      <c r="C131" s="25" t="s">
        <v>84</v>
      </c>
      <c r="D131" s="25" t="s">
        <v>74</v>
      </c>
      <c r="E131" s="25" t="s">
        <v>53</v>
      </c>
      <c r="F131" s="25" t="s">
        <v>54</v>
      </c>
      <c r="G131" s="25">
        <v>3</v>
      </c>
      <c r="H131" s="27">
        <v>149</v>
      </c>
      <c r="I131" s="28">
        <v>0.1</v>
      </c>
      <c r="J131" s="28">
        <v>402.3</v>
      </c>
      <c r="K131" s="25" t="s">
        <v>39</v>
      </c>
      <c r="L131" s="25" t="s">
        <v>45</v>
      </c>
      <c r="M131" s="35" t="s">
        <v>46</v>
      </c>
    </row>
    <row r="132" spans="1:13" x14ac:dyDescent="0.3">
      <c r="A132" s="34">
        <v>10218</v>
      </c>
      <c r="B132" s="26">
        <v>45405</v>
      </c>
      <c r="C132" s="25" t="s">
        <v>116</v>
      </c>
      <c r="D132" s="25" t="s">
        <v>52</v>
      </c>
      <c r="E132" s="25" t="s">
        <v>75</v>
      </c>
      <c r="F132" s="25" t="s">
        <v>38</v>
      </c>
      <c r="G132" s="25">
        <v>6</v>
      </c>
      <c r="H132" s="27">
        <v>2999</v>
      </c>
      <c r="I132" s="28">
        <v>0.05</v>
      </c>
      <c r="J132" s="28">
        <v>17094.3</v>
      </c>
      <c r="K132" s="25" t="s">
        <v>67</v>
      </c>
      <c r="L132" s="25" t="s">
        <v>40</v>
      </c>
      <c r="M132" s="35" t="s">
        <v>41</v>
      </c>
    </row>
    <row r="133" spans="1:13" x14ac:dyDescent="0.3">
      <c r="A133" s="34">
        <v>10297</v>
      </c>
      <c r="B133" s="26">
        <v>45695</v>
      </c>
      <c r="C133" s="25" t="s">
        <v>62</v>
      </c>
      <c r="D133" s="25" t="s">
        <v>72</v>
      </c>
      <c r="E133" s="25" t="s">
        <v>53</v>
      </c>
      <c r="F133" s="25" t="s">
        <v>54</v>
      </c>
      <c r="G133" s="25">
        <v>4</v>
      </c>
      <c r="H133" s="27">
        <v>149</v>
      </c>
      <c r="I133" s="28">
        <v>0.05</v>
      </c>
      <c r="J133" s="28">
        <v>566.19999999999993</v>
      </c>
      <c r="K133" s="25" t="s">
        <v>204</v>
      </c>
      <c r="L133" s="25" t="s">
        <v>40</v>
      </c>
      <c r="M133" s="35" t="s">
        <v>50</v>
      </c>
    </row>
    <row r="134" spans="1:13" x14ac:dyDescent="0.3">
      <c r="A134" s="34">
        <v>10240</v>
      </c>
      <c r="B134" s="26">
        <v>45357</v>
      </c>
      <c r="C134" s="25" t="s">
        <v>106</v>
      </c>
      <c r="D134" s="25" t="s">
        <v>59</v>
      </c>
      <c r="E134" s="25" t="s">
        <v>55</v>
      </c>
      <c r="F134" s="25" t="s">
        <v>73</v>
      </c>
      <c r="G134" s="25">
        <v>5</v>
      </c>
      <c r="H134" s="27">
        <v>5499</v>
      </c>
      <c r="I134" s="28">
        <v>0.1</v>
      </c>
      <c r="J134" s="28">
        <v>24745.5</v>
      </c>
      <c r="K134" s="25" t="s">
        <v>109</v>
      </c>
      <c r="L134" s="25" t="s">
        <v>45</v>
      </c>
      <c r="M134" s="35" t="s">
        <v>41</v>
      </c>
    </row>
    <row r="135" spans="1:13" x14ac:dyDescent="0.3">
      <c r="A135" s="34">
        <v>10002</v>
      </c>
      <c r="B135" s="26">
        <v>45336</v>
      </c>
      <c r="C135" s="25" t="s">
        <v>115</v>
      </c>
      <c r="D135" s="25" t="s">
        <v>59</v>
      </c>
      <c r="E135" s="25" t="s">
        <v>75</v>
      </c>
      <c r="F135" s="25" t="s">
        <v>48</v>
      </c>
      <c r="G135" s="25">
        <v>6</v>
      </c>
      <c r="H135" s="27">
        <v>799</v>
      </c>
      <c r="I135" s="28">
        <v>0.1</v>
      </c>
      <c r="J135" s="28">
        <v>4314.6000000000004</v>
      </c>
      <c r="K135" s="25" t="s">
        <v>39</v>
      </c>
      <c r="L135" s="25" t="s">
        <v>45</v>
      </c>
      <c r="M135" s="35" t="s">
        <v>41</v>
      </c>
    </row>
    <row r="136" spans="1:13" x14ac:dyDescent="0.3">
      <c r="A136" s="34">
        <v>10195</v>
      </c>
      <c r="B136" s="26">
        <v>45394</v>
      </c>
      <c r="C136" s="25" t="s">
        <v>84</v>
      </c>
      <c r="D136" s="25" t="s">
        <v>72</v>
      </c>
      <c r="E136" s="25" t="s">
        <v>55</v>
      </c>
      <c r="F136" s="25" t="s">
        <v>103</v>
      </c>
      <c r="G136" s="25">
        <v>1</v>
      </c>
      <c r="H136" s="27">
        <v>999</v>
      </c>
      <c r="I136" s="28">
        <v>0.1</v>
      </c>
      <c r="J136" s="28">
        <v>899.1</v>
      </c>
      <c r="K136" s="25" t="s">
        <v>44</v>
      </c>
      <c r="L136" s="25" t="s">
        <v>57</v>
      </c>
      <c r="M136" s="35" t="s">
        <v>41</v>
      </c>
    </row>
    <row r="137" spans="1:13" x14ac:dyDescent="0.3">
      <c r="A137" s="34">
        <v>10095</v>
      </c>
      <c r="B137" s="26">
        <v>45419</v>
      </c>
      <c r="C137" s="25" t="s">
        <v>62</v>
      </c>
      <c r="D137" s="25" t="s">
        <v>52</v>
      </c>
      <c r="E137" s="25" t="s">
        <v>76</v>
      </c>
      <c r="F137" s="25" t="s">
        <v>70</v>
      </c>
      <c r="G137" s="25">
        <v>3</v>
      </c>
      <c r="H137" s="27">
        <v>5499</v>
      </c>
      <c r="I137" s="28">
        <v>0.05</v>
      </c>
      <c r="J137" s="28">
        <v>15672.15</v>
      </c>
      <c r="K137" s="25" t="s">
        <v>39</v>
      </c>
      <c r="L137" s="25" t="s">
        <v>57</v>
      </c>
      <c r="M137" s="35" t="s">
        <v>41</v>
      </c>
    </row>
    <row r="138" spans="1:13" x14ac:dyDescent="0.3">
      <c r="A138" s="34">
        <v>10049</v>
      </c>
      <c r="B138" s="26">
        <v>45330</v>
      </c>
      <c r="C138" s="25" t="s">
        <v>89</v>
      </c>
      <c r="D138" s="25" t="s">
        <v>72</v>
      </c>
      <c r="E138" s="25" t="s">
        <v>55</v>
      </c>
      <c r="F138" s="25" t="s">
        <v>103</v>
      </c>
      <c r="G138" s="25">
        <v>3</v>
      </c>
      <c r="H138" s="27">
        <v>999</v>
      </c>
      <c r="I138" s="28">
        <v>0</v>
      </c>
      <c r="J138" s="28">
        <v>2997</v>
      </c>
      <c r="K138" s="25" t="s">
        <v>109</v>
      </c>
      <c r="L138" s="25" t="s">
        <v>57</v>
      </c>
      <c r="M138" s="35" t="s">
        <v>50</v>
      </c>
    </row>
    <row r="139" spans="1:13" x14ac:dyDescent="0.3">
      <c r="A139" s="34">
        <v>10104</v>
      </c>
      <c r="B139" s="26">
        <v>45347</v>
      </c>
      <c r="C139" s="25" t="s">
        <v>116</v>
      </c>
      <c r="D139" s="25" t="s">
        <v>52</v>
      </c>
      <c r="E139" s="25" t="s">
        <v>69</v>
      </c>
      <c r="F139" s="25" t="s">
        <v>70</v>
      </c>
      <c r="G139" s="25">
        <v>3</v>
      </c>
      <c r="H139" s="27">
        <v>5499</v>
      </c>
      <c r="I139" s="28">
        <v>0</v>
      </c>
      <c r="J139" s="28">
        <v>16497</v>
      </c>
      <c r="K139" s="25" t="s">
        <v>204</v>
      </c>
      <c r="L139" s="25" t="s">
        <v>45</v>
      </c>
      <c r="M139" s="35" t="s">
        <v>46</v>
      </c>
    </row>
    <row r="140" spans="1:13" x14ac:dyDescent="0.3">
      <c r="A140" s="34">
        <v>10037</v>
      </c>
      <c r="B140" s="26">
        <v>45343</v>
      </c>
      <c r="C140" s="25" t="s">
        <v>114</v>
      </c>
      <c r="D140" s="25" t="s">
        <v>52</v>
      </c>
      <c r="E140" s="25" t="s">
        <v>53</v>
      </c>
      <c r="F140" s="25" t="s">
        <v>90</v>
      </c>
      <c r="G140" s="25">
        <v>5</v>
      </c>
      <c r="H140" s="27">
        <v>199</v>
      </c>
      <c r="I140" s="28">
        <v>0.05</v>
      </c>
      <c r="J140" s="28">
        <v>945.25</v>
      </c>
      <c r="K140" s="25" t="s">
        <v>109</v>
      </c>
      <c r="L140" s="25" t="s">
        <v>65</v>
      </c>
      <c r="M140" s="35" t="s">
        <v>46</v>
      </c>
    </row>
    <row r="141" spans="1:13" x14ac:dyDescent="0.3">
      <c r="A141" s="34">
        <v>10292</v>
      </c>
      <c r="B141" s="26">
        <v>45764</v>
      </c>
      <c r="C141" s="25" t="s">
        <v>89</v>
      </c>
      <c r="D141" s="25" t="s">
        <v>74</v>
      </c>
      <c r="E141" s="25" t="s">
        <v>75</v>
      </c>
      <c r="F141" s="25" t="s">
        <v>105</v>
      </c>
      <c r="G141" s="25">
        <v>4</v>
      </c>
      <c r="H141" s="27">
        <v>1199</v>
      </c>
      <c r="I141" s="28">
        <v>0.1</v>
      </c>
      <c r="J141" s="28">
        <v>4316.4000000000005</v>
      </c>
      <c r="K141" s="25" t="s">
        <v>109</v>
      </c>
      <c r="L141" s="25" t="s">
        <v>57</v>
      </c>
      <c r="M141" s="35" t="s">
        <v>41</v>
      </c>
    </row>
    <row r="142" spans="1:13" x14ac:dyDescent="0.3">
      <c r="A142" s="34">
        <v>10312</v>
      </c>
      <c r="B142" s="26">
        <v>45437</v>
      </c>
      <c r="C142" s="25" t="s">
        <v>107</v>
      </c>
      <c r="D142" s="25" t="s">
        <v>74</v>
      </c>
      <c r="E142" s="25" t="s">
        <v>37</v>
      </c>
      <c r="F142" s="25" t="s">
        <v>66</v>
      </c>
      <c r="G142" s="25">
        <v>1</v>
      </c>
      <c r="H142" s="27">
        <v>1499</v>
      </c>
      <c r="I142" s="28">
        <v>0.1</v>
      </c>
      <c r="J142" s="28">
        <v>1349.1000000000001</v>
      </c>
      <c r="K142" s="25" t="s">
        <v>109</v>
      </c>
      <c r="L142" s="25" t="s">
        <v>57</v>
      </c>
      <c r="M142" s="35" t="s">
        <v>46</v>
      </c>
    </row>
    <row r="143" spans="1:13" x14ac:dyDescent="0.3">
      <c r="A143" s="34">
        <v>10008</v>
      </c>
      <c r="B143" s="26">
        <v>45323</v>
      </c>
      <c r="C143" s="25" t="s">
        <v>110</v>
      </c>
      <c r="D143" s="25" t="s">
        <v>72</v>
      </c>
      <c r="E143" s="25" t="s">
        <v>37</v>
      </c>
      <c r="F143" s="25" t="s">
        <v>66</v>
      </c>
      <c r="G143" s="25">
        <v>3</v>
      </c>
      <c r="H143" s="27">
        <v>1499</v>
      </c>
      <c r="I143" s="28">
        <v>0.05</v>
      </c>
      <c r="J143" s="28">
        <v>4272.1499999999996</v>
      </c>
      <c r="K143" s="25" t="s">
        <v>67</v>
      </c>
      <c r="L143" s="25" t="s">
        <v>57</v>
      </c>
      <c r="M143" s="35" t="s">
        <v>50</v>
      </c>
    </row>
    <row r="144" spans="1:13" x14ac:dyDescent="0.3">
      <c r="A144" s="34">
        <v>10208</v>
      </c>
      <c r="B144" s="26">
        <v>45676</v>
      </c>
      <c r="C144" s="25" t="s">
        <v>94</v>
      </c>
      <c r="D144" s="25" t="s">
        <v>72</v>
      </c>
      <c r="E144" s="25" t="s">
        <v>55</v>
      </c>
      <c r="F144" s="25" t="s">
        <v>103</v>
      </c>
      <c r="G144" s="25">
        <v>3</v>
      </c>
      <c r="H144" s="27">
        <v>999</v>
      </c>
      <c r="I144" s="28">
        <v>0.1</v>
      </c>
      <c r="J144" s="28">
        <v>2697.3</v>
      </c>
      <c r="K144" s="25" t="s">
        <v>108</v>
      </c>
      <c r="L144" s="25" t="s">
        <v>45</v>
      </c>
      <c r="M144" s="35" t="s">
        <v>50</v>
      </c>
    </row>
    <row r="145" spans="1:13" x14ac:dyDescent="0.3">
      <c r="A145" s="34">
        <v>10163</v>
      </c>
      <c r="B145" s="26">
        <v>45643</v>
      </c>
      <c r="C145" s="25" t="s">
        <v>97</v>
      </c>
      <c r="D145" s="25" t="s">
        <v>74</v>
      </c>
      <c r="E145" s="25" t="s">
        <v>53</v>
      </c>
      <c r="F145" s="25" t="s">
        <v>60</v>
      </c>
      <c r="G145" s="25">
        <v>2</v>
      </c>
      <c r="H145" s="27">
        <v>349</v>
      </c>
      <c r="I145" s="28">
        <v>0.05</v>
      </c>
      <c r="J145" s="28">
        <v>663.1</v>
      </c>
      <c r="K145" s="25" t="s">
        <v>108</v>
      </c>
      <c r="L145" s="25" t="s">
        <v>49</v>
      </c>
      <c r="M145" s="35" t="s">
        <v>203</v>
      </c>
    </row>
    <row r="146" spans="1:13" x14ac:dyDescent="0.3">
      <c r="A146" s="34">
        <v>10079</v>
      </c>
      <c r="B146" s="26">
        <v>45744</v>
      </c>
      <c r="C146" s="25" t="s">
        <v>77</v>
      </c>
      <c r="D146" s="25" t="s">
        <v>95</v>
      </c>
      <c r="E146" s="25" t="s">
        <v>53</v>
      </c>
      <c r="F146" s="25" t="s">
        <v>86</v>
      </c>
      <c r="G146" s="25">
        <v>0</v>
      </c>
      <c r="H146" s="27">
        <v>599</v>
      </c>
      <c r="I146" s="28">
        <v>0.05</v>
      </c>
      <c r="J146" s="28">
        <v>0</v>
      </c>
      <c r="K146" s="25" t="s">
        <v>44</v>
      </c>
      <c r="L146" s="25" t="s">
        <v>65</v>
      </c>
      <c r="M146" s="35" t="s">
        <v>41</v>
      </c>
    </row>
    <row r="147" spans="1:13" x14ac:dyDescent="0.3">
      <c r="A147" s="34">
        <v>10253</v>
      </c>
      <c r="B147" s="26">
        <v>45790</v>
      </c>
      <c r="C147" s="25" t="s">
        <v>84</v>
      </c>
      <c r="D147" s="25" t="s">
        <v>52</v>
      </c>
      <c r="E147" s="25" t="s">
        <v>75</v>
      </c>
      <c r="F147" s="25" t="s">
        <v>43</v>
      </c>
      <c r="G147" s="25">
        <v>3</v>
      </c>
      <c r="H147" s="27">
        <v>6499</v>
      </c>
      <c r="I147" s="28">
        <v>0</v>
      </c>
      <c r="J147" s="28">
        <v>19497</v>
      </c>
      <c r="K147" s="25" t="s">
        <v>39</v>
      </c>
      <c r="L147" s="25" t="s">
        <v>57</v>
      </c>
      <c r="M147" s="35" t="s">
        <v>41</v>
      </c>
    </row>
    <row r="148" spans="1:13" x14ac:dyDescent="0.3">
      <c r="A148" s="34">
        <v>10006</v>
      </c>
      <c r="B148" s="26">
        <v>45453</v>
      </c>
      <c r="C148" s="25" t="s">
        <v>36</v>
      </c>
      <c r="D148" s="25" t="s">
        <v>74</v>
      </c>
      <c r="E148" s="25" t="s">
        <v>75</v>
      </c>
      <c r="F148" s="25" t="s">
        <v>105</v>
      </c>
      <c r="G148" s="25">
        <v>1</v>
      </c>
      <c r="H148" s="27">
        <v>1199</v>
      </c>
      <c r="I148" s="28">
        <v>0.1</v>
      </c>
      <c r="J148" s="28">
        <v>1079.1000000000001</v>
      </c>
      <c r="K148" s="25" t="s">
        <v>67</v>
      </c>
      <c r="L148" s="25" t="s">
        <v>57</v>
      </c>
      <c r="M148" s="35" t="s">
        <v>41</v>
      </c>
    </row>
    <row r="149" spans="1:13" x14ac:dyDescent="0.3">
      <c r="A149" s="34">
        <v>10025</v>
      </c>
      <c r="B149" s="26">
        <v>45604</v>
      </c>
      <c r="C149" s="25" t="s">
        <v>62</v>
      </c>
      <c r="D149" s="25" t="s">
        <v>52</v>
      </c>
      <c r="E149" s="25" t="s">
        <v>69</v>
      </c>
      <c r="F149" s="25" t="s">
        <v>63</v>
      </c>
      <c r="G149" s="25">
        <v>2</v>
      </c>
      <c r="H149" s="27">
        <v>15999</v>
      </c>
      <c r="I149" s="28">
        <v>0.15</v>
      </c>
      <c r="J149" s="28">
        <v>27198.3</v>
      </c>
      <c r="K149" s="25" t="s">
        <v>67</v>
      </c>
      <c r="L149" s="25" t="s">
        <v>40</v>
      </c>
      <c r="M149" s="35" t="s">
        <v>41</v>
      </c>
    </row>
    <row r="150" spans="1:13" x14ac:dyDescent="0.3">
      <c r="A150" s="34">
        <v>10159</v>
      </c>
      <c r="B150" s="26">
        <v>45506</v>
      </c>
      <c r="C150" s="25" t="s">
        <v>89</v>
      </c>
      <c r="D150" s="25" t="s">
        <v>74</v>
      </c>
      <c r="E150" s="25" t="s">
        <v>75</v>
      </c>
      <c r="F150" s="25" t="s">
        <v>64</v>
      </c>
      <c r="G150" s="25">
        <v>6</v>
      </c>
      <c r="H150" s="27">
        <v>1799</v>
      </c>
      <c r="I150" s="28">
        <v>0</v>
      </c>
      <c r="J150" s="28">
        <v>10794</v>
      </c>
      <c r="K150" s="25" t="s">
        <v>109</v>
      </c>
      <c r="L150" s="25" t="s">
        <v>40</v>
      </c>
      <c r="M150" s="35" t="s">
        <v>41</v>
      </c>
    </row>
    <row r="151" spans="1:13" x14ac:dyDescent="0.3">
      <c r="A151" s="34">
        <v>10202</v>
      </c>
      <c r="B151" s="26">
        <v>45573</v>
      </c>
      <c r="C151" s="25" t="s">
        <v>117</v>
      </c>
      <c r="D151" s="25" t="s">
        <v>74</v>
      </c>
      <c r="E151" s="25" t="s">
        <v>78</v>
      </c>
      <c r="F151" s="25" t="s">
        <v>92</v>
      </c>
      <c r="G151" s="25">
        <v>1</v>
      </c>
      <c r="H151" s="27">
        <v>799</v>
      </c>
      <c r="I151" s="28">
        <v>0.1</v>
      </c>
      <c r="J151" s="28">
        <v>719.1</v>
      </c>
      <c r="K151" s="25" t="s">
        <v>109</v>
      </c>
      <c r="L151" s="25" t="s">
        <v>65</v>
      </c>
      <c r="M151" s="35" t="s">
        <v>41</v>
      </c>
    </row>
    <row r="152" spans="1:13" x14ac:dyDescent="0.3">
      <c r="A152" s="34">
        <v>10221</v>
      </c>
      <c r="B152" s="26">
        <v>45748</v>
      </c>
      <c r="C152" s="25" t="s">
        <v>42</v>
      </c>
      <c r="D152" s="25" t="s">
        <v>74</v>
      </c>
      <c r="E152" s="25" t="s">
        <v>55</v>
      </c>
      <c r="F152" s="25" t="s">
        <v>73</v>
      </c>
      <c r="G152" s="25">
        <v>1</v>
      </c>
      <c r="H152" s="27">
        <v>5499</v>
      </c>
      <c r="I152" s="28">
        <v>0</v>
      </c>
      <c r="J152" s="28">
        <v>5499</v>
      </c>
      <c r="K152" s="25" t="s">
        <v>39</v>
      </c>
      <c r="L152" s="25" t="s">
        <v>57</v>
      </c>
      <c r="M152" s="35" t="s">
        <v>41</v>
      </c>
    </row>
    <row r="153" spans="1:13" x14ac:dyDescent="0.3">
      <c r="A153" s="34">
        <v>10035</v>
      </c>
      <c r="B153" s="26">
        <v>45335</v>
      </c>
      <c r="C153" s="25" t="s">
        <v>118</v>
      </c>
      <c r="D153" s="25" t="s">
        <v>59</v>
      </c>
      <c r="E153" s="25" t="s">
        <v>76</v>
      </c>
      <c r="F153" s="25" t="s">
        <v>61</v>
      </c>
      <c r="G153" s="25">
        <v>3</v>
      </c>
      <c r="H153" s="27">
        <v>18999</v>
      </c>
      <c r="I153" s="28">
        <v>0</v>
      </c>
      <c r="J153" s="28">
        <v>56997</v>
      </c>
      <c r="K153" s="25" t="s">
        <v>44</v>
      </c>
      <c r="L153" s="25" t="s">
        <v>40</v>
      </c>
      <c r="M153" s="35" t="s">
        <v>41</v>
      </c>
    </row>
    <row r="154" spans="1:13" x14ac:dyDescent="0.3">
      <c r="A154" s="34">
        <v>10189</v>
      </c>
      <c r="B154" s="26">
        <v>45747</v>
      </c>
      <c r="C154" s="25" t="s">
        <v>36</v>
      </c>
      <c r="D154" s="25" t="s">
        <v>74</v>
      </c>
      <c r="E154" s="25" t="s">
        <v>76</v>
      </c>
      <c r="F154" s="25" t="s">
        <v>70</v>
      </c>
      <c r="G154" s="25" t="s">
        <v>210</v>
      </c>
      <c r="H154" s="27">
        <v>5499</v>
      </c>
      <c r="I154" s="28">
        <v>0.05</v>
      </c>
      <c r="J154" s="28" t="s">
        <v>211</v>
      </c>
      <c r="K154" s="25" t="s">
        <v>109</v>
      </c>
      <c r="L154" s="25" t="s">
        <v>45</v>
      </c>
      <c r="M154" s="35" t="s">
        <v>46</v>
      </c>
    </row>
    <row r="155" spans="1:13" x14ac:dyDescent="0.3">
      <c r="A155" s="34">
        <v>10105</v>
      </c>
      <c r="B155" s="26">
        <v>45770</v>
      </c>
      <c r="C155" s="25" t="s">
        <v>89</v>
      </c>
      <c r="D155" s="25" t="s">
        <v>74</v>
      </c>
      <c r="E155" s="25" t="s">
        <v>69</v>
      </c>
      <c r="F155" s="25" t="s">
        <v>70</v>
      </c>
      <c r="G155" s="25">
        <v>0</v>
      </c>
      <c r="H155" s="27">
        <v>5499</v>
      </c>
      <c r="I155" s="28">
        <v>0.1</v>
      </c>
      <c r="J155" s="28">
        <v>0</v>
      </c>
      <c r="K155" s="25" t="s">
        <v>39</v>
      </c>
      <c r="L155" s="25" t="s">
        <v>57</v>
      </c>
      <c r="M155" s="35" t="s">
        <v>41</v>
      </c>
    </row>
    <row r="156" spans="1:13" x14ac:dyDescent="0.3">
      <c r="A156" s="34">
        <v>10224</v>
      </c>
      <c r="B156" s="26">
        <v>45652</v>
      </c>
      <c r="C156" s="25" t="s">
        <v>111</v>
      </c>
      <c r="D156" s="25" t="s">
        <v>95</v>
      </c>
      <c r="E156" s="25" t="s">
        <v>53</v>
      </c>
      <c r="F156" s="25" t="s">
        <v>102</v>
      </c>
      <c r="G156" s="25">
        <v>1</v>
      </c>
      <c r="H156" s="27">
        <v>899</v>
      </c>
      <c r="I156" s="28">
        <v>0</v>
      </c>
      <c r="J156" s="28">
        <v>899</v>
      </c>
      <c r="K156" s="25" t="s">
        <v>109</v>
      </c>
      <c r="L156" s="25" t="s">
        <v>65</v>
      </c>
      <c r="M156" s="35" t="s">
        <v>41</v>
      </c>
    </row>
    <row r="157" spans="1:13" x14ac:dyDescent="0.3">
      <c r="A157" s="34">
        <v>10143</v>
      </c>
      <c r="B157" s="26">
        <v>45441</v>
      </c>
      <c r="C157" s="25" t="s">
        <v>47</v>
      </c>
      <c r="D157" s="25" t="s">
        <v>74</v>
      </c>
      <c r="E157" s="25" t="s">
        <v>53</v>
      </c>
      <c r="F157" s="25" t="s">
        <v>90</v>
      </c>
      <c r="G157" s="25">
        <v>3</v>
      </c>
      <c r="H157" s="27">
        <v>199</v>
      </c>
      <c r="I157" s="28">
        <v>0.1</v>
      </c>
      <c r="J157" s="28">
        <v>537.30000000000007</v>
      </c>
      <c r="K157" s="25" t="s">
        <v>44</v>
      </c>
      <c r="L157" s="25" t="s">
        <v>45</v>
      </c>
      <c r="M157" s="35" t="s">
        <v>50</v>
      </c>
    </row>
    <row r="158" spans="1:13" x14ac:dyDescent="0.3">
      <c r="A158" s="34">
        <v>10023</v>
      </c>
      <c r="B158" s="26">
        <v>45660</v>
      </c>
      <c r="C158" s="25" t="s">
        <v>47</v>
      </c>
      <c r="D158" s="25" t="s">
        <v>95</v>
      </c>
      <c r="E158" s="25" t="s">
        <v>53</v>
      </c>
      <c r="F158" s="25" t="s">
        <v>102</v>
      </c>
      <c r="G158" s="25">
        <v>3</v>
      </c>
      <c r="H158" s="27">
        <v>899</v>
      </c>
      <c r="I158" s="28">
        <v>0</v>
      </c>
      <c r="J158" s="28">
        <v>2697</v>
      </c>
      <c r="K158" s="25" t="s">
        <v>108</v>
      </c>
      <c r="L158" s="25" t="s">
        <v>40</v>
      </c>
      <c r="M158" s="35" t="s">
        <v>46</v>
      </c>
    </row>
    <row r="159" spans="1:13" x14ac:dyDescent="0.3">
      <c r="A159" s="34">
        <v>10062</v>
      </c>
      <c r="B159" s="26">
        <v>45350</v>
      </c>
      <c r="C159" s="25" t="s">
        <v>62</v>
      </c>
      <c r="D159" s="25" t="s">
        <v>72</v>
      </c>
      <c r="E159" s="25" t="s">
        <v>69</v>
      </c>
      <c r="F159" s="25" t="s">
        <v>83</v>
      </c>
      <c r="G159" s="25">
        <v>5</v>
      </c>
      <c r="H159" s="27">
        <v>1299</v>
      </c>
      <c r="I159" s="28">
        <v>0.1</v>
      </c>
      <c r="J159" s="28">
        <v>5845.5</v>
      </c>
      <c r="K159" s="25" t="s">
        <v>44</v>
      </c>
      <c r="L159" s="25" t="s">
        <v>40</v>
      </c>
      <c r="M159" s="35" t="s">
        <v>41</v>
      </c>
    </row>
    <row r="160" spans="1:13" x14ac:dyDescent="0.3">
      <c r="A160" s="34">
        <v>10127</v>
      </c>
      <c r="B160" s="26">
        <v>45513</v>
      </c>
      <c r="C160" s="25" t="s">
        <v>81</v>
      </c>
      <c r="D160" s="25" t="s">
        <v>74</v>
      </c>
      <c r="E160" s="25" t="s">
        <v>55</v>
      </c>
      <c r="F160" s="25" t="s">
        <v>92</v>
      </c>
      <c r="G160" s="25">
        <v>4</v>
      </c>
      <c r="H160" s="27">
        <v>799</v>
      </c>
      <c r="I160" s="28">
        <v>0.05</v>
      </c>
      <c r="J160" s="28">
        <v>3036.2</v>
      </c>
      <c r="K160" s="25" t="s">
        <v>67</v>
      </c>
      <c r="L160" s="25" t="s">
        <v>49</v>
      </c>
      <c r="M160" s="35" t="s">
        <v>41</v>
      </c>
    </row>
    <row r="161" spans="1:13" x14ac:dyDescent="0.3">
      <c r="A161" s="34">
        <v>10116</v>
      </c>
      <c r="B161" s="26">
        <v>45639</v>
      </c>
      <c r="C161" s="25" t="s">
        <v>93</v>
      </c>
      <c r="D161" s="25" t="s">
        <v>59</v>
      </c>
      <c r="E161" s="25" t="s">
        <v>53</v>
      </c>
      <c r="F161" s="25" t="s">
        <v>58</v>
      </c>
      <c r="G161" s="25">
        <v>5</v>
      </c>
      <c r="H161" s="27">
        <v>429</v>
      </c>
      <c r="I161" s="28">
        <v>0.1</v>
      </c>
      <c r="J161" s="28">
        <v>1930.5</v>
      </c>
      <c r="K161" s="25" t="s">
        <v>67</v>
      </c>
      <c r="L161" s="25" t="s">
        <v>65</v>
      </c>
      <c r="M161" s="35" t="s">
        <v>41</v>
      </c>
    </row>
    <row r="162" spans="1:13" x14ac:dyDescent="0.3">
      <c r="A162" s="34">
        <v>10310</v>
      </c>
      <c r="B162" s="26">
        <v>45534</v>
      </c>
      <c r="C162" s="25" t="s">
        <v>107</v>
      </c>
      <c r="D162" s="25" t="s">
        <v>95</v>
      </c>
      <c r="E162" s="25" t="s">
        <v>55</v>
      </c>
      <c r="F162" s="25" t="s">
        <v>56</v>
      </c>
      <c r="G162" s="25">
        <v>5</v>
      </c>
      <c r="H162" s="27">
        <v>3999</v>
      </c>
      <c r="I162" s="28">
        <v>0.05</v>
      </c>
      <c r="J162" s="28">
        <v>18995.25</v>
      </c>
      <c r="K162" s="25" t="s">
        <v>67</v>
      </c>
      <c r="L162" s="25" t="s">
        <v>57</v>
      </c>
      <c r="M162" s="35" t="s">
        <v>50</v>
      </c>
    </row>
    <row r="163" spans="1:13" x14ac:dyDescent="0.3">
      <c r="A163" s="34">
        <v>10101</v>
      </c>
      <c r="B163" s="26">
        <v>45738</v>
      </c>
      <c r="C163" s="25" t="s">
        <v>62</v>
      </c>
      <c r="D163" s="25" t="s">
        <v>52</v>
      </c>
      <c r="E163" s="25" t="s">
        <v>69</v>
      </c>
      <c r="F163" s="25" t="s">
        <v>83</v>
      </c>
      <c r="G163" s="25">
        <v>4</v>
      </c>
      <c r="H163" s="27">
        <v>1299</v>
      </c>
      <c r="I163" s="28">
        <v>0.05</v>
      </c>
      <c r="J163" s="28">
        <v>4936.2</v>
      </c>
      <c r="K163" s="25" t="s">
        <v>109</v>
      </c>
      <c r="L163" s="25" t="s">
        <v>57</v>
      </c>
      <c r="M163" s="35" t="s">
        <v>41</v>
      </c>
    </row>
    <row r="164" spans="1:13" x14ac:dyDescent="0.3">
      <c r="A164" s="34">
        <v>10136</v>
      </c>
      <c r="B164" s="26">
        <v>45381</v>
      </c>
      <c r="C164" s="25" t="s">
        <v>42</v>
      </c>
      <c r="D164" s="25" t="s">
        <v>59</v>
      </c>
      <c r="E164" s="25" t="s">
        <v>75</v>
      </c>
      <c r="F164" s="25" t="s">
        <v>48</v>
      </c>
      <c r="G164" s="25">
        <v>2</v>
      </c>
      <c r="H164" s="27">
        <v>799</v>
      </c>
      <c r="I164" s="28">
        <v>0.1</v>
      </c>
      <c r="J164" s="28">
        <v>1438.2</v>
      </c>
      <c r="K164" s="25" t="s">
        <v>108</v>
      </c>
      <c r="L164" s="25" t="s">
        <v>45</v>
      </c>
      <c r="M164" s="35" t="s">
        <v>46</v>
      </c>
    </row>
    <row r="165" spans="1:13" x14ac:dyDescent="0.3">
      <c r="A165" s="34">
        <v>10109</v>
      </c>
      <c r="B165" s="26">
        <v>45645</v>
      </c>
      <c r="C165" s="25" t="s">
        <v>80</v>
      </c>
      <c r="D165" s="25" t="s">
        <v>59</v>
      </c>
      <c r="E165" s="25" t="s">
        <v>75</v>
      </c>
      <c r="F165" s="25" t="s">
        <v>43</v>
      </c>
      <c r="G165" s="25">
        <v>5</v>
      </c>
      <c r="H165" s="27">
        <v>6499</v>
      </c>
      <c r="I165" s="28">
        <v>0.05</v>
      </c>
      <c r="J165" s="28">
        <v>30870.25</v>
      </c>
      <c r="K165" s="25" t="s">
        <v>39</v>
      </c>
      <c r="L165" s="25" t="s">
        <v>45</v>
      </c>
      <c r="M165" s="35" t="s">
        <v>41</v>
      </c>
    </row>
    <row r="166" spans="1:13" x14ac:dyDescent="0.3">
      <c r="A166" s="34">
        <v>10216</v>
      </c>
      <c r="B166" s="26">
        <v>45767</v>
      </c>
      <c r="C166" s="25" t="s">
        <v>111</v>
      </c>
      <c r="D166" s="25" t="s">
        <v>72</v>
      </c>
      <c r="E166" s="25" t="s">
        <v>37</v>
      </c>
      <c r="F166" s="25" t="s">
        <v>48</v>
      </c>
      <c r="G166" s="25">
        <v>5</v>
      </c>
      <c r="H166" s="27">
        <v>799</v>
      </c>
      <c r="I166" s="28">
        <v>0.05</v>
      </c>
      <c r="J166" s="28">
        <v>3795.25</v>
      </c>
      <c r="K166" s="25" t="s">
        <v>108</v>
      </c>
      <c r="L166" s="25" t="s">
        <v>40</v>
      </c>
      <c r="M166" s="35" t="s">
        <v>41</v>
      </c>
    </row>
    <row r="167" spans="1:13" x14ac:dyDescent="0.3">
      <c r="A167" s="34">
        <v>10130</v>
      </c>
      <c r="B167" s="26">
        <v>45392</v>
      </c>
      <c r="C167" s="25" t="s">
        <v>71</v>
      </c>
      <c r="D167" s="25" t="s">
        <v>95</v>
      </c>
      <c r="E167" s="25" t="s">
        <v>55</v>
      </c>
      <c r="F167" s="25" t="s">
        <v>92</v>
      </c>
      <c r="G167" s="25">
        <v>2</v>
      </c>
      <c r="H167" s="27">
        <v>799</v>
      </c>
      <c r="I167" s="28">
        <v>0.1</v>
      </c>
      <c r="J167" s="28">
        <v>1438.2</v>
      </c>
      <c r="K167" s="25" t="s">
        <v>108</v>
      </c>
      <c r="L167" s="25" t="s">
        <v>65</v>
      </c>
      <c r="M167" s="35" t="s">
        <v>41</v>
      </c>
    </row>
    <row r="168" spans="1:13" x14ac:dyDescent="0.3">
      <c r="A168" s="34">
        <v>10239</v>
      </c>
      <c r="B168" s="26">
        <v>45353</v>
      </c>
      <c r="C168" s="25" t="s">
        <v>51</v>
      </c>
      <c r="D168" s="25" t="s">
        <v>52</v>
      </c>
      <c r="E168" s="25" t="s">
        <v>53</v>
      </c>
      <c r="F168" s="25" t="s">
        <v>86</v>
      </c>
      <c r="G168" s="25">
        <v>2</v>
      </c>
      <c r="H168" s="27">
        <v>599</v>
      </c>
      <c r="I168" s="28">
        <v>0</v>
      </c>
      <c r="J168" s="28">
        <v>1198</v>
      </c>
      <c r="K168" s="25" t="s">
        <v>204</v>
      </c>
      <c r="L168" s="25" t="s">
        <v>40</v>
      </c>
      <c r="M168" s="35" t="s">
        <v>41</v>
      </c>
    </row>
    <row r="169" spans="1:13" x14ac:dyDescent="0.3">
      <c r="A169" s="34">
        <v>10012</v>
      </c>
      <c r="B169" s="26">
        <v>45531</v>
      </c>
      <c r="C169" s="25" t="s">
        <v>62</v>
      </c>
      <c r="D169" s="25" t="s">
        <v>95</v>
      </c>
      <c r="E169" s="25" t="s">
        <v>55</v>
      </c>
      <c r="F169" s="25" t="s">
        <v>88</v>
      </c>
      <c r="G169" s="25">
        <v>1</v>
      </c>
      <c r="H169" s="27">
        <v>2499</v>
      </c>
      <c r="I169" s="28">
        <v>0.05</v>
      </c>
      <c r="J169" s="28">
        <v>2374.0499999999997</v>
      </c>
      <c r="K169" s="25" t="s">
        <v>109</v>
      </c>
      <c r="L169" s="25" t="s">
        <v>45</v>
      </c>
      <c r="M169" s="35" t="s">
        <v>41</v>
      </c>
    </row>
    <row r="170" spans="1:13" x14ac:dyDescent="0.3">
      <c r="A170" s="34">
        <v>10013</v>
      </c>
      <c r="B170" s="26">
        <v>45733</v>
      </c>
      <c r="C170" s="25" t="s">
        <v>62</v>
      </c>
      <c r="D170" s="25" t="s">
        <v>95</v>
      </c>
      <c r="E170" s="25" t="s">
        <v>78</v>
      </c>
      <c r="F170" s="25" t="s">
        <v>88</v>
      </c>
      <c r="G170" s="25">
        <v>2</v>
      </c>
      <c r="H170" s="27">
        <v>2499</v>
      </c>
      <c r="I170" s="28">
        <v>0</v>
      </c>
      <c r="J170" s="28">
        <v>4998</v>
      </c>
      <c r="K170" s="25" t="s">
        <v>39</v>
      </c>
      <c r="L170" s="25" t="s">
        <v>45</v>
      </c>
      <c r="M170" s="35" t="s">
        <v>46</v>
      </c>
    </row>
    <row r="171" spans="1:13" x14ac:dyDescent="0.3">
      <c r="A171" s="34">
        <v>10288</v>
      </c>
      <c r="B171" s="26">
        <v>45704</v>
      </c>
      <c r="C171" s="25" t="s">
        <v>97</v>
      </c>
      <c r="D171" s="25" t="s">
        <v>74</v>
      </c>
      <c r="E171" s="25" t="s">
        <v>55</v>
      </c>
      <c r="F171" s="25" t="s">
        <v>79</v>
      </c>
      <c r="G171" s="25">
        <v>4</v>
      </c>
      <c r="H171" s="27">
        <v>599</v>
      </c>
      <c r="I171" s="28">
        <v>0.1</v>
      </c>
      <c r="J171" s="28">
        <v>2156.4</v>
      </c>
      <c r="K171" s="25" t="s">
        <v>39</v>
      </c>
      <c r="L171" s="25" t="s">
        <v>57</v>
      </c>
      <c r="M171" s="35" t="s">
        <v>41</v>
      </c>
    </row>
    <row r="172" spans="1:13" x14ac:dyDescent="0.3">
      <c r="A172" s="34">
        <v>10003</v>
      </c>
      <c r="B172" s="26">
        <v>45402</v>
      </c>
      <c r="C172" s="25" t="s">
        <v>84</v>
      </c>
      <c r="D172" s="25" t="s">
        <v>59</v>
      </c>
      <c r="E172" s="25" t="s">
        <v>55</v>
      </c>
      <c r="F172" s="25" t="s">
        <v>73</v>
      </c>
      <c r="G172" s="25">
        <v>2</v>
      </c>
      <c r="H172" s="27">
        <v>5499</v>
      </c>
      <c r="I172" s="28">
        <v>0</v>
      </c>
      <c r="J172" s="28">
        <v>10998</v>
      </c>
      <c r="K172" s="25" t="s">
        <v>108</v>
      </c>
      <c r="L172" s="25" t="s">
        <v>40</v>
      </c>
      <c r="M172" s="35" t="s">
        <v>41</v>
      </c>
    </row>
    <row r="173" spans="1:13" x14ac:dyDescent="0.3">
      <c r="A173" s="34">
        <v>10147</v>
      </c>
      <c r="B173" s="26">
        <v>45292</v>
      </c>
      <c r="C173" s="25" t="s">
        <v>36</v>
      </c>
      <c r="D173" s="25" t="s">
        <v>95</v>
      </c>
      <c r="E173" s="25" t="s">
        <v>53</v>
      </c>
      <c r="F173" s="25" t="s">
        <v>91</v>
      </c>
      <c r="G173" s="25">
        <v>2</v>
      </c>
      <c r="H173" s="27">
        <v>249</v>
      </c>
      <c r="I173" s="28">
        <v>0</v>
      </c>
      <c r="J173" s="28">
        <v>498</v>
      </c>
      <c r="K173" s="25" t="s">
        <v>67</v>
      </c>
      <c r="L173" s="25" t="s">
        <v>65</v>
      </c>
      <c r="M173" s="35" t="s">
        <v>41</v>
      </c>
    </row>
    <row r="174" spans="1:13" x14ac:dyDescent="0.3">
      <c r="A174" s="34">
        <v>10040</v>
      </c>
      <c r="B174" s="26">
        <v>45293</v>
      </c>
      <c r="C174" s="25" t="s">
        <v>93</v>
      </c>
      <c r="D174" s="25" t="s">
        <v>52</v>
      </c>
      <c r="E174" s="25" t="s">
        <v>75</v>
      </c>
      <c r="F174" s="25" t="s">
        <v>105</v>
      </c>
      <c r="G174" s="25">
        <v>2</v>
      </c>
      <c r="H174" s="27">
        <v>1199</v>
      </c>
      <c r="I174" s="28">
        <v>0</v>
      </c>
      <c r="J174" s="28">
        <v>2398</v>
      </c>
      <c r="K174" s="25" t="s">
        <v>67</v>
      </c>
      <c r="L174" s="25" t="s">
        <v>40</v>
      </c>
      <c r="M174" s="35" t="s">
        <v>50</v>
      </c>
    </row>
    <row r="175" spans="1:13" x14ac:dyDescent="0.3">
      <c r="A175" s="34">
        <v>10247</v>
      </c>
      <c r="B175" s="26">
        <v>45426</v>
      </c>
      <c r="C175" s="25" t="s">
        <v>116</v>
      </c>
      <c r="D175" s="25" t="s">
        <v>72</v>
      </c>
      <c r="E175" s="25" t="s">
        <v>75</v>
      </c>
      <c r="F175" s="25" t="s">
        <v>43</v>
      </c>
      <c r="G175" s="25">
        <v>2</v>
      </c>
      <c r="H175" s="27">
        <v>6499</v>
      </c>
      <c r="I175" s="28">
        <v>0</v>
      </c>
      <c r="J175" s="28">
        <v>12998</v>
      </c>
      <c r="K175" s="25" t="s">
        <v>108</v>
      </c>
      <c r="L175" s="25" t="s">
        <v>45</v>
      </c>
      <c r="M175" s="35" t="s">
        <v>46</v>
      </c>
    </row>
    <row r="176" spans="1:13" x14ac:dyDescent="0.3">
      <c r="A176" s="34">
        <v>10203</v>
      </c>
      <c r="B176" s="26">
        <v>45523</v>
      </c>
      <c r="C176" s="25" t="s">
        <v>80</v>
      </c>
      <c r="D176" s="25" t="s">
        <v>59</v>
      </c>
      <c r="E176" s="25" t="s">
        <v>53</v>
      </c>
      <c r="F176" s="25" t="s">
        <v>101</v>
      </c>
      <c r="G176" s="25">
        <v>5</v>
      </c>
      <c r="H176" s="27">
        <v>99</v>
      </c>
      <c r="I176" s="28">
        <v>0.1</v>
      </c>
      <c r="J176" s="28">
        <v>445.5</v>
      </c>
      <c r="K176" s="25" t="s">
        <v>44</v>
      </c>
      <c r="L176" s="25" t="s">
        <v>57</v>
      </c>
      <c r="M176" s="35" t="s">
        <v>50</v>
      </c>
    </row>
    <row r="177" spans="1:13" x14ac:dyDescent="0.3">
      <c r="A177" s="34">
        <v>10149</v>
      </c>
      <c r="B177" s="26">
        <v>45732</v>
      </c>
      <c r="C177" s="25" t="s">
        <v>36</v>
      </c>
      <c r="D177" s="25" t="s">
        <v>59</v>
      </c>
      <c r="E177" s="25" t="s">
        <v>53</v>
      </c>
      <c r="F177" s="25" t="s">
        <v>101</v>
      </c>
      <c r="G177" s="25">
        <v>2</v>
      </c>
      <c r="H177" s="27">
        <v>99</v>
      </c>
      <c r="I177" s="28">
        <v>0.05</v>
      </c>
      <c r="J177" s="28">
        <v>188.1</v>
      </c>
      <c r="K177" s="25" t="s">
        <v>39</v>
      </c>
      <c r="L177" s="25" t="s">
        <v>40</v>
      </c>
      <c r="M177" s="35" t="s">
        <v>50</v>
      </c>
    </row>
    <row r="178" spans="1:13" x14ac:dyDescent="0.3">
      <c r="A178" s="34">
        <v>10234</v>
      </c>
      <c r="B178" s="26">
        <v>45619</v>
      </c>
      <c r="C178" s="25" t="s">
        <v>89</v>
      </c>
      <c r="D178" s="25" t="s">
        <v>95</v>
      </c>
      <c r="E178" s="25" t="s">
        <v>37</v>
      </c>
      <c r="F178" s="25" t="s">
        <v>100</v>
      </c>
      <c r="G178" s="25">
        <v>3</v>
      </c>
      <c r="H178" s="27">
        <v>5999</v>
      </c>
      <c r="I178" s="28">
        <v>0</v>
      </c>
      <c r="J178" s="28">
        <v>17997</v>
      </c>
      <c r="K178" s="25" t="s">
        <v>44</v>
      </c>
      <c r="L178" s="25" t="s">
        <v>57</v>
      </c>
      <c r="M178" s="35" t="s">
        <v>41</v>
      </c>
    </row>
    <row r="179" spans="1:13" x14ac:dyDescent="0.3">
      <c r="A179" s="34">
        <v>10251</v>
      </c>
      <c r="B179" s="26">
        <v>45525</v>
      </c>
      <c r="C179" s="25" t="s">
        <v>116</v>
      </c>
      <c r="D179" s="25" t="s">
        <v>72</v>
      </c>
      <c r="E179" s="25" t="s">
        <v>69</v>
      </c>
      <c r="F179" s="25" t="s">
        <v>85</v>
      </c>
      <c r="G179" s="25">
        <v>1</v>
      </c>
      <c r="H179" s="27">
        <v>24999</v>
      </c>
      <c r="I179" s="28">
        <v>0.1</v>
      </c>
      <c r="J179" s="28">
        <v>22499.100000000002</v>
      </c>
      <c r="K179" s="25" t="s">
        <v>67</v>
      </c>
      <c r="L179" s="25" t="s">
        <v>49</v>
      </c>
      <c r="M179" s="35" t="s">
        <v>41</v>
      </c>
    </row>
    <row r="180" spans="1:13" x14ac:dyDescent="0.3">
      <c r="A180" s="34">
        <v>10182</v>
      </c>
      <c r="B180" s="26">
        <v>45712</v>
      </c>
      <c r="C180" s="25" t="s">
        <v>106</v>
      </c>
      <c r="D180" s="25" t="s">
        <v>95</v>
      </c>
      <c r="E180" s="25" t="s">
        <v>75</v>
      </c>
      <c r="F180" s="25" t="s">
        <v>105</v>
      </c>
      <c r="G180" s="25">
        <v>4</v>
      </c>
      <c r="H180" s="27">
        <v>1199</v>
      </c>
      <c r="I180" s="28">
        <v>0.05</v>
      </c>
      <c r="J180" s="28">
        <v>4556.2</v>
      </c>
      <c r="K180" s="25" t="s">
        <v>39</v>
      </c>
      <c r="L180" s="25" t="s">
        <v>57</v>
      </c>
      <c r="M180" s="35" t="s">
        <v>41</v>
      </c>
    </row>
    <row r="181" spans="1:13" x14ac:dyDescent="0.3">
      <c r="A181" s="34">
        <v>10064</v>
      </c>
      <c r="B181" s="26">
        <v>45400</v>
      </c>
      <c r="C181" s="25" t="s">
        <v>96</v>
      </c>
      <c r="D181" s="25" t="s">
        <v>95</v>
      </c>
      <c r="E181" s="25" t="s">
        <v>55</v>
      </c>
      <c r="F181" s="25" t="s">
        <v>92</v>
      </c>
      <c r="G181" s="25">
        <v>5</v>
      </c>
      <c r="H181" s="27">
        <v>799</v>
      </c>
      <c r="I181" s="28">
        <v>0</v>
      </c>
      <c r="J181" s="28">
        <v>3995</v>
      </c>
      <c r="K181" s="25" t="s">
        <v>108</v>
      </c>
      <c r="L181" s="25" t="s">
        <v>57</v>
      </c>
      <c r="M181" s="35" t="s">
        <v>50</v>
      </c>
    </row>
    <row r="182" spans="1:13" x14ac:dyDescent="0.3">
      <c r="A182" s="34">
        <v>10110</v>
      </c>
      <c r="B182" s="26">
        <v>45678</v>
      </c>
      <c r="C182" s="25" t="s">
        <v>116</v>
      </c>
      <c r="D182" s="25" t="s">
        <v>72</v>
      </c>
      <c r="E182" s="25" t="s">
        <v>76</v>
      </c>
      <c r="F182" s="25" t="s">
        <v>83</v>
      </c>
      <c r="G182" s="25">
        <v>6</v>
      </c>
      <c r="H182" s="27">
        <v>1299</v>
      </c>
      <c r="I182" s="28">
        <v>0.1</v>
      </c>
      <c r="J182" s="28">
        <v>7014.6</v>
      </c>
      <c r="K182" s="25" t="s">
        <v>109</v>
      </c>
      <c r="L182" s="25" t="s">
        <v>49</v>
      </c>
      <c r="M182" s="35" t="s">
        <v>41</v>
      </c>
    </row>
    <row r="183" spans="1:13" x14ac:dyDescent="0.3">
      <c r="A183" s="34">
        <v>10036</v>
      </c>
      <c r="B183" s="26">
        <v>45673</v>
      </c>
      <c r="C183" s="25" t="s">
        <v>42</v>
      </c>
      <c r="D183" s="25" t="s">
        <v>52</v>
      </c>
      <c r="E183" s="25" t="s">
        <v>53</v>
      </c>
      <c r="F183" s="25" t="s">
        <v>58</v>
      </c>
      <c r="G183" s="25">
        <v>3</v>
      </c>
      <c r="H183" s="27">
        <v>429</v>
      </c>
      <c r="I183" s="28">
        <v>0.05</v>
      </c>
      <c r="J183" s="28">
        <v>1222.6499999999999</v>
      </c>
      <c r="K183" s="25" t="s">
        <v>67</v>
      </c>
      <c r="L183" s="25" t="s">
        <v>65</v>
      </c>
      <c r="M183" s="35" t="s">
        <v>46</v>
      </c>
    </row>
    <row r="184" spans="1:13" x14ac:dyDescent="0.3">
      <c r="A184" s="34">
        <v>10212</v>
      </c>
      <c r="B184" s="26">
        <v>45504</v>
      </c>
      <c r="C184" s="25" t="s">
        <v>42</v>
      </c>
      <c r="D184" s="25" t="s">
        <v>59</v>
      </c>
      <c r="E184" s="25" t="s">
        <v>69</v>
      </c>
      <c r="F184" s="25" t="s">
        <v>63</v>
      </c>
      <c r="G184" s="25">
        <v>2</v>
      </c>
      <c r="H184" s="27">
        <v>15999</v>
      </c>
      <c r="I184" s="28">
        <v>0</v>
      </c>
      <c r="J184" s="28">
        <v>31998</v>
      </c>
      <c r="K184" s="25" t="s">
        <v>44</v>
      </c>
      <c r="L184" s="25" t="s">
        <v>65</v>
      </c>
      <c r="M184" s="35" t="s">
        <v>50</v>
      </c>
    </row>
    <row r="185" spans="1:13" x14ac:dyDescent="0.3">
      <c r="A185" s="34">
        <v>10119</v>
      </c>
      <c r="B185" s="26">
        <v>45486</v>
      </c>
      <c r="C185" s="25" t="s">
        <v>71</v>
      </c>
      <c r="D185" s="25" t="s">
        <v>52</v>
      </c>
      <c r="E185" s="25" t="s">
        <v>75</v>
      </c>
      <c r="F185" s="25" t="s">
        <v>43</v>
      </c>
      <c r="G185" s="25">
        <v>4</v>
      </c>
      <c r="H185" s="27">
        <v>6499</v>
      </c>
      <c r="I185" s="28">
        <v>0.05</v>
      </c>
      <c r="J185" s="28">
        <v>24696.199999999997</v>
      </c>
      <c r="K185" s="25" t="s">
        <v>44</v>
      </c>
      <c r="L185" s="25" t="s">
        <v>49</v>
      </c>
      <c r="M185" s="35" t="s">
        <v>41</v>
      </c>
    </row>
    <row r="186" spans="1:13" x14ac:dyDescent="0.3">
      <c r="A186" s="34">
        <v>10122</v>
      </c>
      <c r="B186" s="26">
        <v>45770</v>
      </c>
      <c r="C186" s="25" t="s">
        <v>116</v>
      </c>
      <c r="D186" s="25" t="s">
        <v>52</v>
      </c>
      <c r="E186" s="25" t="s">
        <v>53</v>
      </c>
      <c r="F186" s="25" t="s">
        <v>60</v>
      </c>
      <c r="G186" s="25">
        <v>4</v>
      </c>
      <c r="H186" s="27">
        <v>349</v>
      </c>
      <c r="I186" s="28">
        <v>0.1</v>
      </c>
      <c r="J186" s="28">
        <v>1256.4000000000001</v>
      </c>
      <c r="K186" s="25" t="s">
        <v>204</v>
      </c>
      <c r="L186" s="25" t="s">
        <v>49</v>
      </c>
      <c r="M186" s="35" t="s">
        <v>41</v>
      </c>
    </row>
    <row r="187" spans="1:13" x14ac:dyDescent="0.3">
      <c r="A187" s="34">
        <v>10151</v>
      </c>
      <c r="B187" s="26">
        <v>45476</v>
      </c>
      <c r="C187" s="25" t="s">
        <v>98</v>
      </c>
      <c r="D187" s="25" t="s">
        <v>95</v>
      </c>
      <c r="E187" s="25" t="s">
        <v>53</v>
      </c>
      <c r="F187" s="25" t="s">
        <v>101</v>
      </c>
      <c r="G187" s="25">
        <v>6</v>
      </c>
      <c r="H187" s="27">
        <v>99</v>
      </c>
      <c r="I187" s="28">
        <v>0</v>
      </c>
      <c r="J187" s="28">
        <v>594</v>
      </c>
      <c r="K187" s="25" t="s">
        <v>108</v>
      </c>
      <c r="L187" s="25" t="s">
        <v>49</v>
      </c>
      <c r="M187" s="35" t="s">
        <v>41</v>
      </c>
    </row>
    <row r="188" spans="1:13" x14ac:dyDescent="0.3">
      <c r="A188" s="34">
        <v>10270</v>
      </c>
      <c r="B188" s="26">
        <v>45467</v>
      </c>
      <c r="C188" s="25" t="s">
        <v>206</v>
      </c>
      <c r="D188" s="25" t="s">
        <v>74</v>
      </c>
      <c r="E188" s="25" t="s">
        <v>75</v>
      </c>
      <c r="F188" s="25" t="s">
        <v>66</v>
      </c>
      <c r="G188" s="25">
        <v>2</v>
      </c>
      <c r="H188" s="27">
        <v>1499</v>
      </c>
      <c r="I188" s="28">
        <v>0</v>
      </c>
      <c r="J188" s="28">
        <v>2998</v>
      </c>
      <c r="K188" s="25" t="s">
        <v>39</v>
      </c>
      <c r="L188" s="25" t="s">
        <v>45</v>
      </c>
      <c r="M188" s="35" t="s">
        <v>41</v>
      </c>
    </row>
    <row r="189" spans="1:13" x14ac:dyDescent="0.3">
      <c r="A189" s="34">
        <v>10126</v>
      </c>
      <c r="B189" s="26">
        <v>45567</v>
      </c>
      <c r="C189" s="25" t="s">
        <v>111</v>
      </c>
      <c r="D189" s="25" t="s">
        <v>72</v>
      </c>
      <c r="E189" s="25" t="s">
        <v>55</v>
      </c>
      <c r="F189" s="25" t="s">
        <v>79</v>
      </c>
      <c r="G189" s="25">
        <v>6</v>
      </c>
      <c r="H189" s="27">
        <v>599</v>
      </c>
      <c r="I189" s="28">
        <v>0.1</v>
      </c>
      <c r="J189" s="28">
        <v>3234.6</v>
      </c>
      <c r="K189" s="25" t="s">
        <v>67</v>
      </c>
      <c r="L189" s="25" t="s">
        <v>57</v>
      </c>
      <c r="M189" s="35" t="s">
        <v>50</v>
      </c>
    </row>
    <row r="190" spans="1:13" x14ac:dyDescent="0.3">
      <c r="A190" s="34">
        <v>10134</v>
      </c>
      <c r="B190" s="26">
        <v>45589</v>
      </c>
      <c r="C190" s="25" t="s">
        <v>206</v>
      </c>
      <c r="D190" s="25" t="s">
        <v>95</v>
      </c>
      <c r="E190" s="25" t="s">
        <v>55</v>
      </c>
      <c r="F190" s="25" t="s">
        <v>92</v>
      </c>
      <c r="G190" s="25">
        <v>5</v>
      </c>
      <c r="H190" s="27">
        <v>799</v>
      </c>
      <c r="I190" s="28">
        <v>0.1</v>
      </c>
      <c r="J190" s="28">
        <v>3595.5</v>
      </c>
      <c r="K190" s="25" t="s">
        <v>108</v>
      </c>
      <c r="L190" s="25" t="s">
        <v>45</v>
      </c>
      <c r="M190" s="35" t="s">
        <v>41</v>
      </c>
    </row>
    <row r="191" spans="1:13" x14ac:dyDescent="0.3">
      <c r="A191" s="34">
        <v>10246</v>
      </c>
      <c r="B191" s="26">
        <v>45729</v>
      </c>
      <c r="C191" s="25" t="s">
        <v>117</v>
      </c>
      <c r="D191" s="25" t="s">
        <v>95</v>
      </c>
      <c r="E191" s="25" t="s">
        <v>55</v>
      </c>
      <c r="F191" s="25" t="s">
        <v>92</v>
      </c>
      <c r="G191" s="25">
        <v>5</v>
      </c>
      <c r="H191" s="27">
        <v>799</v>
      </c>
      <c r="I191" s="28">
        <v>0</v>
      </c>
      <c r="J191" s="28">
        <v>3995</v>
      </c>
      <c r="K191" s="25" t="s">
        <v>67</v>
      </c>
      <c r="L191" s="25" t="s">
        <v>45</v>
      </c>
      <c r="M191" s="35" t="s">
        <v>46</v>
      </c>
    </row>
    <row r="192" spans="1:13" x14ac:dyDescent="0.3">
      <c r="A192" s="34">
        <v>10269</v>
      </c>
      <c r="B192" s="26">
        <v>45378</v>
      </c>
      <c r="C192" s="25" t="s">
        <v>77</v>
      </c>
      <c r="D192" s="25" t="s">
        <v>59</v>
      </c>
      <c r="E192" s="25" t="s">
        <v>78</v>
      </c>
      <c r="F192" s="25" t="s">
        <v>56</v>
      </c>
      <c r="G192" s="25">
        <v>3</v>
      </c>
      <c r="H192" s="27">
        <v>3999</v>
      </c>
      <c r="I192" s="28">
        <v>0.1</v>
      </c>
      <c r="J192" s="28">
        <v>10797.300000000001</v>
      </c>
      <c r="K192" s="25" t="s">
        <v>67</v>
      </c>
      <c r="L192" s="25" t="s">
        <v>45</v>
      </c>
      <c r="M192" s="35" t="s">
        <v>46</v>
      </c>
    </row>
    <row r="193" spans="1:13" x14ac:dyDescent="0.3">
      <c r="A193" s="34">
        <v>10250</v>
      </c>
      <c r="B193" s="26">
        <v>45604</v>
      </c>
      <c r="C193" s="25" t="s">
        <v>112</v>
      </c>
      <c r="D193" s="25" t="s">
        <v>72</v>
      </c>
      <c r="E193" s="25" t="s">
        <v>55</v>
      </c>
      <c r="F193" s="25" t="s">
        <v>92</v>
      </c>
      <c r="G193" s="25">
        <v>5</v>
      </c>
      <c r="H193" s="27">
        <v>799</v>
      </c>
      <c r="I193" s="28">
        <v>0.1</v>
      </c>
      <c r="J193" s="28">
        <v>3595.5</v>
      </c>
      <c r="K193" s="25" t="s">
        <v>39</v>
      </c>
      <c r="L193" s="25" t="s">
        <v>57</v>
      </c>
      <c r="M193" s="35" t="s">
        <v>46</v>
      </c>
    </row>
    <row r="194" spans="1:13" x14ac:dyDescent="0.3">
      <c r="A194" s="34">
        <v>10287</v>
      </c>
      <c r="B194" s="26">
        <v>45606</v>
      </c>
      <c r="C194" s="25" t="s">
        <v>115</v>
      </c>
      <c r="D194" s="25" t="s">
        <v>72</v>
      </c>
      <c r="E194" s="25" t="s">
        <v>69</v>
      </c>
      <c r="F194" s="25" t="s">
        <v>83</v>
      </c>
      <c r="G194" s="25">
        <v>5</v>
      </c>
      <c r="H194" s="27">
        <v>1299</v>
      </c>
      <c r="I194" s="28">
        <v>0</v>
      </c>
      <c r="J194" s="28">
        <v>6495</v>
      </c>
      <c r="K194" s="25" t="s">
        <v>67</v>
      </c>
      <c r="L194" s="25" t="s">
        <v>45</v>
      </c>
      <c r="M194" s="35" t="s">
        <v>50</v>
      </c>
    </row>
    <row r="195" spans="1:13" x14ac:dyDescent="0.3">
      <c r="A195" s="34">
        <v>10148</v>
      </c>
      <c r="B195" s="26">
        <v>45541</v>
      </c>
      <c r="C195" s="25" t="s">
        <v>77</v>
      </c>
      <c r="D195" s="25" t="s">
        <v>52</v>
      </c>
      <c r="E195" s="25" t="s">
        <v>55</v>
      </c>
      <c r="F195" s="25" t="s">
        <v>79</v>
      </c>
      <c r="G195" s="25">
        <v>4</v>
      </c>
      <c r="H195" s="27">
        <v>599</v>
      </c>
      <c r="I195" s="28">
        <v>0</v>
      </c>
      <c r="J195" s="28">
        <v>2396</v>
      </c>
      <c r="K195" s="25" t="s">
        <v>109</v>
      </c>
      <c r="L195" s="25" t="s">
        <v>49</v>
      </c>
      <c r="M195" s="35" t="s">
        <v>46</v>
      </c>
    </row>
    <row r="196" spans="1:13" x14ac:dyDescent="0.3">
      <c r="A196" s="34">
        <v>10206</v>
      </c>
      <c r="B196" s="26">
        <v>45523</v>
      </c>
      <c r="C196" s="25" t="s">
        <v>94</v>
      </c>
      <c r="D196" s="25" t="s">
        <v>95</v>
      </c>
      <c r="E196" s="25" t="s">
        <v>76</v>
      </c>
      <c r="F196" s="25" t="s">
        <v>83</v>
      </c>
      <c r="G196" s="25">
        <v>2</v>
      </c>
      <c r="H196" s="27">
        <v>1299</v>
      </c>
      <c r="I196" s="28">
        <v>0.05</v>
      </c>
      <c r="J196" s="28">
        <v>2468.1</v>
      </c>
      <c r="K196" s="25" t="s">
        <v>44</v>
      </c>
      <c r="L196" s="25" t="s">
        <v>65</v>
      </c>
      <c r="M196" s="35" t="s">
        <v>41</v>
      </c>
    </row>
    <row r="197" spans="1:13" x14ac:dyDescent="0.3">
      <c r="A197" s="34">
        <v>10231</v>
      </c>
      <c r="B197" s="26">
        <v>45346</v>
      </c>
      <c r="C197" s="25" t="s">
        <v>96</v>
      </c>
      <c r="D197" s="25" t="s">
        <v>72</v>
      </c>
      <c r="E197" s="25" t="s">
        <v>75</v>
      </c>
      <c r="F197" s="25" t="s">
        <v>66</v>
      </c>
      <c r="G197" s="25">
        <v>2</v>
      </c>
      <c r="H197" s="27">
        <v>1499</v>
      </c>
      <c r="I197" s="28">
        <v>0.05</v>
      </c>
      <c r="J197" s="28">
        <v>2848.1</v>
      </c>
      <c r="K197" s="25" t="s">
        <v>108</v>
      </c>
      <c r="L197" s="25" t="s">
        <v>57</v>
      </c>
      <c r="M197" s="35" t="s">
        <v>50</v>
      </c>
    </row>
    <row r="198" spans="1:13" x14ac:dyDescent="0.3">
      <c r="A198" s="34">
        <v>10042</v>
      </c>
      <c r="B198" s="26">
        <v>45457</v>
      </c>
      <c r="C198" s="25" t="s">
        <v>116</v>
      </c>
      <c r="D198" s="25" t="s">
        <v>72</v>
      </c>
      <c r="E198" s="25" t="s">
        <v>55</v>
      </c>
      <c r="F198" s="25" t="s">
        <v>92</v>
      </c>
      <c r="G198" s="25">
        <v>1</v>
      </c>
      <c r="H198" s="27">
        <v>799</v>
      </c>
      <c r="I198" s="28">
        <v>0.1</v>
      </c>
      <c r="J198" s="28">
        <v>719.1</v>
      </c>
      <c r="K198" s="25" t="s">
        <v>44</v>
      </c>
      <c r="L198" s="25" t="s">
        <v>65</v>
      </c>
      <c r="M198" s="35" t="s">
        <v>41</v>
      </c>
    </row>
    <row r="199" spans="1:13" x14ac:dyDescent="0.3">
      <c r="A199" s="34">
        <v>10321</v>
      </c>
      <c r="B199" s="26">
        <v>45595</v>
      </c>
      <c r="C199" s="25" t="s">
        <v>81</v>
      </c>
      <c r="D199" s="25" t="s">
        <v>74</v>
      </c>
      <c r="E199" s="25" t="s">
        <v>55</v>
      </c>
      <c r="F199" s="25" t="s">
        <v>92</v>
      </c>
      <c r="G199" s="25">
        <v>3</v>
      </c>
      <c r="H199" s="27">
        <v>799</v>
      </c>
      <c r="I199" s="28">
        <v>0</v>
      </c>
      <c r="J199" s="28">
        <v>2397</v>
      </c>
      <c r="K199" s="25" t="s">
        <v>44</v>
      </c>
      <c r="L199" s="25" t="s">
        <v>57</v>
      </c>
      <c r="M199" s="35" t="s">
        <v>50</v>
      </c>
    </row>
    <row r="200" spans="1:13" x14ac:dyDescent="0.3">
      <c r="A200" s="34">
        <v>10076</v>
      </c>
      <c r="B200" s="26">
        <v>45551</v>
      </c>
      <c r="C200" s="25" t="s">
        <v>84</v>
      </c>
      <c r="D200" s="25" t="s">
        <v>95</v>
      </c>
      <c r="E200" s="25" t="s">
        <v>53</v>
      </c>
      <c r="F200" s="25" t="s">
        <v>102</v>
      </c>
      <c r="G200" s="25">
        <v>2</v>
      </c>
      <c r="H200" s="27">
        <v>899</v>
      </c>
      <c r="I200" s="28">
        <v>0</v>
      </c>
      <c r="J200" s="28">
        <v>1798</v>
      </c>
      <c r="K200" s="25" t="s">
        <v>39</v>
      </c>
      <c r="L200" s="25" t="s">
        <v>45</v>
      </c>
      <c r="M200" s="35" t="s">
        <v>41</v>
      </c>
    </row>
    <row r="201" spans="1:13" x14ac:dyDescent="0.3">
      <c r="A201" s="34">
        <v>10241</v>
      </c>
      <c r="B201" s="26">
        <v>45733</v>
      </c>
      <c r="C201" s="25" t="s">
        <v>107</v>
      </c>
      <c r="D201" s="25" t="s">
        <v>74</v>
      </c>
      <c r="E201" s="25" t="s">
        <v>55</v>
      </c>
      <c r="F201" s="25" t="s">
        <v>92</v>
      </c>
      <c r="G201" s="25">
        <v>4</v>
      </c>
      <c r="H201" s="27">
        <v>799</v>
      </c>
      <c r="I201" s="28">
        <v>0.1</v>
      </c>
      <c r="J201" s="28">
        <v>2876.4</v>
      </c>
      <c r="K201" s="25" t="s">
        <v>108</v>
      </c>
      <c r="L201" s="25" t="s">
        <v>40</v>
      </c>
      <c r="M201" s="35" t="s">
        <v>46</v>
      </c>
    </row>
    <row r="202" spans="1:13" x14ac:dyDescent="0.3">
      <c r="A202" s="34">
        <v>10088</v>
      </c>
      <c r="B202" s="26">
        <v>45547</v>
      </c>
      <c r="C202" s="25" t="s">
        <v>111</v>
      </c>
      <c r="D202" s="25" t="s">
        <v>95</v>
      </c>
      <c r="E202" s="25" t="s">
        <v>53</v>
      </c>
      <c r="F202" s="25" t="s">
        <v>102</v>
      </c>
      <c r="G202" s="25">
        <v>2</v>
      </c>
      <c r="H202" s="27">
        <v>899</v>
      </c>
      <c r="I202" s="28">
        <v>0.05</v>
      </c>
      <c r="J202" s="28">
        <v>1708.1</v>
      </c>
      <c r="K202" s="25" t="s">
        <v>67</v>
      </c>
      <c r="L202" s="25" t="s">
        <v>57</v>
      </c>
      <c r="M202" s="35" t="s">
        <v>46</v>
      </c>
    </row>
    <row r="203" spans="1:13" x14ac:dyDescent="0.3">
      <c r="A203" s="34">
        <v>10194</v>
      </c>
      <c r="B203" s="26">
        <v>45534</v>
      </c>
      <c r="C203" s="25" t="s">
        <v>206</v>
      </c>
      <c r="D203" s="25" t="s">
        <v>74</v>
      </c>
      <c r="E203" s="25" t="s">
        <v>75</v>
      </c>
      <c r="F203" s="25" t="s">
        <v>66</v>
      </c>
      <c r="G203" s="25">
        <v>4</v>
      </c>
      <c r="H203" s="27">
        <v>1499</v>
      </c>
      <c r="I203" s="28">
        <v>0.1</v>
      </c>
      <c r="J203" s="28">
        <v>5396.4000000000005</v>
      </c>
      <c r="K203" s="25" t="s">
        <v>108</v>
      </c>
      <c r="L203" s="25" t="s">
        <v>57</v>
      </c>
      <c r="M203" s="35" t="s">
        <v>50</v>
      </c>
    </row>
    <row r="204" spans="1:13" x14ac:dyDescent="0.3">
      <c r="A204" s="34">
        <v>10045</v>
      </c>
      <c r="B204" s="26">
        <v>45306</v>
      </c>
      <c r="C204" s="25" t="s">
        <v>97</v>
      </c>
      <c r="D204" s="25" t="s">
        <v>59</v>
      </c>
      <c r="E204" s="25" t="s">
        <v>75</v>
      </c>
      <c r="F204" s="25" t="s">
        <v>105</v>
      </c>
      <c r="G204" s="25">
        <v>3</v>
      </c>
      <c r="H204" s="27">
        <v>1199</v>
      </c>
      <c r="I204" s="28">
        <v>0</v>
      </c>
      <c r="J204" s="28">
        <v>3597</v>
      </c>
      <c r="K204" s="25" t="s">
        <v>44</v>
      </c>
      <c r="L204" s="25" t="s">
        <v>45</v>
      </c>
      <c r="M204" s="35" t="s">
        <v>41</v>
      </c>
    </row>
    <row r="205" spans="1:13" x14ac:dyDescent="0.3">
      <c r="A205" s="34">
        <v>10274</v>
      </c>
      <c r="B205" s="26">
        <v>45558</v>
      </c>
      <c r="C205" s="25" t="s">
        <v>205</v>
      </c>
      <c r="D205" s="25" t="s">
        <v>52</v>
      </c>
      <c r="E205" s="25" t="s">
        <v>75</v>
      </c>
      <c r="F205" s="25" t="s">
        <v>38</v>
      </c>
      <c r="G205" s="25">
        <v>4</v>
      </c>
      <c r="H205" s="27">
        <v>2999</v>
      </c>
      <c r="I205" s="28">
        <v>0.15</v>
      </c>
      <c r="J205" s="28">
        <v>10196.6</v>
      </c>
      <c r="K205" s="25" t="s">
        <v>39</v>
      </c>
      <c r="L205" s="25" t="s">
        <v>57</v>
      </c>
      <c r="M205" s="35" t="s">
        <v>50</v>
      </c>
    </row>
    <row r="206" spans="1:13" x14ac:dyDescent="0.3">
      <c r="A206" s="34">
        <v>10225</v>
      </c>
      <c r="B206" s="26">
        <v>45746</v>
      </c>
      <c r="C206" s="25" t="s">
        <v>116</v>
      </c>
      <c r="D206" s="25" t="s">
        <v>95</v>
      </c>
      <c r="E206" s="25" t="s">
        <v>75</v>
      </c>
      <c r="F206" s="25" t="s">
        <v>38</v>
      </c>
      <c r="G206" s="25">
        <v>3</v>
      </c>
      <c r="H206" s="27">
        <v>2999</v>
      </c>
      <c r="I206" s="28">
        <v>0.05</v>
      </c>
      <c r="J206" s="28">
        <v>8547.15</v>
      </c>
      <c r="K206" s="25" t="s">
        <v>39</v>
      </c>
      <c r="L206" s="25" t="s">
        <v>45</v>
      </c>
      <c r="M206" s="35" t="s">
        <v>50</v>
      </c>
    </row>
    <row r="207" spans="1:13" x14ac:dyDescent="0.3">
      <c r="A207" s="34">
        <v>10120</v>
      </c>
      <c r="B207" s="26">
        <v>45425</v>
      </c>
      <c r="C207" s="25" t="s">
        <v>42</v>
      </c>
      <c r="D207" s="25" t="s">
        <v>59</v>
      </c>
      <c r="E207" s="25" t="s">
        <v>69</v>
      </c>
      <c r="F207" s="25" t="s">
        <v>68</v>
      </c>
      <c r="G207" s="25">
        <v>5</v>
      </c>
      <c r="H207" s="27">
        <v>6999</v>
      </c>
      <c r="I207" s="28">
        <v>0</v>
      </c>
      <c r="J207" s="28">
        <v>34995</v>
      </c>
      <c r="K207" s="25" t="s">
        <v>67</v>
      </c>
      <c r="L207" s="25" t="s">
        <v>57</v>
      </c>
      <c r="M207" s="35" t="s">
        <v>41</v>
      </c>
    </row>
    <row r="208" spans="1:13" x14ac:dyDescent="0.3">
      <c r="A208" s="34">
        <v>10252</v>
      </c>
      <c r="B208" s="26">
        <v>45467</v>
      </c>
      <c r="C208" s="25" t="s">
        <v>93</v>
      </c>
      <c r="D208" s="25" t="s">
        <v>52</v>
      </c>
      <c r="E208" s="25" t="s">
        <v>69</v>
      </c>
      <c r="F208" s="25" t="s">
        <v>85</v>
      </c>
      <c r="G208" s="25">
        <v>2</v>
      </c>
      <c r="H208" s="27">
        <v>24999</v>
      </c>
      <c r="I208" s="28">
        <v>0.05</v>
      </c>
      <c r="J208" s="28">
        <v>47498.1</v>
      </c>
      <c r="K208" s="25" t="s">
        <v>109</v>
      </c>
      <c r="L208" s="25" t="s">
        <v>49</v>
      </c>
      <c r="M208" s="35" t="s">
        <v>46</v>
      </c>
    </row>
    <row r="209" spans="1:13" x14ac:dyDescent="0.3">
      <c r="A209" s="34">
        <v>10226</v>
      </c>
      <c r="B209" s="26">
        <v>45399</v>
      </c>
      <c r="C209" s="25" t="s">
        <v>115</v>
      </c>
      <c r="D209" s="25" t="s">
        <v>52</v>
      </c>
      <c r="E209" s="25" t="s">
        <v>69</v>
      </c>
      <c r="F209" s="25" t="s">
        <v>63</v>
      </c>
      <c r="G209" s="25">
        <v>6</v>
      </c>
      <c r="H209" s="27">
        <v>15999</v>
      </c>
      <c r="I209" s="28">
        <v>0.05</v>
      </c>
      <c r="J209" s="28">
        <v>91194.3</v>
      </c>
      <c r="K209" s="25" t="s">
        <v>109</v>
      </c>
      <c r="L209" s="25" t="s">
        <v>45</v>
      </c>
      <c r="M209" s="35" t="s">
        <v>46</v>
      </c>
    </row>
    <row r="210" spans="1:13" x14ac:dyDescent="0.3">
      <c r="A210" s="34">
        <v>10072</v>
      </c>
      <c r="B210" s="26">
        <v>45792</v>
      </c>
      <c r="C210" s="25" t="s">
        <v>62</v>
      </c>
      <c r="D210" s="25" t="s">
        <v>95</v>
      </c>
      <c r="E210" s="25" t="s">
        <v>37</v>
      </c>
      <c r="F210" s="25" t="s">
        <v>38</v>
      </c>
      <c r="G210" s="25">
        <v>1</v>
      </c>
      <c r="H210" s="27">
        <v>2999</v>
      </c>
      <c r="I210" s="28">
        <v>0</v>
      </c>
      <c r="J210" s="28">
        <v>2999</v>
      </c>
      <c r="K210" s="25" t="s">
        <v>109</v>
      </c>
      <c r="L210" s="25" t="s">
        <v>40</v>
      </c>
      <c r="M210" s="35" t="s">
        <v>41</v>
      </c>
    </row>
    <row r="211" spans="1:13" x14ac:dyDescent="0.3">
      <c r="A211" s="34">
        <v>10017</v>
      </c>
      <c r="B211" s="26">
        <v>45605</v>
      </c>
      <c r="C211" s="25" t="s">
        <v>94</v>
      </c>
      <c r="D211" s="25" t="s">
        <v>74</v>
      </c>
      <c r="E211" s="25" t="s">
        <v>53</v>
      </c>
      <c r="F211" s="25" t="s">
        <v>102</v>
      </c>
      <c r="G211" s="25">
        <v>2</v>
      </c>
      <c r="H211" s="27">
        <v>899</v>
      </c>
      <c r="I211" s="28">
        <v>0.05</v>
      </c>
      <c r="J211" s="28">
        <v>1708.1</v>
      </c>
      <c r="K211" s="25" t="s">
        <v>39</v>
      </c>
      <c r="L211" s="25" t="s">
        <v>65</v>
      </c>
      <c r="M211" s="35" t="s">
        <v>46</v>
      </c>
    </row>
    <row r="212" spans="1:13" x14ac:dyDescent="0.3">
      <c r="A212" s="34">
        <v>10275</v>
      </c>
      <c r="B212" s="26">
        <v>45781</v>
      </c>
      <c r="C212" s="25" t="s">
        <v>111</v>
      </c>
      <c r="D212" s="25" t="s">
        <v>52</v>
      </c>
      <c r="E212" s="25" t="s">
        <v>53</v>
      </c>
      <c r="F212" s="25" t="s">
        <v>90</v>
      </c>
      <c r="G212" s="25">
        <v>2</v>
      </c>
      <c r="H212" s="27">
        <v>199</v>
      </c>
      <c r="I212" s="28">
        <v>0.1</v>
      </c>
      <c r="J212" s="28">
        <v>358.2</v>
      </c>
      <c r="K212" s="25" t="s">
        <v>44</v>
      </c>
      <c r="L212" s="25" t="s">
        <v>49</v>
      </c>
      <c r="M212" s="35" t="s">
        <v>50</v>
      </c>
    </row>
    <row r="213" spans="1:13" x14ac:dyDescent="0.3">
      <c r="A213" s="34">
        <v>10177</v>
      </c>
      <c r="B213" s="26">
        <v>45711</v>
      </c>
      <c r="C213" s="25" t="s">
        <v>111</v>
      </c>
      <c r="D213" s="25" t="s">
        <v>59</v>
      </c>
      <c r="E213" s="25" t="s">
        <v>75</v>
      </c>
      <c r="F213" s="25" t="s">
        <v>66</v>
      </c>
      <c r="G213" s="25">
        <v>5</v>
      </c>
      <c r="H213" s="27">
        <v>1499</v>
      </c>
      <c r="I213" s="28">
        <v>0.15</v>
      </c>
      <c r="J213" s="28">
        <v>6370.75</v>
      </c>
      <c r="K213" s="25" t="s">
        <v>44</v>
      </c>
      <c r="L213" s="25" t="s">
        <v>40</v>
      </c>
      <c r="M213" s="35" t="s">
        <v>41</v>
      </c>
    </row>
    <row r="214" spans="1:13" x14ac:dyDescent="0.3">
      <c r="A214" s="34">
        <v>10034</v>
      </c>
      <c r="B214" s="26">
        <v>45387</v>
      </c>
      <c r="C214" s="25" t="s">
        <v>84</v>
      </c>
      <c r="D214" s="25" t="s">
        <v>72</v>
      </c>
      <c r="E214" s="25" t="s">
        <v>55</v>
      </c>
      <c r="F214" s="25" t="s">
        <v>56</v>
      </c>
      <c r="G214" s="25">
        <v>2</v>
      </c>
      <c r="H214" s="27">
        <v>3999</v>
      </c>
      <c r="I214" s="28">
        <v>0.15</v>
      </c>
      <c r="J214" s="28">
        <v>6798.3</v>
      </c>
      <c r="K214" s="25" t="s">
        <v>67</v>
      </c>
      <c r="L214" s="25" t="s">
        <v>40</v>
      </c>
      <c r="M214" s="35" t="s">
        <v>46</v>
      </c>
    </row>
    <row r="215" spans="1:13" x14ac:dyDescent="0.3">
      <c r="A215" s="34">
        <v>10086</v>
      </c>
      <c r="B215" s="26">
        <v>45645</v>
      </c>
      <c r="C215" s="25" t="s">
        <v>71</v>
      </c>
      <c r="D215" s="25" t="s">
        <v>74</v>
      </c>
      <c r="E215" s="25" t="s">
        <v>69</v>
      </c>
      <c r="F215" s="25" t="s">
        <v>63</v>
      </c>
      <c r="G215" s="25">
        <v>3</v>
      </c>
      <c r="H215" s="27">
        <v>15999</v>
      </c>
      <c r="I215" s="28">
        <v>0</v>
      </c>
      <c r="J215" s="28">
        <v>47997</v>
      </c>
      <c r="K215" s="25" t="s">
        <v>67</v>
      </c>
      <c r="L215" s="25" t="s">
        <v>49</v>
      </c>
      <c r="M215" s="35" t="s">
        <v>41</v>
      </c>
    </row>
    <row r="216" spans="1:13" x14ac:dyDescent="0.3">
      <c r="A216" s="34">
        <v>10244</v>
      </c>
      <c r="B216" s="26">
        <v>45587</v>
      </c>
      <c r="C216" s="25" t="s">
        <v>115</v>
      </c>
      <c r="D216" s="25" t="s">
        <v>59</v>
      </c>
      <c r="E216" s="25" t="s">
        <v>69</v>
      </c>
      <c r="F216" s="25" t="s">
        <v>85</v>
      </c>
      <c r="G216" s="25">
        <v>3</v>
      </c>
      <c r="H216" s="27">
        <v>24999</v>
      </c>
      <c r="I216" s="28">
        <v>0</v>
      </c>
      <c r="J216" s="28">
        <v>74997</v>
      </c>
      <c r="K216" s="25" t="s">
        <v>108</v>
      </c>
      <c r="L216" s="25" t="s">
        <v>40</v>
      </c>
      <c r="M216" s="35" t="s">
        <v>41</v>
      </c>
    </row>
    <row r="217" spans="1:13" x14ac:dyDescent="0.3">
      <c r="A217" s="34">
        <v>10070</v>
      </c>
      <c r="B217" s="26">
        <v>45391</v>
      </c>
      <c r="C217" s="25" t="s">
        <v>84</v>
      </c>
      <c r="D217" s="25" t="s">
        <v>52</v>
      </c>
      <c r="E217" s="25" t="s">
        <v>69</v>
      </c>
      <c r="F217" s="25" t="s">
        <v>61</v>
      </c>
      <c r="G217" s="25">
        <v>1</v>
      </c>
      <c r="H217" s="27">
        <v>18999</v>
      </c>
      <c r="I217" s="28">
        <v>0</v>
      </c>
      <c r="J217" s="28">
        <v>18999</v>
      </c>
      <c r="K217" s="25" t="s">
        <v>67</v>
      </c>
      <c r="L217" s="25" t="s">
        <v>45</v>
      </c>
      <c r="M217" s="35" t="s">
        <v>41</v>
      </c>
    </row>
    <row r="218" spans="1:13" x14ac:dyDescent="0.3">
      <c r="A218" s="34">
        <v>10161</v>
      </c>
      <c r="B218" s="26">
        <v>45353</v>
      </c>
      <c r="C218" s="25" t="s">
        <v>42</v>
      </c>
      <c r="D218" s="25" t="s">
        <v>52</v>
      </c>
      <c r="E218" s="25" t="s">
        <v>75</v>
      </c>
      <c r="F218" s="25" t="s">
        <v>105</v>
      </c>
      <c r="G218" s="25">
        <v>1</v>
      </c>
      <c r="H218" s="27">
        <v>1199</v>
      </c>
      <c r="I218" s="28">
        <v>0.05</v>
      </c>
      <c r="J218" s="28">
        <v>1139.05</v>
      </c>
      <c r="K218" s="25" t="s">
        <v>44</v>
      </c>
      <c r="L218" s="25" t="s">
        <v>45</v>
      </c>
      <c r="M218" s="35" t="s">
        <v>41</v>
      </c>
    </row>
    <row r="219" spans="1:13" x14ac:dyDescent="0.3">
      <c r="A219" s="34">
        <v>10051</v>
      </c>
      <c r="B219" s="26">
        <v>45379</v>
      </c>
      <c r="C219" s="25" t="s">
        <v>81</v>
      </c>
      <c r="D219" s="25" t="s">
        <v>59</v>
      </c>
      <c r="E219" s="25" t="s">
        <v>76</v>
      </c>
      <c r="F219" s="25" t="s">
        <v>61</v>
      </c>
      <c r="G219" s="25">
        <v>5</v>
      </c>
      <c r="H219" s="27">
        <v>18999</v>
      </c>
      <c r="I219" s="28">
        <v>0</v>
      </c>
      <c r="J219" s="28">
        <v>94995</v>
      </c>
      <c r="K219" s="25" t="s">
        <v>109</v>
      </c>
      <c r="L219" s="25" t="s">
        <v>45</v>
      </c>
      <c r="M219" s="35" t="s">
        <v>46</v>
      </c>
    </row>
    <row r="220" spans="1:13" x14ac:dyDescent="0.3">
      <c r="A220" s="34">
        <v>10184</v>
      </c>
      <c r="B220" s="26">
        <v>45730</v>
      </c>
      <c r="C220" s="25" t="s">
        <v>118</v>
      </c>
      <c r="D220" s="25" t="s">
        <v>59</v>
      </c>
      <c r="E220" s="25" t="s">
        <v>69</v>
      </c>
      <c r="F220" s="25" t="s">
        <v>104</v>
      </c>
      <c r="G220" s="25">
        <v>4</v>
      </c>
      <c r="H220" s="27">
        <v>4999</v>
      </c>
      <c r="I220" s="28">
        <v>0</v>
      </c>
      <c r="J220" s="28">
        <v>19996</v>
      </c>
      <c r="K220" s="25" t="s">
        <v>108</v>
      </c>
      <c r="L220" s="25" t="s">
        <v>49</v>
      </c>
      <c r="M220" s="35" t="s">
        <v>203</v>
      </c>
    </row>
    <row r="221" spans="1:13" x14ac:dyDescent="0.3">
      <c r="A221" s="34">
        <v>10118</v>
      </c>
      <c r="B221" s="26">
        <v>45447</v>
      </c>
      <c r="C221" s="25" t="s">
        <v>94</v>
      </c>
      <c r="D221" s="25" t="s">
        <v>72</v>
      </c>
      <c r="E221" s="25" t="s">
        <v>69</v>
      </c>
      <c r="F221" s="25" t="s">
        <v>63</v>
      </c>
      <c r="G221" s="25">
        <v>2</v>
      </c>
      <c r="H221" s="27">
        <v>15999</v>
      </c>
      <c r="I221" s="28">
        <v>0</v>
      </c>
      <c r="J221" s="28">
        <v>31998</v>
      </c>
      <c r="K221" s="25" t="s">
        <v>39</v>
      </c>
      <c r="L221" s="25" t="s">
        <v>45</v>
      </c>
      <c r="M221" s="35" t="s">
        <v>41</v>
      </c>
    </row>
    <row r="222" spans="1:13" x14ac:dyDescent="0.3">
      <c r="A222" s="34">
        <v>10096</v>
      </c>
      <c r="B222" s="26">
        <v>45472</v>
      </c>
      <c r="C222" s="25" t="s">
        <v>106</v>
      </c>
      <c r="D222" s="25" t="s">
        <v>74</v>
      </c>
      <c r="E222" s="25" t="s">
        <v>76</v>
      </c>
      <c r="F222" s="25" t="s">
        <v>70</v>
      </c>
      <c r="G222" s="25">
        <v>5</v>
      </c>
      <c r="H222" s="27">
        <v>5499</v>
      </c>
      <c r="I222" s="28">
        <v>0.1</v>
      </c>
      <c r="J222" s="28">
        <v>24745.5</v>
      </c>
      <c r="K222" s="25" t="s">
        <v>108</v>
      </c>
      <c r="L222" s="25" t="s">
        <v>57</v>
      </c>
      <c r="M222" s="35" t="s">
        <v>50</v>
      </c>
    </row>
    <row r="223" spans="1:13" x14ac:dyDescent="0.3">
      <c r="A223" s="34">
        <v>10299</v>
      </c>
      <c r="B223" s="26">
        <v>45582</v>
      </c>
      <c r="C223" s="25" t="s">
        <v>94</v>
      </c>
      <c r="D223" s="25" t="s">
        <v>74</v>
      </c>
      <c r="E223" s="25" t="s">
        <v>55</v>
      </c>
      <c r="F223" s="25" t="s">
        <v>56</v>
      </c>
      <c r="G223" s="25">
        <v>6</v>
      </c>
      <c r="H223" s="27">
        <v>3999</v>
      </c>
      <c r="I223" s="28">
        <v>0.05</v>
      </c>
      <c r="J223" s="28">
        <v>22794.3</v>
      </c>
      <c r="K223" s="25" t="s">
        <v>67</v>
      </c>
      <c r="L223" s="25" t="s">
        <v>40</v>
      </c>
      <c r="M223" s="35" t="s">
        <v>41</v>
      </c>
    </row>
    <row r="224" spans="1:13" x14ac:dyDescent="0.3">
      <c r="A224" s="34">
        <v>10304</v>
      </c>
      <c r="B224" s="26">
        <v>45524</v>
      </c>
      <c r="C224" s="25" t="s">
        <v>111</v>
      </c>
      <c r="D224" s="25" t="s">
        <v>52</v>
      </c>
      <c r="E224" s="25" t="s">
        <v>53</v>
      </c>
      <c r="F224" s="25" t="s">
        <v>60</v>
      </c>
      <c r="G224" s="25">
        <v>6</v>
      </c>
      <c r="H224" s="27">
        <v>349</v>
      </c>
      <c r="I224" s="28">
        <v>0</v>
      </c>
      <c r="J224" s="28">
        <v>2094</v>
      </c>
      <c r="K224" s="25" t="s">
        <v>109</v>
      </c>
      <c r="L224" s="25" t="s">
        <v>57</v>
      </c>
      <c r="M224" s="35" t="s">
        <v>41</v>
      </c>
    </row>
    <row r="225" spans="1:13" x14ac:dyDescent="0.3">
      <c r="A225" s="34">
        <v>10117</v>
      </c>
      <c r="B225" s="26">
        <v>45760</v>
      </c>
      <c r="C225" s="25" t="s">
        <v>106</v>
      </c>
      <c r="D225" s="25" t="s">
        <v>52</v>
      </c>
      <c r="E225" s="25" t="s">
        <v>76</v>
      </c>
      <c r="F225" s="25" t="s">
        <v>83</v>
      </c>
      <c r="G225" s="25">
        <v>2</v>
      </c>
      <c r="H225" s="27">
        <v>1299</v>
      </c>
      <c r="I225" s="28">
        <v>0.05</v>
      </c>
      <c r="J225" s="28">
        <v>2468.1</v>
      </c>
      <c r="K225" s="25" t="s">
        <v>44</v>
      </c>
      <c r="L225" s="25" t="s">
        <v>65</v>
      </c>
      <c r="M225" s="35" t="s">
        <v>46</v>
      </c>
    </row>
    <row r="226" spans="1:13" x14ac:dyDescent="0.3">
      <c r="A226" s="34">
        <v>10156</v>
      </c>
      <c r="B226" s="26">
        <v>45575</v>
      </c>
      <c r="C226" s="25" t="s">
        <v>94</v>
      </c>
      <c r="D226" s="25" t="s">
        <v>74</v>
      </c>
      <c r="E226" s="25" t="s">
        <v>75</v>
      </c>
      <c r="F226" s="25" t="s">
        <v>105</v>
      </c>
      <c r="G226" s="25">
        <v>2</v>
      </c>
      <c r="H226" s="27">
        <v>1199</v>
      </c>
      <c r="I226" s="28">
        <v>0</v>
      </c>
      <c r="J226" s="28">
        <v>2398</v>
      </c>
      <c r="K226" s="25" t="s">
        <v>109</v>
      </c>
      <c r="L226" s="25" t="s">
        <v>65</v>
      </c>
      <c r="M226" s="35" t="s">
        <v>50</v>
      </c>
    </row>
    <row r="227" spans="1:13" x14ac:dyDescent="0.3">
      <c r="A227" s="34">
        <v>10056</v>
      </c>
      <c r="B227" s="26">
        <v>45533</v>
      </c>
      <c r="C227" s="25" t="s">
        <v>117</v>
      </c>
      <c r="D227" s="25" t="s">
        <v>59</v>
      </c>
      <c r="E227" s="25" t="s">
        <v>55</v>
      </c>
      <c r="F227" s="25" t="s">
        <v>92</v>
      </c>
      <c r="G227" s="25">
        <v>6</v>
      </c>
      <c r="H227" s="27">
        <v>799</v>
      </c>
      <c r="I227" s="28">
        <v>0.05</v>
      </c>
      <c r="J227" s="28">
        <v>4554.3</v>
      </c>
      <c r="K227" s="25" t="s">
        <v>44</v>
      </c>
      <c r="L227" s="25" t="s">
        <v>65</v>
      </c>
      <c r="M227" s="35" t="s">
        <v>41</v>
      </c>
    </row>
    <row r="228" spans="1:13" x14ac:dyDescent="0.3">
      <c r="A228" s="34">
        <v>10039</v>
      </c>
      <c r="B228" s="26">
        <v>45659</v>
      </c>
      <c r="C228" s="25" t="s">
        <v>111</v>
      </c>
      <c r="D228" s="25" t="s">
        <v>52</v>
      </c>
      <c r="E228" s="25" t="s">
        <v>69</v>
      </c>
      <c r="F228" s="25" t="s">
        <v>63</v>
      </c>
      <c r="G228" s="25">
        <v>4</v>
      </c>
      <c r="H228" s="27">
        <v>15999</v>
      </c>
      <c r="I228" s="28">
        <v>0</v>
      </c>
      <c r="J228" s="28">
        <v>63996</v>
      </c>
      <c r="K228" s="25" t="s">
        <v>108</v>
      </c>
      <c r="L228" s="25" t="s">
        <v>49</v>
      </c>
      <c r="M228" s="35" t="s">
        <v>41</v>
      </c>
    </row>
    <row r="229" spans="1:13" x14ac:dyDescent="0.3">
      <c r="A229" s="34">
        <v>10112</v>
      </c>
      <c r="B229" s="26">
        <v>45468</v>
      </c>
      <c r="C229" s="25" t="s">
        <v>206</v>
      </c>
      <c r="D229" s="25" t="s">
        <v>95</v>
      </c>
      <c r="E229" s="25" t="s">
        <v>69</v>
      </c>
      <c r="F229" s="25" t="s">
        <v>82</v>
      </c>
      <c r="G229" s="25">
        <v>6</v>
      </c>
      <c r="H229" s="27">
        <v>8999</v>
      </c>
      <c r="I229" s="28">
        <v>0.15</v>
      </c>
      <c r="J229" s="28">
        <v>45894.9</v>
      </c>
      <c r="K229" s="25" t="s">
        <v>67</v>
      </c>
      <c r="L229" s="25" t="s">
        <v>40</v>
      </c>
      <c r="M229" s="35" t="s">
        <v>203</v>
      </c>
    </row>
    <row r="230" spans="1:13" x14ac:dyDescent="0.3">
      <c r="A230" s="34">
        <v>10291</v>
      </c>
      <c r="B230" s="26">
        <v>45431</v>
      </c>
      <c r="C230" s="25" t="s">
        <v>93</v>
      </c>
      <c r="D230" s="25" t="s">
        <v>72</v>
      </c>
      <c r="E230" s="25" t="s">
        <v>55</v>
      </c>
      <c r="F230" s="25" t="s">
        <v>88</v>
      </c>
      <c r="G230" s="25">
        <v>3</v>
      </c>
      <c r="H230" s="27">
        <v>2499</v>
      </c>
      <c r="I230" s="28">
        <v>0</v>
      </c>
      <c r="J230" s="28">
        <v>7497</v>
      </c>
      <c r="K230" s="25" t="s">
        <v>108</v>
      </c>
      <c r="L230" s="25" t="s">
        <v>45</v>
      </c>
      <c r="M230" s="35" t="s">
        <v>50</v>
      </c>
    </row>
    <row r="231" spans="1:13" x14ac:dyDescent="0.3">
      <c r="A231" s="34">
        <v>10015</v>
      </c>
      <c r="B231" s="26">
        <v>45964</v>
      </c>
      <c r="C231" s="25" t="s">
        <v>81</v>
      </c>
      <c r="D231" s="25" t="s">
        <v>74</v>
      </c>
      <c r="E231" s="25" t="s">
        <v>69</v>
      </c>
      <c r="F231" s="25" t="s">
        <v>82</v>
      </c>
      <c r="G231" s="25">
        <v>5</v>
      </c>
      <c r="H231" s="27">
        <v>8999</v>
      </c>
      <c r="I231" s="28">
        <v>0</v>
      </c>
      <c r="J231" s="28">
        <v>44995</v>
      </c>
      <c r="K231" s="25" t="s">
        <v>44</v>
      </c>
      <c r="L231" s="25" t="s">
        <v>49</v>
      </c>
      <c r="M231" s="35" t="s">
        <v>41</v>
      </c>
    </row>
    <row r="232" spans="1:13" x14ac:dyDescent="0.3">
      <c r="A232" s="34">
        <v>10125</v>
      </c>
      <c r="B232" s="26">
        <v>45295</v>
      </c>
      <c r="C232" s="25" t="s">
        <v>62</v>
      </c>
      <c r="D232" s="25" t="s">
        <v>74</v>
      </c>
      <c r="E232" s="25" t="s">
        <v>78</v>
      </c>
      <c r="F232" s="25" t="s">
        <v>92</v>
      </c>
      <c r="G232" s="25">
        <v>3</v>
      </c>
      <c r="H232" s="27">
        <v>799</v>
      </c>
      <c r="I232" s="28">
        <v>0</v>
      </c>
      <c r="J232" s="28">
        <v>2397</v>
      </c>
      <c r="K232" s="25" t="s">
        <v>108</v>
      </c>
      <c r="L232" s="25" t="s">
        <v>65</v>
      </c>
      <c r="M232" s="35" t="s">
        <v>41</v>
      </c>
    </row>
    <row r="233" spans="1:13" x14ac:dyDescent="0.3">
      <c r="A233" s="34">
        <v>10150</v>
      </c>
      <c r="B233" s="26">
        <v>45305</v>
      </c>
      <c r="C233" s="25" t="s">
        <v>62</v>
      </c>
      <c r="D233" s="25" t="s">
        <v>74</v>
      </c>
      <c r="E233" s="25" t="s">
        <v>53</v>
      </c>
      <c r="F233" s="25" t="s">
        <v>86</v>
      </c>
      <c r="G233" s="25">
        <v>5</v>
      </c>
      <c r="H233" s="27">
        <v>599</v>
      </c>
      <c r="I233" s="28">
        <v>0.1</v>
      </c>
      <c r="J233" s="28">
        <v>2695.5</v>
      </c>
      <c r="K233" s="25" t="s">
        <v>39</v>
      </c>
      <c r="L233" s="25" t="s">
        <v>65</v>
      </c>
      <c r="M233" s="35" t="s">
        <v>41</v>
      </c>
    </row>
    <row r="234" spans="1:13" x14ac:dyDescent="0.3">
      <c r="A234" s="34">
        <v>10260</v>
      </c>
      <c r="B234" s="26">
        <v>45543</v>
      </c>
      <c r="C234" s="25" t="s">
        <v>114</v>
      </c>
      <c r="D234" s="25" t="s">
        <v>59</v>
      </c>
      <c r="E234" s="25" t="s">
        <v>69</v>
      </c>
      <c r="F234" s="25" t="s">
        <v>82</v>
      </c>
      <c r="G234" s="25">
        <v>1</v>
      </c>
      <c r="H234" s="27">
        <v>8999</v>
      </c>
      <c r="I234" s="28">
        <v>0.1</v>
      </c>
      <c r="J234" s="28">
        <v>8099.1</v>
      </c>
      <c r="K234" s="25" t="s">
        <v>39</v>
      </c>
      <c r="L234" s="25" t="s">
        <v>57</v>
      </c>
      <c r="M234" s="35" t="s">
        <v>41</v>
      </c>
    </row>
    <row r="235" spans="1:13" x14ac:dyDescent="0.3">
      <c r="A235" s="34">
        <v>10020</v>
      </c>
      <c r="B235" s="26">
        <v>45734</v>
      </c>
      <c r="C235" s="25" t="s">
        <v>81</v>
      </c>
      <c r="D235" s="25" t="s">
        <v>74</v>
      </c>
      <c r="E235" s="25" t="s">
        <v>53</v>
      </c>
      <c r="F235" s="25" t="s">
        <v>90</v>
      </c>
      <c r="G235" s="25">
        <v>4</v>
      </c>
      <c r="H235" s="27">
        <v>199</v>
      </c>
      <c r="I235" s="28">
        <v>0</v>
      </c>
      <c r="J235" s="28">
        <v>796</v>
      </c>
      <c r="K235" s="25" t="s">
        <v>204</v>
      </c>
      <c r="L235" s="25" t="s">
        <v>40</v>
      </c>
      <c r="M235" s="35" t="s">
        <v>50</v>
      </c>
    </row>
    <row r="236" spans="1:13" x14ac:dyDescent="0.3">
      <c r="A236" s="34">
        <v>10057</v>
      </c>
      <c r="B236" s="26">
        <v>45481</v>
      </c>
      <c r="C236" s="25" t="s">
        <v>205</v>
      </c>
      <c r="D236" s="25" t="s">
        <v>59</v>
      </c>
      <c r="E236" s="25" t="s">
        <v>75</v>
      </c>
      <c r="F236" s="25" t="s">
        <v>48</v>
      </c>
      <c r="G236" s="25">
        <v>2</v>
      </c>
      <c r="H236" s="27">
        <v>799</v>
      </c>
      <c r="I236" s="28">
        <v>0.15</v>
      </c>
      <c r="J236" s="28">
        <v>1358.3</v>
      </c>
      <c r="K236" s="25" t="s">
        <v>109</v>
      </c>
      <c r="L236" s="25" t="s">
        <v>49</v>
      </c>
      <c r="M236" s="35" t="s">
        <v>41</v>
      </c>
    </row>
    <row r="237" spans="1:13" x14ac:dyDescent="0.3">
      <c r="A237" s="34">
        <v>10228</v>
      </c>
      <c r="B237" s="26">
        <v>45594</v>
      </c>
      <c r="C237" s="25" t="s">
        <v>51</v>
      </c>
      <c r="D237" s="25" t="s">
        <v>72</v>
      </c>
      <c r="E237" s="25" t="s">
        <v>53</v>
      </c>
      <c r="F237" s="25" t="s">
        <v>54</v>
      </c>
      <c r="G237" s="25">
        <v>6</v>
      </c>
      <c r="H237" s="27">
        <v>149</v>
      </c>
      <c r="I237" s="28">
        <v>0.1</v>
      </c>
      <c r="J237" s="28">
        <v>804.6</v>
      </c>
      <c r="K237" s="25" t="s">
        <v>44</v>
      </c>
      <c r="L237" s="25" t="s">
        <v>40</v>
      </c>
      <c r="M237" s="35" t="s">
        <v>41</v>
      </c>
    </row>
    <row r="238" spans="1:13" x14ac:dyDescent="0.3">
      <c r="A238" s="34">
        <v>10097</v>
      </c>
      <c r="B238" s="26">
        <v>45391</v>
      </c>
      <c r="C238" s="25" t="s">
        <v>77</v>
      </c>
      <c r="D238" s="25" t="s">
        <v>59</v>
      </c>
      <c r="E238" s="25" t="s">
        <v>55</v>
      </c>
      <c r="F238" s="25" t="s">
        <v>88</v>
      </c>
      <c r="G238" s="25">
        <v>3</v>
      </c>
      <c r="H238" s="27">
        <v>2499</v>
      </c>
      <c r="I238" s="28">
        <v>0</v>
      </c>
      <c r="J238" s="28">
        <v>7497</v>
      </c>
      <c r="K238" s="25" t="s">
        <v>67</v>
      </c>
      <c r="L238" s="25" t="s">
        <v>57</v>
      </c>
      <c r="M238" s="35" t="s">
        <v>41</v>
      </c>
    </row>
    <row r="239" spans="1:13" x14ac:dyDescent="0.3">
      <c r="A239" s="34">
        <v>10052</v>
      </c>
      <c r="B239" s="26">
        <v>45592</v>
      </c>
      <c r="C239" s="25" t="s">
        <v>47</v>
      </c>
      <c r="D239" s="25" t="s">
        <v>74</v>
      </c>
      <c r="E239" s="25" t="s">
        <v>55</v>
      </c>
      <c r="F239" s="25" t="s">
        <v>92</v>
      </c>
      <c r="G239" s="25">
        <v>6</v>
      </c>
      <c r="H239" s="27">
        <v>799</v>
      </c>
      <c r="I239" s="28">
        <v>0.1</v>
      </c>
      <c r="J239" s="28">
        <v>4314.6000000000004</v>
      </c>
      <c r="K239" s="25" t="s">
        <v>109</v>
      </c>
      <c r="L239" s="25" t="s">
        <v>40</v>
      </c>
      <c r="M239" s="35" t="s">
        <v>41</v>
      </c>
    </row>
    <row r="240" spans="1:13" x14ac:dyDescent="0.3">
      <c r="A240" s="34">
        <v>10273</v>
      </c>
      <c r="B240" s="26">
        <v>45642</v>
      </c>
      <c r="C240" s="25" t="s">
        <v>77</v>
      </c>
      <c r="D240" s="25" t="s">
        <v>52</v>
      </c>
      <c r="E240" s="25" t="s">
        <v>75</v>
      </c>
      <c r="F240" s="25" t="s">
        <v>48</v>
      </c>
      <c r="G240" s="25">
        <v>4</v>
      </c>
      <c r="H240" s="27">
        <v>799</v>
      </c>
      <c r="I240" s="28">
        <v>0.1</v>
      </c>
      <c r="J240" s="28">
        <v>2876.4</v>
      </c>
      <c r="K240" s="25" t="s">
        <v>44</v>
      </c>
      <c r="L240" s="25" t="s">
        <v>65</v>
      </c>
      <c r="M240" s="35" t="s">
        <v>41</v>
      </c>
    </row>
    <row r="241" spans="1:13" x14ac:dyDescent="0.3">
      <c r="A241" s="34">
        <v>10316</v>
      </c>
      <c r="B241" s="26">
        <v>45710</v>
      </c>
      <c r="C241" s="25" t="s">
        <v>84</v>
      </c>
      <c r="D241" s="25" t="s">
        <v>95</v>
      </c>
      <c r="E241" s="25" t="s">
        <v>78</v>
      </c>
      <c r="F241" s="25" t="s">
        <v>56</v>
      </c>
      <c r="G241" s="25">
        <v>1</v>
      </c>
      <c r="H241" s="27">
        <v>3999</v>
      </c>
      <c r="I241" s="28">
        <v>0.1</v>
      </c>
      <c r="J241" s="28">
        <v>3599.1</v>
      </c>
      <c r="K241" s="25" t="s">
        <v>109</v>
      </c>
      <c r="L241" s="25" t="s">
        <v>40</v>
      </c>
      <c r="M241" s="35" t="s">
        <v>50</v>
      </c>
    </row>
    <row r="242" spans="1:13" x14ac:dyDescent="0.3">
      <c r="A242" s="34">
        <v>10188</v>
      </c>
      <c r="B242" s="26">
        <v>45776</v>
      </c>
      <c r="C242" s="25" t="s">
        <v>205</v>
      </c>
      <c r="D242" s="25" t="s">
        <v>74</v>
      </c>
      <c r="E242" s="25" t="s">
        <v>53</v>
      </c>
      <c r="F242" s="25" t="s">
        <v>86</v>
      </c>
      <c r="G242" s="25">
        <v>3</v>
      </c>
      <c r="H242" s="27">
        <v>599</v>
      </c>
      <c r="I242" s="28">
        <v>0</v>
      </c>
      <c r="J242" s="28">
        <v>1797</v>
      </c>
      <c r="K242" s="25" t="s">
        <v>109</v>
      </c>
      <c r="L242" s="25" t="s">
        <v>65</v>
      </c>
      <c r="M242" s="35" t="s">
        <v>41</v>
      </c>
    </row>
    <row r="243" spans="1:13" x14ac:dyDescent="0.3">
      <c r="A243" s="34">
        <v>10296</v>
      </c>
      <c r="B243" s="26">
        <v>45332</v>
      </c>
      <c r="C243" s="25" t="s">
        <v>84</v>
      </c>
      <c r="D243" s="25" t="s">
        <v>59</v>
      </c>
      <c r="E243" s="25" t="s">
        <v>55</v>
      </c>
      <c r="F243" s="25" t="s">
        <v>73</v>
      </c>
      <c r="G243" s="25">
        <v>2</v>
      </c>
      <c r="H243" s="27">
        <v>5499</v>
      </c>
      <c r="I243" s="28">
        <v>0.1</v>
      </c>
      <c r="J243" s="28">
        <v>9898.2000000000007</v>
      </c>
      <c r="K243" s="25" t="s">
        <v>67</v>
      </c>
      <c r="L243" s="25" t="s">
        <v>65</v>
      </c>
      <c r="M243" s="35" t="s">
        <v>41</v>
      </c>
    </row>
    <row r="244" spans="1:13" x14ac:dyDescent="0.3">
      <c r="A244" s="34">
        <v>10027</v>
      </c>
      <c r="B244" s="26">
        <v>45540</v>
      </c>
      <c r="C244" s="25" t="s">
        <v>97</v>
      </c>
      <c r="D244" s="25" t="s">
        <v>95</v>
      </c>
      <c r="E244" s="25" t="s">
        <v>55</v>
      </c>
      <c r="F244" s="25" t="s">
        <v>88</v>
      </c>
      <c r="G244" s="25">
        <v>2</v>
      </c>
      <c r="H244" s="27">
        <v>2499</v>
      </c>
      <c r="I244" s="28">
        <v>0.1</v>
      </c>
      <c r="J244" s="28">
        <v>4498.2</v>
      </c>
      <c r="K244" s="25" t="s">
        <v>109</v>
      </c>
      <c r="L244" s="25" t="s">
        <v>57</v>
      </c>
      <c r="M244" s="35" t="s">
        <v>50</v>
      </c>
    </row>
    <row r="245" spans="1:13" x14ac:dyDescent="0.3">
      <c r="A245" s="34">
        <v>10281</v>
      </c>
      <c r="B245" s="26">
        <v>45743</v>
      </c>
      <c r="C245" s="25" t="s">
        <v>71</v>
      </c>
      <c r="D245" s="25" t="s">
        <v>95</v>
      </c>
      <c r="E245" s="25" t="s">
        <v>53</v>
      </c>
      <c r="F245" s="25" t="s">
        <v>58</v>
      </c>
      <c r="G245" s="25">
        <v>2</v>
      </c>
      <c r="H245" s="27">
        <v>429</v>
      </c>
      <c r="I245" s="28">
        <v>0</v>
      </c>
      <c r="J245" s="28">
        <v>858</v>
      </c>
      <c r="K245" s="25" t="s">
        <v>67</v>
      </c>
      <c r="L245" s="25" t="s">
        <v>65</v>
      </c>
      <c r="M245" s="35" t="s">
        <v>41</v>
      </c>
    </row>
    <row r="246" spans="1:13" x14ac:dyDescent="0.3">
      <c r="A246" s="34">
        <v>10084</v>
      </c>
      <c r="B246" s="26">
        <v>45555</v>
      </c>
      <c r="C246" s="25" t="s">
        <v>112</v>
      </c>
      <c r="D246" s="25" t="s">
        <v>74</v>
      </c>
      <c r="E246" s="25" t="s">
        <v>75</v>
      </c>
      <c r="F246" s="25" t="s">
        <v>43</v>
      </c>
      <c r="G246" s="25">
        <v>2</v>
      </c>
      <c r="H246" s="27">
        <v>6499</v>
      </c>
      <c r="I246" s="28">
        <v>0.05</v>
      </c>
      <c r="J246" s="28">
        <v>12348.099999999999</v>
      </c>
      <c r="K246" s="25" t="s">
        <v>67</v>
      </c>
      <c r="L246" s="25" t="s">
        <v>49</v>
      </c>
      <c r="M246" s="35" t="s">
        <v>50</v>
      </c>
    </row>
    <row r="247" spans="1:13" x14ac:dyDescent="0.3">
      <c r="A247" s="34">
        <v>10030</v>
      </c>
      <c r="B247" s="26">
        <v>45524</v>
      </c>
      <c r="C247" s="25" t="s">
        <v>98</v>
      </c>
      <c r="D247" s="25" t="s">
        <v>95</v>
      </c>
      <c r="E247" s="25" t="s">
        <v>75</v>
      </c>
      <c r="F247" s="25" t="s">
        <v>66</v>
      </c>
      <c r="G247" s="25">
        <v>2</v>
      </c>
      <c r="H247" s="27">
        <v>1499</v>
      </c>
      <c r="I247" s="28">
        <v>0</v>
      </c>
      <c r="J247" s="28">
        <v>2998</v>
      </c>
      <c r="K247" s="25" t="s">
        <v>39</v>
      </c>
      <c r="L247" s="25" t="s">
        <v>40</v>
      </c>
      <c r="M247" s="35" t="s">
        <v>41</v>
      </c>
    </row>
    <row r="248" spans="1:13" x14ac:dyDescent="0.3">
      <c r="A248" s="34">
        <v>10199</v>
      </c>
      <c r="B248" s="26">
        <v>45790</v>
      </c>
      <c r="C248" s="25" t="s">
        <v>96</v>
      </c>
      <c r="D248" s="25" t="s">
        <v>95</v>
      </c>
      <c r="E248" s="25" t="s">
        <v>55</v>
      </c>
      <c r="F248" s="25" t="s">
        <v>73</v>
      </c>
      <c r="G248" s="25">
        <v>0</v>
      </c>
      <c r="H248" s="27">
        <v>5499</v>
      </c>
      <c r="I248" s="28">
        <v>0.1</v>
      </c>
      <c r="J248" s="28">
        <v>0</v>
      </c>
      <c r="K248" s="25" t="s">
        <v>39</v>
      </c>
      <c r="L248" s="25" t="s">
        <v>65</v>
      </c>
      <c r="M248" s="35" t="s">
        <v>203</v>
      </c>
    </row>
    <row r="249" spans="1:13" x14ac:dyDescent="0.3">
      <c r="A249" s="34">
        <v>10059</v>
      </c>
      <c r="B249" s="26">
        <v>45398</v>
      </c>
      <c r="C249" s="25" t="s">
        <v>115</v>
      </c>
      <c r="D249" s="25" t="s">
        <v>59</v>
      </c>
      <c r="E249" s="25" t="s">
        <v>75</v>
      </c>
      <c r="F249" s="25" t="s">
        <v>48</v>
      </c>
      <c r="G249" s="25">
        <v>5</v>
      </c>
      <c r="H249" s="27">
        <v>799</v>
      </c>
      <c r="I249" s="28">
        <v>0.1</v>
      </c>
      <c r="J249" s="28">
        <v>3595.5</v>
      </c>
      <c r="K249" s="25" t="s">
        <v>39</v>
      </c>
      <c r="L249" s="25" t="s">
        <v>45</v>
      </c>
      <c r="M249" s="35" t="s">
        <v>203</v>
      </c>
    </row>
    <row r="250" spans="1:13" x14ac:dyDescent="0.3">
      <c r="A250" s="34">
        <v>10258</v>
      </c>
      <c r="B250" s="26">
        <v>45324</v>
      </c>
      <c r="C250" s="25" t="s">
        <v>205</v>
      </c>
      <c r="D250" s="25" t="s">
        <v>52</v>
      </c>
      <c r="E250" s="25" t="s">
        <v>55</v>
      </c>
      <c r="F250" s="25" t="s">
        <v>79</v>
      </c>
      <c r="G250" s="25">
        <v>3</v>
      </c>
      <c r="H250" s="27">
        <v>599</v>
      </c>
      <c r="I250" s="28">
        <v>0.1</v>
      </c>
      <c r="J250" s="28">
        <v>1617.3</v>
      </c>
      <c r="K250" s="25" t="s">
        <v>108</v>
      </c>
      <c r="L250" s="25" t="s">
        <v>57</v>
      </c>
      <c r="M250" s="35" t="s">
        <v>46</v>
      </c>
    </row>
    <row r="251" spans="1:13" x14ac:dyDescent="0.3">
      <c r="A251" s="34">
        <v>10102</v>
      </c>
      <c r="B251" s="26">
        <v>45703</v>
      </c>
      <c r="C251" s="25" t="s">
        <v>206</v>
      </c>
      <c r="D251" s="25" t="s">
        <v>72</v>
      </c>
      <c r="E251" s="25" t="s">
        <v>53</v>
      </c>
      <c r="F251" s="25" t="s">
        <v>101</v>
      </c>
      <c r="G251" s="25">
        <v>6</v>
      </c>
      <c r="H251" s="27">
        <v>99</v>
      </c>
      <c r="I251" s="28">
        <v>0.1</v>
      </c>
      <c r="J251" s="28">
        <v>534.6</v>
      </c>
      <c r="K251" s="25" t="s">
        <v>67</v>
      </c>
      <c r="L251" s="25" t="s">
        <v>65</v>
      </c>
      <c r="M251" s="35" t="s">
        <v>46</v>
      </c>
    </row>
    <row r="252" spans="1:13" x14ac:dyDescent="0.3">
      <c r="A252" s="34">
        <v>10301</v>
      </c>
      <c r="B252" s="26">
        <v>45640</v>
      </c>
      <c r="C252" s="25" t="s">
        <v>98</v>
      </c>
      <c r="D252" s="25" t="s">
        <v>52</v>
      </c>
      <c r="E252" s="25" t="s">
        <v>75</v>
      </c>
      <c r="F252" s="25" t="s">
        <v>99</v>
      </c>
      <c r="G252" s="25">
        <v>4</v>
      </c>
      <c r="H252" s="27">
        <v>12999</v>
      </c>
      <c r="I252" s="28">
        <v>0</v>
      </c>
      <c r="J252" s="28">
        <v>51996</v>
      </c>
      <c r="K252" s="25" t="s">
        <v>109</v>
      </c>
      <c r="L252" s="25" t="s">
        <v>49</v>
      </c>
      <c r="M252" s="35" t="s">
        <v>41</v>
      </c>
    </row>
    <row r="253" spans="1:13" x14ac:dyDescent="0.3">
      <c r="A253" s="34">
        <v>10166</v>
      </c>
      <c r="B253" s="26">
        <v>45490</v>
      </c>
      <c r="C253" s="25" t="s">
        <v>107</v>
      </c>
      <c r="D253" s="25" t="s">
        <v>59</v>
      </c>
      <c r="E253" s="25" t="s">
        <v>78</v>
      </c>
      <c r="F253" s="25" t="s">
        <v>79</v>
      </c>
      <c r="G253" s="25">
        <v>4</v>
      </c>
      <c r="H253" s="27">
        <v>599</v>
      </c>
      <c r="I253" s="28">
        <v>0.05</v>
      </c>
      <c r="J253" s="28">
        <v>2276.1999999999998</v>
      </c>
      <c r="K253" s="25" t="s">
        <v>109</v>
      </c>
      <c r="L253" s="25" t="s">
        <v>57</v>
      </c>
      <c r="M253" s="35" t="s">
        <v>41</v>
      </c>
    </row>
    <row r="254" spans="1:13" x14ac:dyDescent="0.3">
      <c r="A254" s="34">
        <v>10227</v>
      </c>
      <c r="B254" s="26">
        <v>45618</v>
      </c>
      <c r="C254" s="25" t="s">
        <v>117</v>
      </c>
      <c r="D254" s="25" t="s">
        <v>52</v>
      </c>
      <c r="E254" s="25" t="s">
        <v>53</v>
      </c>
      <c r="F254" s="25" t="s">
        <v>91</v>
      </c>
      <c r="G254" s="25">
        <v>5</v>
      </c>
      <c r="H254" s="27">
        <v>249</v>
      </c>
      <c r="I254" s="28">
        <v>0.1</v>
      </c>
      <c r="J254" s="28">
        <v>1120.5</v>
      </c>
      <c r="K254" s="25" t="s">
        <v>67</v>
      </c>
      <c r="L254" s="25" t="s">
        <v>45</v>
      </c>
      <c r="M254" s="35" t="s">
        <v>41</v>
      </c>
    </row>
    <row r="255" spans="1:13" x14ac:dyDescent="0.3">
      <c r="A255" s="34">
        <v>10298</v>
      </c>
      <c r="B255" s="26">
        <v>45458</v>
      </c>
      <c r="C255" s="25" t="s">
        <v>42</v>
      </c>
      <c r="D255" s="25" t="s">
        <v>72</v>
      </c>
      <c r="E255" s="25" t="s">
        <v>76</v>
      </c>
      <c r="F255" s="25" t="s">
        <v>61</v>
      </c>
      <c r="G255" s="25">
        <v>1</v>
      </c>
      <c r="H255" s="27">
        <v>18999</v>
      </c>
      <c r="I255" s="28">
        <v>0</v>
      </c>
      <c r="J255" s="28">
        <v>18999</v>
      </c>
      <c r="K255" s="25" t="s">
        <v>44</v>
      </c>
      <c r="L255" s="25" t="s">
        <v>45</v>
      </c>
      <c r="M255" s="35" t="s">
        <v>41</v>
      </c>
    </row>
    <row r="256" spans="1:13" x14ac:dyDescent="0.3">
      <c r="A256" s="34">
        <v>10038</v>
      </c>
      <c r="B256" s="26">
        <v>45386</v>
      </c>
      <c r="C256" s="25" t="s">
        <v>106</v>
      </c>
      <c r="D256" s="25" t="s">
        <v>95</v>
      </c>
      <c r="E256" s="25" t="s">
        <v>69</v>
      </c>
      <c r="F256" s="25" t="s">
        <v>104</v>
      </c>
      <c r="G256" s="25">
        <v>5</v>
      </c>
      <c r="H256" s="27">
        <v>4999</v>
      </c>
      <c r="I256" s="28">
        <v>0.05</v>
      </c>
      <c r="J256" s="28">
        <v>23745.25</v>
      </c>
      <c r="K256" s="25" t="s">
        <v>108</v>
      </c>
      <c r="L256" s="25" t="s">
        <v>49</v>
      </c>
      <c r="M256" s="35" t="s">
        <v>41</v>
      </c>
    </row>
    <row r="257" spans="1:13" x14ac:dyDescent="0.3">
      <c r="A257" s="34">
        <v>10060</v>
      </c>
      <c r="B257" s="26">
        <v>45318</v>
      </c>
      <c r="C257" s="25" t="s">
        <v>96</v>
      </c>
      <c r="D257" s="25" t="s">
        <v>74</v>
      </c>
      <c r="E257" s="25" t="s">
        <v>53</v>
      </c>
      <c r="F257" s="25" t="s">
        <v>60</v>
      </c>
      <c r="G257" s="25">
        <v>4</v>
      </c>
      <c r="H257" s="27">
        <v>349</v>
      </c>
      <c r="I257" s="28">
        <v>0.1</v>
      </c>
      <c r="J257" s="28">
        <v>1256.4000000000001</v>
      </c>
      <c r="K257" s="25" t="s">
        <v>39</v>
      </c>
      <c r="L257" s="25" t="s">
        <v>57</v>
      </c>
      <c r="M257" s="35" t="s">
        <v>50</v>
      </c>
    </row>
    <row r="258" spans="1:13" x14ac:dyDescent="0.3">
      <c r="A258" s="34">
        <v>10248</v>
      </c>
      <c r="B258" s="26">
        <v>45483</v>
      </c>
      <c r="C258" s="25" t="s">
        <v>71</v>
      </c>
      <c r="D258" s="25" t="s">
        <v>59</v>
      </c>
      <c r="E258" s="25" t="s">
        <v>75</v>
      </c>
      <c r="F258" s="25" t="s">
        <v>48</v>
      </c>
      <c r="G258" s="25">
        <v>4</v>
      </c>
      <c r="H258" s="27">
        <v>799</v>
      </c>
      <c r="I258" s="28">
        <v>0.05</v>
      </c>
      <c r="J258" s="28">
        <v>3036.2</v>
      </c>
      <c r="K258" s="25" t="s">
        <v>67</v>
      </c>
      <c r="L258" s="25" t="s">
        <v>40</v>
      </c>
      <c r="M258" s="35" t="s">
        <v>41</v>
      </c>
    </row>
    <row r="259" spans="1:13" x14ac:dyDescent="0.3">
      <c r="A259" s="34">
        <v>10016</v>
      </c>
      <c r="B259" s="26">
        <v>45571</v>
      </c>
      <c r="C259" s="25" t="s">
        <v>84</v>
      </c>
      <c r="D259" s="25" t="s">
        <v>52</v>
      </c>
      <c r="E259" s="25" t="s">
        <v>69</v>
      </c>
      <c r="F259" s="25" t="s">
        <v>85</v>
      </c>
      <c r="G259" s="25">
        <v>4</v>
      </c>
      <c r="H259" s="27">
        <v>24999</v>
      </c>
      <c r="I259" s="28">
        <v>0.05</v>
      </c>
      <c r="J259" s="28">
        <v>94996.2</v>
      </c>
      <c r="K259" s="25" t="s">
        <v>67</v>
      </c>
      <c r="L259" s="25" t="s">
        <v>57</v>
      </c>
      <c r="M259" s="35" t="s">
        <v>41</v>
      </c>
    </row>
    <row r="260" spans="1:13" x14ac:dyDescent="0.3">
      <c r="A260" s="34">
        <v>10280</v>
      </c>
      <c r="B260" s="26">
        <v>45390</v>
      </c>
      <c r="C260" s="25" t="s">
        <v>47</v>
      </c>
      <c r="D260" s="25" t="s">
        <v>59</v>
      </c>
      <c r="E260" s="25" t="s">
        <v>37</v>
      </c>
      <c r="F260" s="25" t="s">
        <v>105</v>
      </c>
      <c r="G260" s="25">
        <v>3</v>
      </c>
      <c r="H260" s="27">
        <v>1199</v>
      </c>
      <c r="I260" s="28">
        <v>0</v>
      </c>
      <c r="J260" s="28">
        <v>3597</v>
      </c>
      <c r="K260" s="25" t="s">
        <v>109</v>
      </c>
      <c r="L260" s="25" t="s">
        <v>49</v>
      </c>
      <c r="M260" s="35" t="s">
        <v>41</v>
      </c>
    </row>
    <row r="261" spans="1:13" x14ac:dyDescent="0.3">
      <c r="A261" s="34">
        <v>10028</v>
      </c>
      <c r="B261" s="26">
        <v>45397</v>
      </c>
      <c r="C261" s="25" t="s">
        <v>114</v>
      </c>
      <c r="D261" s="25" t="s">
        <v>52</v>
      </c>
      <c r="E261" s="25" t="s">
        <v>53</v>
      </c>
      <c r="F261" s="25" t="s">
        <v>58</v>
      </c>
      <c r="G261" s="25">
        <v>4</v>
      </c>
      <c r="H261" s="27">
        <v>429</v>
      </c>
      <c r="I261" s="28">
        <v>0</v>
      </c>
      <c r="J261" s="28">
        <v>1716</v>
      </c>
      <c r="K261" s="25" t="s">
        <v>39</v>
      </c>
      <c r="L261" s="25" t="s">
        <v>65</v>
      </c>
      <c r="M261" s="35" t="s">
        <v>41</v>
      </c>
    </row>
    <row r="262" spans="1:13" x14ac:dyDescent="0.3">
      <c r="A262" s="34">
        <v>10054</v>
      </c>
      <c r="B262" s="26">
        <v>45588</v>
      </c>
      <c r="C262" s="25" t="s">
        <v>77</v>
      </c>
      <c r="D262" s="25" t="s">
        <v>52</v>
      </c>
      <c r="E262" s="25" t="s">
        <v>53</v>
      </c>
      <c r="F262" s="25" t="s">
        <v>86</v>
      </c>
      <c r="G262" s="25">
        <v>6</v>
      </c>
      <c r="H262" s="27">
        <v>599</v>
      </c>
      <c r="I262" s="28">
        <v>0</v>
      </c>
      <c r="J262" s="28">
        <v>3594</v>
      </c>
      <c r="K262" s="25" t="s">
        <v>108</v>
      </c>
      <c r="L262" s="25" t="s">
        <v>57</v>
      </c>
      <c r="M262" s="35" t="s">
        <v>46</v>
      </c>
    </row>
    <row r="263" spans="1:13" x14ac:dyDescent="0.3">
      <c r="A263" s="34">
        <v>10278</v>
      </c>
      <c r="B263" s="26">
        <v>45735</v>
      </c>
      <c r="C263" s="25" t="s">
        <v>116</v>
      </c>
      <c r="D263" s="25" t="s">
        <v>95</v>
      </c>
      <c r="E263" s="25" t="s">
        <v>75</v>
      </c>
      <c r="F263" s="25" t="s">
        <v>38</v>
      </c>
      <c r="G263" s="25">
        <v>2</v>
      </c>
      <c r="H263" s="27">
        <v>2999</v>
      </c>
      <c r="I263" s="28">
        <v>0.15</v>
      </c>
      <c r="J263" s="28">
        <v>5098.3</v>
      </c>
      <c r="K263" s="25" t="s">
        <v>39</v>
      </c>
      <c r="L263" s="25" t="s">
        <v>57</v>
      </c>
      <c r="M263" s="35" t="s">
        <v>41</v>
      </c>
    </row>
    <row r="264" spans="1:13" x14ac:dyDescent="0.3">
      <c r="A264" s="34">
        <v>10232</v>
      </c>
      <c r="B264" s="26">
        <v>45540</v>
      </c>
      <c r="C264" s="25" t="s">
        <v>47</v>
      </c>
      <c r="D264" s="25" t="s">
        <v>95</v>
      </c>
      <c r="E264" s="25" t="s">
        <v>55</v>
      </c>
      <c r="F264" s="25" t="s">
        <v>88</v>
      </c>
      <c r="G264" s="25">
        <v>4</v>
      </c>
      <c r="H264" s="27">
        <v>2499</v>
      </c>
      <c r="I264" s="28">
        <v>0.05</v>
      </c>
      <c r="J264" s="28">
        <v>9496.1999999999989</v>
      </c>
      <c r="K264" s="25" t="s">
        <v>44</v>
      </c>
      <c r="L264" s="25" t="s">
        <v>40</v>
      </c>
      <c r="M264" s="35" t="s">
        <v>46</v>
      </c>
    </row>
    <row r="265" spans="1:13" x14ac:dyDescent="0.3">
      <c r="A265" s="34">
        <v>10171</v>
      </c>
      <c r="B265" s="26">
        <v>45364</v>
      </c>
      <c r="C265" s="25" t="s">
        <v>98</v>
      </c>
      <c r="D265" s="25" t="s">
        <v>74</v>
      </c>
      <c r="E265" s="25" t="s">
        <v>55</v>
      </c>
      <c r="F265" s="25" t="s">
        <v>73</v>
      </c>
      <c r="G265" s="25">
        <v>0</v>
      </c>
      <c r="H265" s="27">
        <v>5499</v>
      </c>
      <c r="I265" s="28">
        <v>0.05</v>
      </c>
      <c r="J265" s="28">
        <v>0</v>
      </c>
      <c r="K265" s="25" t="s">
        <v>39</v>
      </c>
      <c r="L265" s="25" t="s">
        <v>65</v>
      </c>
      <c r="M265" s="35" t="s">
        <v>41</v>
      </c>
    </row>
    <row r="266" spans="1:13" x14ac:dyDescent="0.3">
      <c r="A266" s="34">
        <v>10129</v>
      </c>
      <c r="B266" s="26">
        <v>45584</v>
      </c>
      <c r="C266" s="25" t="s">
        <v>111</v>
      </c>
      <c r="D266" s="25" t="s">
        <v>74</v>
      </c>
      <c r="E266" s="25" t="s">
        <v>69</v>
      </c>
      <c r="F266" s="25" t="s">
        <v>83</v>
      </c>
      <c r="G266" s="25">
        <v>1</v>
      </c>
      <c r="H266" s="27">
        <v>1299</v>
      </c>
      <c r="I266" s="28">
        <v>0</v>
      </c>
      <c r="J266" s="28">
        <v>1299</v>
      </c>
      <c r="K266" s="25" t="s">
        <v>67</v>
      </c>
      <c r="L266" s="25" t="s">
        <v>49</v>
      </c>
      <c r="M266" s="35" t="s">
        <v>46</v>
      </c>
    </row>
    <row r="267" spans="1:13" x14ac:dyDescent="0.3">
      <c r="A267" s="34">
        <v>10222</v>
      </c>
      <c r="B267" s="26">
        <v>45492</v>
      </c>
      <c r="C267" s="25" t="s">
        <v>118</v>
      </c>
      <c r="D267" s="25" t="s">
        <v>72</v>
      </c>
      <c r="E267" s="25" t="s">
        <v>53</v>
      </c>
      <c r="F267" s="25" t="s">
        <v>91</v>
      </c>
      <c r="G267" s="25">
        <v>0</v>
      </c>
      <c r="H267" s="27">
        <v>249</v>
      </c>
      <c r="I267" s="28">
        <v>0.05</v>
      </c>
      <c r="J267" s="28">
        <v>0</v>
      </c>
      <c r="K267" s="25" t="s">
        <v>67</v>
      </c>
      <c r="L267" s="25" t="s">
        <v>65</v>
      </c>
      <c r="M267" s="35" t="s">
        <v>41</v>
      </c>
    </row>
    <row r="268" spans="1:13" x14ac:dyDescent="0.3">
      <c r="A268" s="34">
        <v>10108</v>
      </c>
      <c r="B268" s="26">
        <v>45488</v>
      </c>
      <c r="C268" s="25" t="s">
        <v>118</v>
      </c>
      <c r="D268" s="25" t="s">
        <v>74</v>
      </c>
      <c r="E268" s="25" t="s">
        <v>55</v>
      </c>
      <c r="F268" s="25" t="s">
        <v>79</v>
      </c>
      <c r="G268" s="25">
        <v>4</v>
      </c>
      <c r="H268" s="27">
        <v>599</v>
      </c>
      <c r="I268" s="28">
        <v>0.05</v>
      </c>
      <c r="J268" s="28">
        <v>2276.1999999999998</v>
      </c>
      <c r="K268" s="25" t="s">
        <v>39</v>
      </c>
      <c r="L268" s="25" t="s">
        <v>65</v>
      </c>
      <c r="M268" s="35" t="s">
        <v>50</v>
      </c>
    </row>
    <row r="269" spans="1:13" x14ac:dyDescent="0.3">
      <c r="A269" s="34">
        <v>10320</v>
      </c>
      <c r="B269" s="26">
        <v>45324</v>
      </c>
      <c r="C269" s="25" t="s">
        <v>114</v>
      </c>
      <c r="D269" s="25" t="s">
        <v>52</v>
      </c>
      <c r="E269" s="25" t="s">
        <v>53</v>
      </c>
      <c r="F269" s="25" t="s">
        <v>91</v>
      </c>
      <c r="G269" s="25">
        <v>1</v>
      </c>
      <c r="H269" s="27">
        <v>249</v>
      </c>
      <c r="I269" s="28">
        <v>0</v>
      </c>
      <c r="J269" s="28">
        <v>249</v>
      </c>
      <c r="K269" s="25" t="s">
        <v>108</v>
      </c>
      <c r="L269" s="25" t="s">
        <v>40</v>
      </c>
      <c r="M269" s="35" t="s">
        <v>46</v>
      </c>
    </row>
    <row r="270" spans="1:13" x14ac:dyDescent="0.3">
      <c r="A270" s="34">
        <v>10186</v>
      </c>
      <c r="B270" s="26">
        <v>45425</v>
      </c>
      <c r="C270" s="25" t="s">
        <v>97</v>
      </c>
      <c r="D270" s="25" t="s">
        <v>59</v>
      </c>
      <c r="E270" s="25" t="s">
        <v>69</v>
      </c>
      <c r="F270" s="25" t="s">
        <v>85</v>
      </c>
      <c r="G270" s="25">
        <v>3</v>
      </c>
      <c r="H270" s="27">
        <v>24999</v>
      </c>
      <c r="I270" s="28">
        <v>0.05</v>
      </c>
      <c r="J270" s="28">
        <v>71247.149999999994</v>
      </c>
      <c r="K270" s="25" t="s">
        <v>108</v>
      </c>
      <c r="L270" s="25" t="s">
        <v>40</v>
      </c>
      <c r="M270" s="35" t="s">
        <v>41</v>
      </c>
    </row>
    <row r="271" spans="1:13" x14ac:dyDescent="0.3">
      <c r="A271" s="34">
        <v>10286</v>
      </c>
      <c r="B271" s="26">
        <v>45561</v>
      </c>
      <c r="C271" s="25" t="s">
        <v>93</v>
      </c>
      <c r="D271" s="25" t="s">
        <v>72</v>
      </c>
      <c r="E271" s="25" t="s">
        <v>37</v>
      </c>
      <c r="F271" s="25" t="s">
        <v>100</v>
      </c>
      <c r="G271" s="25">
        <v>2</v>
      </c>
      <c r="H271" s="27">
        <v>5999</v>
      </c>
      <c r="I271" s="28">
        <v>0.05</v>
      </c>
      <c r="J271" s="28">
        <v>11398.1</v>
      </c>
      <c r="K271" s="25" t="s">
        <v>204</v>
      </c>
      <c r="L271" s="25" t="s">
        <v>49</v>
      </c>
      <c r="M271" s="35" t="s">
        <v>41</v>
      </c>
    </row>
    <row r="272" spans="1:13" x14ac:dyDescent="0.3">
      <c r="A272" s="34">
        <v>10024</v>
      </c>
      <c r="B272" s="26">
        <v>45602</v>
      </c>
      <c r="C272" s="25" t="s">
        <v>97</v>
      </c>
      <c r="D272" s="25" t="s">
        <v>95</v>
      </c>
      <c r="E272" s="25" t="s">
        <v>53</v>
      </c>
      <c r="F272" s="25" t="s">
        <v>86</v>
      </c>
      <c r="G272" s="25">
        <v>3</v>
      </c>
      <c r="H272" s="27">
        <v>599</v>
      </c>
      <c r="I272" s="28">
        <v>0.1</v>
      </c>
      <c r="J272" s="28">
        <v>1617.3</v>
      </c>
      <c r="K272" s="25" t="s">
        <v>44</v>
      </c>
      <c r="L272" s="25" t="s">
        <v>49</v>
      </c>
      <c r="M272" s="35" t="s">
        <v>46</v>
      </c>
    </row>
    <row r="273" spans="1:13" x14ac:dyDescent="0.3">
      <c r="A273" s="34">
        <v>10082</v>
      </c>
      <c r="B273" s="26">
        <v>45780</v>
      </c>
      <c r="C273" s="25" t="s">
        <v>111</v>
      </c>
      <c r="D273" s="25" t="s">
        <v>72</v>
      </c>
      <c r="E273" s="25" t="s">
        <v>76</v>
      </c>
      <c r="F273" s="25" t="s">
        <v>68</v>
      </c>
      <c r="G273" s="25">
        <v>6</v>
      </c>
      <c r="H273" s="27">
        <v>6999</v>
      </c>
      <c r="I273" s="28">
        <v>0</v>
      </c>
      <c r="J273" s="28">
        <v>41994</v>
      </c>
      <c r="K273" s="25" t="s">
        <v>204</v>
      </c>
      <c r="L273" s="25" t="s">
        <v>40</v>
      </c>
      <c r="M273" s="35" t="s">
        <v>41</v>
      </c>
    </row>
    <row r="274" spans="1:13" x14ac:dyDescent="0.3">
      <c r="A274" s="34">
        <v>10091</v>
      </c>
      <c r="B274" s="26">
        <v>45691</v>
      </c>
      <c r="C274" s="25" t="s">
        <v>42</v>
      </c>
      <c r="D274" s="25" t="s">
        <v>59</v>
      </c>
      <c r="E274" s="25" t="s">
        <v>75</v>
      </c>
      <c r="F274" s="25" t="s">
        <v>99</v>
      </c>
      <c r="G274" s="25">
        <v>6</v>
      </c>
      <c r="H274" s="27">
        <v>12999</v>
      </c>
      <c r="I274" s="28">
        <v>0</v>
      </c>
      <c r="J274" s="28">
        <v>77994</v>
      </c>
      <c r="K274" s="25" t="s">
        <v>108</v>
      </c>
      <c r="L274" s="25" t="s">
        <v>45</v>
      </c>
      <c r="M274" s="35" t="s">
        <v>41</v>
      </c>
    </row>
    <row r="275" spans="1:13" x14ac:dyDescent="0.3">
      <c r="A275" s="34">
        <v>10254</v>
      </c>
      <c r="B275" s="26">
        <v>45297</v>
      </c>
      <c r="C275" s="25" t="s">
        <v>36</v>
      </c>
      <c r="D275" s="25" t="s">
        <v>52</v>
      </c>
      <c r="E275" s="25" t="s">
        <v>69</v>
      </c>
      <c r="F275" s="25" t="s">
        <v>61</v>
      </c>
      <c r="G275" s="25">
        <v>5</v>
      </c>
      <c r="H275" s="27">
        <v>18999</v>
      </c>
      <c r="I275" s="28">
        <v>0.1</v>
      </c>
      <c r="J275" s="28">
        <v>85495.5</v>
      </c>
      <c r="K275" s="25" t="s">
        <v>108</v>
      </c>
      <c r="L275" s="25" t="s">
        <v>49</v>
      </c>
      <c r="M275" s="35" t="s">
        <v>50</v>
      </c>
    </row>
    <row r="276" spans="1:13" x14ac:dyDescent="0.3">
      <c r="A276" s="34">
        <v>10242</v>
      </c>
      <c r="B276" s="26">
        <v>45708</v>
      </c>
      <c r="C276" s="25" t="s">
        <v>80</v>
      </c>
      <c r="D276" s="25" t="s">
        <v>95</v>
      </c>
      <c r="E276" s="25" t="s">
        <v>76</v>
      </c>
      <c r="F276" s="25" t="s">
        <v>61</v>
      </c>
      <c r="G276" s="25">
        <v>5</v>
      </c>
      <c r="H276" s="27">
        <v>18999</v>
      </c>
      <c r="I276" s="28">
        <v>0</v>
      </c>
      <c r="J276" s="28">
        <v>94995</v>
      </c>
      <c r="K276" s="25" t="s">
        <v>67</v>
      </c>
      <c r="L276" s="25" t="s">
        <v>40</v>
      </c>
      <c r="M276" s="35" t="s">
        <v>46</v>
      </c>
    </row>
    <row r="277" spans="1:13" x14ac:dyDescent="0.3">
      <c r="A277" s="34">
        <v>10077</v>
      </c>
      <c r="B277" s="26">
        <v>45677</v>
      </c>
      <c r="C277" s="25" t="s">
        <v>110</v>
      </c>
      <c r="D277" s="25" t="s">
        <v>74</v>
      </c>
      <c r="E277" s="25" t="s">
        <v>53</v>
      </c>
      <c r="F277" s="25" t="s">
        <v>101</v>
      </c>
      <c r="G277" s="25">
        <v>6</v>
      </c>
      <c r="H277" s="27">
        <v>99</v>
      </c>
      <c r="I277" s="28">
        <v>0.05</v>
      </c>
      <c r="J277" s="28">
        <v>564.29999999999995</v>
      </c>
      <c r="K277" s="25" t="s">
        <v>109</v>
      </c>
      <c r="L277" s="25" t="s">
        <v>65</v>
      </c>
      <c r="M277" s="35" t="s">
        <v>46</v>
      </c>
    </row>
    <row r="278" spans="1:13" x14ac:dyDescent="0.3">
      <c r="A278" s="34">
        <v>10058</v>
      </c>
      <c r="B278" s="26">
        <v>45480</v>
      </c>
      <c r="C278" s="25" t="s">
        <v>42</v>
      </c>
      <c r="D278" s="25" t="s">
        <v>59</v>
      </c>
      <c r="E278" s="25" t="s">
        <v>69</v>
      </c>
      <c r="F278" s="25" t="s">
        <v>82</v>
      </c>
      <c r="G278" s="25">
        <v>2</v>
      </c>
      <c r="H278" s="27">
        <v>8999</v>
      </c>
      <c r="I278" s="28">
        <v>0.1</v>
      </c>
      <c r="J278" s="28">
        <v>16198.2</v>
      </c>
      <c r="K278" s="25" t="s">
        <v>39</v>
      </c>
      <c r="L278" s="25" t="s">
        <v>49</v>
      </c>
      <c r="M278" s="35" t="s">
        <v>41</v>
      </c>
    </row>
    <row r="279" spans="1:13" x14ac:dyDescent="0.3">
      <c r="A279" s="34">
        <v>10100</v>
      </c>
      <c r="B279" s="26">
        <v>45614</v>
      </c>
      <c r="C279" s="25" t="s">
        <v>110</v>
      </c>
      <c r="D279" s="25" t="s">
        <v>59</v>
      </c>
      <c r="E279" s="25" t="s">
        <v>75</v>
      </c>
      <c r="F279" s="25" t="s">
        <v>43</v>
      </c>
      <c r="G279" s="25">
        <v>0</v>
      </c>
      <c r="H279" s="27">
        <v>6499</v>
      </c>
      <c r="I279" s="28">
        <v>0.1</v>
      </c>
      <c r="J279" s="28">
        <v>0</v>
      </c>
      <c r="K279" s="25" t="s">
        <v>44</v>
      </c>
      <c r="L279" s="25" t="s">
        <v>49</v>
      </c>
      <c r="M279" s="35" t="s">
        <v>203</v>
      </c>
    </row>
    <row r="280" spans="1:13" x14ac:dyDescent="0.3">
      <c r="A280" s="34">
        <v>10029</v>
      </c>
      <c r="B280" s="26">
        <v>45491</v>
      </c>
      <c r="C280" s="25" t="s">
        <v>98</v>
      </c>
      <c r="D280" s="25" t="s">
        <v>72</v>
      </c>
      <c r="E280" s="25" t="s">
        <v>55</v>
      </c>
      <c r="F280" s="25" t="s">
        <v>73</v>
      </c>
      <c r="G280" s="25">
        <v>4</v>
      </c>
      <c r="H280" s="27">
        <v>5499</v>
      </c>
      <c r="I280" s="28">
        <v>0</v>
      </c>
      <c r="J280" s="28">
        <v>21996</v>
      </c>
      <c r="K280" s="25" t="s">
        <v>44</v>
      </c>
      <c r="L280" s="25" t="s">
        <v>49</v>
      </c>
      <c r="M280" s="35" t="s">
        <v>41</v>
      </c>
    </row>
    <row r="281" spans="1:13" x14ac:dyDescent="0.3">
      <c r="A281" s="34">
        <v>10142</v>
      </c>
      <c r="B281" s="26">
        <v>45294</v>
      </c>
      <c r="C281" s="25" t="s">
        <v>84</v>
      </c>
      <c r="D281" s="25" t="s">
        <v>59</v>
      </c>
      <c r="E281" s="25" t="s">
        <v>37</v>
      </c>
      <c r="F281" s="25" t="s">
        <v>105</v>
      </c>
      <c r="G281" s="25">
        <v>3</v>
      </c>
      <c r="H281" s="27">
        <v>1199</v>
      </c>
      <c r="I281" s="28">
        <v>0</v>
      </c>
      <c r="J281" s="28">
        <v>3597</v>
      </c>
      <c r="K281" s="25" t="s">
        <v>108</v>
      </c>
      <c r="L281" s="25" t="s">
        <v>45</v>
      </c>
      <c r="M281" s="35" t="s">
        <v>41</v>
      </c>
    </row>
    <row r="282" spans="1:13" x14ac:dyDescent="0.3">
      <c r="A282" s="34">
        <v>10107</v>
      </c>
      <c r="B282" s="26">
        <v>45601</v>
      </c>
      <c r="C282" s="25" t="s">
        <v>206</v>
      </c>
      <c r="D282" s="25" t="s">
        <v>72</v>
      </c>
      <c r="E282" s="25" t="s">
        <v>55</v>
      </c>
      <c r="F282" s="25" t="s">
        <v>88</v>
      </c>
      <c r="G282" s="25">
        <v>1</v>
      </c>
      <c r="H282" s="27">
        <v>2499</v>
      </c>
      <c r="I282" s="28">
        <v>0.1</v>
      </c>
      <c r="J282" s="28">
        <v>2249.1</v>
      </c>
      <c r="K282" s="25" t="s">
        <v>109</v>
      </c>
      <c r="L282" s="25" t="s">
        <v>40</v>
      </c>
      <c r="M282" s="35" t="s">
        <v>41</v>
      </c>
    </row>
    <row r="283" spans="1:13" x14ac:dyDescent="0.3">
      <c r="A283" s="34">
        <v>10237</v>
      </c>
      <c r="B283" s="26">
        <v>45640</v>
      </c>
      <c r="C283" s="25" t="s">
        <v>71</v>
      </c>
      <c r="D283" s="25" t="s">
        <v>95</v>
      </c>
      <c r="E283" s="25" t="s">
        <v>69</v>
      </c>
      <c r="F283" s="25" t="s">
        <v>70</v>
      </c>
      <c r="G283" s="25">
        <v>2</v>
      </c>
      <c r="H283" s="27">
        <v>5499</v>
      </c>
      <c r="I283" s="28">
        <v>0.05</v>
      </c>
      <c r="J283" s="28">
        <v>10448.1</v>
      </c>
      <c r="K283" s="25" t="s">
        <v>44</v>
      </c>
      <c r="L283" s="25" t="s">
        <v>45</v>
      </c>
      <c r="M283" s="35" t="s">
        <v>46</v>
      </c>
    </row>
    <row r="284" spans="1:13" x14ac:dyDescent="0.3">
      <c r="A284" s="34">
        <v>10113</v>
      </c>
      <c r="B284" s="26">
        <v>45739</v>
      </c>
      <c r="C284" s="25" t="s">
        <v>42</v>
      </c>
      <c r="D284" s="25" t="s">
        <v>95</v>
      </c>
      <c r="E284" s="25" t="s">
        <v>55</v>
      </c>
      <c r="F284" s="25" t="s">
        <v>92</v>
      </c>
      <c r="G284" s="25">
        <v>4</v>
      </c>
      <c r="H284" s="27">
        <v>799</v>
      </c>
      <c r="I284" s="28">
        <v>0.1</v>
      </c>
      <c r="J284" s="28">
        <v>2876.4</v>
      </c>
      <c r="K284" s="25" t="s">
        <v>109</v>
      </c>
      <c r="L284" s="25" t="s">
        <v>45</v>
      </c>
      <c r="M284" s="35" t="s">
        <v>46</v>
      </c>
    </row>
    <row r="285" spans="1:13" x14ac:dyDescent="0.3">
      <c r="A285" s="34">
        <v>10259</v>
      </c>
      <c r="B285" s="26">
        <v>45308</v>
      </c>
      <c r="C285" s="25" t="s">
        <v>36</v>
      </c>
      <c r="D285" s="25" t="s">
        <v>74</v>
      </c>
      <c r="E285" s="25" t="s">
        <v>69</v>
      </c>
      <c r="F285" s="25" t="s">
        <v>63</v>
      </c>
      <c r="G285" s="25">
        <v>1</v>
      </c>
      <c r="H285" s="27">
        <v>15999</v>
      </c>
      <c r="I285" s="28">
        <v>0</v>
      </c>
      <c r="J285" s="28">
        <v>15999</v>
      </c>
      <c r="K285" s="25" t="s">
        <v>204</v>
      </c>
      <c r="L285" s="25" t="s">
        <v>40</v>
      </c>
      <c r="M285" s="35" t="s">
        <v>41</v>
      </c>
    </row>
    <row r="286" spans="1:13" x14ac:dyDescent="0.3">
      <c r="A286" s="34">
        <v>10276</v>
      </c>
      <c r="B286" s="26">
        <v>45388</v>
      </c>
      <c r="C286" s="25" t="s">
        <v>71</v>
      </c>
      <c r="D286" s="25" t="s">
        <v>59</v>
      </c>
      <c r="E286" s="25" t="s">
        <v>75</v>
      </c>
      <c r="F286" s="25" t="s">
        <v>99</v>
      </c>
      <c r="G286" s="25">
        <v>3</v>
      </c>
      <c r="H286" s="27">
        <v>12999</v>
      </c>
      <c r="I286" s="28">
        <v>0.05</v>
      </c>
      <c r="J286" s="28">
        <v>37047.15</v>
      </c>
      <c r="K286" s="25" t="s">
        <v>39</v>
      </c>
      <c r="L286" s="25" t="s">
        <v>57</v>
      </c>
      <c r="M286" s="35" t="s">
        <v>41</v>
      </c>
    </row>
    <row r="287" spans="1:13" x14ac:dyDescent="0.3">
      <c r="A287" s="34">
        <v>10185</v>
      </c>
      <c r="B287" s="26">
        <v>45390</v>
      </c>
      <c r="C287" s="25" t="s">
        <v>112</v>
      </c>
      <c r="D287" s="25" t="s">
        <v>52</v>
      </c>
      <c r="E287" s="25" t="s">
        <v>53</v>
      </c>
      <c r="F287" s="25" t="s">
        <v>91</v>
      </c>
      <c r="G287" s="25">
        <v>3</v>
      </c>
      <c r="H287" s="27">
        <v>249</v>
      </c>
      <c r="I287" s="28">
        <v>0.05</v>
      </c>
      <c r="J287" s="28">
        <v>709.65</v>
      </c>
      <c r="K287" s="25" t="s">
        <v>67</v>
      </c>
      <c r="L287" s="25" t="s">
        <v>40</v>
      </c>
      <c r="M287" s="35" t="s">
        <v>41</v>
      </c>
    </row>
    <row r="288" spans="1:13" x14ac:dyDescent="0.3">
      <c r="A288" s="34">
        <v>10050</v>
      </c>
      <c r="B288" s="26">
        <v>45674</v>
      </c>
      <c r="C288" s="25" t="s">
        <v>51</v>
      </c>
      <c r="D288" s="25" t="s">
        <v>74</v>
      </c>
      <c r="E288" s="25" t="s">
        <v>55</v>
      </c>
      <c r="F288" s="25" t="s">
        <v>73</v>
      </c>
      <c r="G288" s="25">
        <v>6</v>
      </c>
      <c r="H288" s="27">
        <v>5499</v>
      </c>
      <c r="I288" s="28">
        <v>0</v>
      </c>
      <c r="J288" s="28">
        <v>32994</v>
      </c>
      <c r="K288" s="25" t="s">
        <v>44</v>
      </c>
      <c r="L288" s="25" t="s">
        <v>49</v>
      </c>
      <c r="M288" s="35" t="s">
        <v>41</v>
      </c>
    </row>
    <row r="289" spans="1:13" x14ac:dyDescent="0.3">
      <c r="A289" s="34">
        <v>10271</v>
      </c>
      <c r="B289" s="26">
        <v>45561</v>
      </c>
      <c r="C289" s="25" t="s">
        <v>106</v>
      </c>
      <c r="D289" s="25" t="s">
        <v>72</v>
      </c>
      <c r="E289" s="25" t="s">
        <v>69</v>
      </c>
      <c r="F289" s="25" t="s">
        <v>70</v>
      </c>
      <c r="G289" s="25">
        <v>6</v>
      </c>
      <c r="H289" s="27">
        <v>5499</v>
      </c>
      <c r="I289" s="28">
        <v>0.1</v>
      </c>
      <c r="J289" s="28">
        <v>29694.600000000002</v>
      </c>
      <c r="K289" s="25" t="s">
        <v>39</v>
      </c>
      <c r="L289" s="25" t="s">
        <v>40</v>
      </c>
      <c r="M289" s="35" t="s">
        <v>41</v>
      </c>
    </row>
    <row r="290" spans="1:13" x14ac:dyDescent="0.3">
      <c r="A290" s="34">
        <v>10061</v>
      </c>
      <c r="B290" s="26">
        <v>45510</v>
      </c>
      <c r="C290" s="25" t="s">
        <v>205</v>
      </c>
      <c r="D290" s="25" t="s">
        <v>72</v>
      </c>
      <c r="E290" s="25" t="s">
        <v>53</v>
      </c>
      <c r="F290" s="25" t="s">
        <v>91</v>
      </c>
      <c r="G290" s="25">
        <v>1</v>
      </c>
      <c r="H290" s="27">
        <v>249</v>
      </c>
      <c r="I290" s="28">
        <v>0.05</v>
      </c>
      <c r="J290" s="28">
        <v>236.54999999999998</v>
      </c>
      <c r="K290" s="25" t="s">
        <v>67</v>
      </c>
      <c r="L290" s="25" t="s">
        <v>45</v>
      </c>
      <c r="M290" s="35" t="s">
        <v>41</v>
      </c>
    </row>
    <row r="291" spans="1:13" x14ac:dyDescent="0.3">
      <c r="A291" s="34">
        <v>10099</v>
      </c>
      <c r="B291" s="26">
        <v>45564</v>
      </c>
      <c r="C291" s="25" t="s">
        <v>89</v>
      </c>
      <c r="D291" s="25" t="s">
        <v>95</v>
      </c>
      <c r="E291" s="25" t="s">
        <v>69</v>
      </c>
      <c r="F291" s="25" t="s">
        <v>104</v>
      </c>
      <c r="G291" s="25">
        <v>3</v>
      </c>
      <c r="H291" s="27">
        <v>4999</v>
      </c>
      <c r="I291" s="28">
        <v>0.1</v>
      </c>
      <c r="J291" s="28">
        <v>13497.300000000001</v>
      </c>
      <c r="K291" s="25" t="s">
        <v>44</v>
      </c>
      <c r="L291" s="25" t="s">
        <v>40</v>
      </c>
      <c r="M291" s="35" t="s">
        <v>41</v>
      </c>
    </row>
    <row r="292" spans="1:13" x14ac:dyDescent="0.3">
      <c r="A292" s="34">
        <v>10121</v>
      </c>
      <c r="B292" s="26">
        <v>45571</v>
      </c>
      <c r="C292" s="25" t="s">
        <v>89</v>
      </c>
      <c r="D292" s="25" t="s">
        <v>95</v>
      </c>
      <c r="E292" s="25" t="s">
        <v>69</v>
      </c>
      <c r="F292" s="25" t="s">
        <v>85</v>
      </c>
      <c r="G292" s="25">
        <v>6</v>
      </c>
      <c r="H292" s="27">
        <v>24999</v>
      </c>
      <c r="I292" s="28">
        <v>0.1</v>
      </c>
      <c r="J292" s="28">
        <v>134994.6</v>
      </c>
      <c r="K292" s="25" t="s">
        <v>109</v>
      </c>
      <c r="L292" s="25" t="s">
        <v>49</v>
      </c>
      <c r="M292" s="35" t="s">
        <v>41</v>
      </c>
    </row>
    <row r="293" spans="1:13" x14ac:dyDescent="0.3">
      <c r="A293" s="34">
        <v>10285</v>
      </c>
      <c r="B293" s="26">
        <v>45585</v>
      </c>
      <c r="C293" s="25" t="s">
        <v>94</v>
      </c>
      <c r="D293" s="25" t="s">
        <v>95</v>
      </c>
      <c r="E293" s="25" t="s">
        <v>37</v>
      </c>
      <c r="F293" s="25" t="s">
        <v>66</v>
      </c>
      <c r="G293" s="25">
        <v>3</v>
      </c>
      <c r="H293" s="27">
        <v>1499</v>
      </c>
      <c r="I293" s="28">
        <v>0.1</v>
      </c>
      <c r="J293" s="28">
        <v>4047.3</v>
      </c>
      <c r="K293" s="25" t="s">
        <v>39</v>
      </c>
      <c r="L293" s="25" t="s">
        <v>65</v>
      </c>
      <c r="M293" s="35" t="s">
        <v>50</v>
      </c>
    </row>
    <row r="294" spans="1:13" x14ac:dyDescent="0.3">
      <c r="A294" s="34">
        <v>10004</v>
      </c>
      <c r="B294" s="26">
        <v>45652</v>
      </c>
      <c r="C294" s="25" t="s">
        <v>51</v>
      </c>
      <c r="D294" s="25" t="s">
        <v>72</v>
      </c>
      <c r="E294" s="25" t="s">
        <v>55</v>
      </c>
      <c r="F294" s="25" t="s">
        <v>103</v>
      </c>
      <c r="G294" s="25">
        <v>5</v>
      </c>
      <c r="H294" s="27">
        <v>999</v>
      </c>
      <c r="I294" s="28">
        <v>0</v>
      </c>
      <c r="J294" s="28">
        <v>4995</v>
      </c>
      <c r="K294" s="25" t="s">
        <v>67</v>
      </c>
      <c r="L294" s="25" t="s">
        <v>65</v>
      </c>
      <c r="M294" s="35" t="s">
        <v>41</v>
      </c>
    </row>
    <row r="295" spans="1:13" x14ac:dyDescent="0.3">
      <c r="A295" s="34">
        <v>10214</v>
      </c>
      <c r="B295" s="26">
        <v>45377</v>
      </c>
      <c r="C295" s="25" t="s">
        <v>84</v>
      </c>
      <c r="D295" s="25" t="s">
        <v>95</v>
      </c>
      <c r="E295" s="25" t="s">
        <v>69</v>
      </c>
      <c r="F295" s="25" t="s">
        <v>70</v>
      </c>
      <c r="G295" s="25">
        <v>6</v>
      </c>
      <c r="H295" s="27">
        <v>5499</v>
      </c>
      <c r="I295" s="28">
        <v>0</v>
      </c>
      <c r="J295" s="28">
        <v>32994</v>
      </c>
      <c r="K295" s="25" t="s">
        <v>108</v>
      </c>
      <c r="L295" s="25" t="s">
        <v>49</v>
      </c>
      <c r="M295" s="35" t="s">
        <v>41</v>
      </c>
    </row>
    <row r="296" spans="1:13" x14ac:dyDescent="0.3">
      <c r="A296" s="34">
        <v>10178</v>
      </c>
      <c r="B296" s="26">
        <v>45313</v>
      </c>
      <c r="C296" s="25" t="s">
        <v>93</v>
      </c>
      <c r="D296" s="25" t="s">
        <v>95</v>
      </c>
      <c r="E296" s="25" t="s">
        <v>53</v>
      </c>
      <c r="F296" s="25" t="s">
        <v>60</v>
      </c>
      <c r="G296" s="25">
        <v>2</v>
      </c>
      <c r="H296" s="27">
        <v>349</v>
      </c>
      <c r="I296" s="28">
        <v>0</v>
      </c>
      <c r="J296" s="28">
        <v>698</v>
      </c>
      <c r="K296" s="25" t="s">
        <v>39</v>
      </c>
      <c r="L296" s="25" t="s">
        <v>65</v>
      </c>
      <c r="M296" s="35" t="s">
        <v>41</v>
      </c>
    </row>
    <row r="297" spans="1:13" x14ac:dyDescent="0.3">
      <c r="A297" s="34">
        <v>10154</v>
      </c>
      <c r="B297" s="26">
        <v>45692</v>
      </c>
      <c r="C297" s="25" t="s">
        <v>114</v>
      </c>
      <c r="D297" s="25" t="s">
        <v>74</v>
      </c>
      <c r="E297" s="25" t="s">
        <v>53</v>
      </c>
      <c r="F297" s="25" t="s">
        <v>60</v>
      </c>
      <c r="G297" s="25">
        <v>2</v>
      </c>
      <c r="H297" s="27">
        <v>349</v>
      </c>
      <c r="I297" s="28">
        <v>0.1</v>
      </c>
      <c r="J297" s="28">
        <v>628.20000000000005</v>
      </c>
      <c r="K297" s="25" t="s">
        <v>39</v>
      </c>
      <c r="L297" s="25" t="s">
        <v>49</v>
      </c>
      <c r="M297" s="35" t="s">
        <v>41</v>
      </c>
    </row>
    <row r="298" spans="1:13" x14ac:dyDescent="0.3">
      <c r="A298" s="34">
        <v>10255</v>
      </c>
      <c r="B298" s="26">
        <v>45371</v>
      </c>
      <c r="C298" s="25" t="s">
        <v>77</v>
      </c>
      <c r="D298" s="25" t="s">
        <v>52</v>
      </c>
      <c r="E298" s="25" t="s">
        <v>75</v>
      </c>
      <c r="F298" s="25" t="s">
        <v>100</v>
      </c>
      <c r="G298" s="25">
        <v>5</v>
      </c>
      <c r="H298" s="27">
        <v>5999</v>
      </c>
      <c r="I298" s="28">
        <v>0.1</v>
      </c>
      <c r="J298" s="28">
        <v>26995.5</v>
      </c>
      <c r="K298" s="25" t="s">
        <v>108</v>
      </c>
      <c r="L298" s="25" t="s">
        <v>49</v>
      </c>
      <c r="M298" s="35" t="s">
        <v>41</v>
      </c>
    </row>
    <row r="299" spans="1:13" x14ac:dyDescent="0.3">
      <c r="A299" s="34">
        <v>10093</v>
      </c>
      <c r="B299" s="26">
        <v>45505</v>
      </c>
      <c r="C299" s="25" t="s">
        <v>116</v>
      </c>
      <c r="D299" s="25" t="s">
        <v>74</v>
      </c>
      <c r="E299" s="25" t="s">
        <v>76</v>
      </c>
      <c r="F299" s="25" t="s">
        <v>82</v>
      </c>
      <c r="G299" s="25" t="s">
        <v>210</v>
      </c>
      <c r="H299" s="27">
        <v>8999</v>
      </c>
      <c r="I299" s="28">
        <v>0.1</v>
      </c>
      <c r="J299" s="28" t="s">
        <v>211</v>
      </c>
      <c r="K299" s="25" t="s">
        <v>108</v>
      </c>
      <c r="L299" s="25" t="s">
        <v>65</v>
      </c>
      <c r="M299" s="35" t="s">
        <v>41</v>
      </c>
    </row>
    <row r="300" spans="1:13" x14ac:dyDescent="0.3">
      <c r="A300" s="34">
        <v>10305</v>
      </c>
      <c r="B300" s="26">
        <v>45480</v>
      </c>
      <c r="C300" s="25" t="s">
        <v>80</v>
      </c>
      <c r="D300" s="25" t="s">
        <v>95</v>
      </c>
      <c r="E300" s="25" t="s">
        <v>53</v>
      </c>
      <c r="F300" s="25" t="s">
        <v>86</v>
      </c>
      <c r="G300" s="25">
        <v>1</v>
      </c>
      <c r="H300" s="27">
        <v>599</v>
      </c>
      <c r="I300" s="28">
        <v>0.1</v>
      </c>
      <c r="J300" s="28">
        <v>539.1</v>
      </c>
      <c r="K300" s="25" t="s">
        <v>44</v>
      </c>
      <c r="L300" s="25" t="s">
        <v>40</v>
      </c>
      <c r="M300" s="35" t="s">
        <v>50</v>
      </c>
    </row>
    <row r="301" spans="1:13" x14ac:dyDescent="0.3">
      <c r="A301" s="34">
        <v>10021</v>
      </c>
      <c r="B301" s="26">
        <v>45406</v>
      </c>
      <c r="C301" s="25" t="s">
        <v>117</v>
      </c>
      <c r="D301" s="25" t="s">
        <v>74</v>
      </c>
      <c r="E301" s="25" t="s">
        <v>75</v>
      </c>
      <c r="F301" s="25" t="s">
        <v>100</v>
      </c>
      <c r="G301" s="25">
        <v>4</v>
      </c>
      <c r="H301" s="27">
        <v>5999</v>
      </c>
      <c r="I301" s="28">
        <v>0</v>
      </c>
      <c r="J301" s="28">
        <v>23996</v>
      </c>
      <c r="K301" s="25" t="s">
        <v>109</v>
      </c>
      <c r="L301" s="25" t="s">
        <v>65</v>
      </c>
      <c r="M301" s="35" t="s">
        <v>50</v>
      </c>
    </row>
    <row r="302" spans="1:13" x14ac:dyDescent="0.3">
      <c r="A302" s="34">
        <v>10090</v>
      </c>
      <c r="B302" s="26">
        <v>45531</v>
      </c>
      <c r="C302" s="25" t="s">
        <v>94</v>
      </c>
      <c r="D302" s="25" t="s">
        <v>52</v>
      </c>
      <c r="E302" s="25" t="s">
        <v>53</v>
      </c>
      <c r="F302" s="25" t="s">
        <v>60</v>
      </c>
      <c r="G302" s="25">
        <v>4</v>
      </c>
      <c r="H302" s="27">
        <v>349</v>
      </c>
      <c r="I302" s="28">
        <v>0.05</v>
      </c>
      <c r="J302" s="28">
        <v>1326.2</v>
      </c>
      <c r="K302" s="25" t="s">
        <v>39</v>
      </c>
      <c r="L302" s="25" t="s">
        <v>57</v>
      </c>
      <c r="M302" s="35" t="s">
        <v>41</v>
      </c>
    </row>
    <row r="303" spans="1:13" x14ac:dyDescent="0.3">
      <c r="A303" s="34">
        <v>10123</v>
      </c>
      <c r="B303" s="26">
        <v>45356</v>
      </c>
      <c r="C303" s="25" t="s">
        <v>36</v>
      </c>
      <c r="D303" s="25" t="s">
        <v>72</v>
      </c>
      <c r="E303" s="25" t="s">
        <v>69</v>
      </c>
      <c r="F303" s="25" t="s">
        <v>82</v>
      </c>
      <c r="G303" s="25">
        <v>2</v>
      </c>
      <c r="H303" s="27">
        <v>8999</v>
      </c>
      <c r="I303" s="28">
        <v>0.05</v>
      </c>
      <c r="J303" s="28">
        <v>17098.099999999999</v>
      </c>
      <c r="K303" s="25" t="s">
        <v>109</v>
      </c>
      <c r="L303" s="25" t="s">
        <v>40</v>
      </c>
      <c r="M303" s="35" t="s">
        <v>41</v>
      </c>
    </row>
    <row r="304" spans="1:13" x14ac:dyDescent="0.3">
      <c r="A304" s="34">
        <v>10210</v>
      </c>
      <c r="B304" s="26">
        <v>45571</v>
      </c>
      <c r="C304" s="25" t="s">
        <v>110</v>
      </c>
      <c r="D304" s="25" t="s">
        <v>72</v>
      </c>
      <c r="E304" s="25" t="s">
        <v>69</v>
      </c>
      <c r="F304" s="25" t="s">
        <v>68</v>
      </c>
      <c r="G304" s="25">
        <v>6</v>
      </c>
      <c r="H304" s="27">
        <v>6999</v>
      </c>
      <c r="I304" s="28">
        <v>0.1</v>
      </c>
      <c r="J304" s="28">
        <v>37794.6</v>
      </c>
      <c r="K304" s="25" t="s">
        <v>109</v>
      </c>
      <c r="L304" s="25" t="s">
        <v>57</v>
      </c>
      <c r="M304" s="35" t="s">
        <v>46</v>
      </c>
    </row>
    <row r="305" spans="1:13" x14ac:dyDescent="0.3">
      <c r="A305" s="34">
        <v>10230</v>
      </c>
      <c r="B305" s="26">
        <v>45342</v>
      </c>
      <c r="C305" s="25" t="s">
        <v>93</v>
      </c>
      <c r="D305" s="25" t="s">
        <v>95</v>
      </c>
      <c r="E305" s="25" t="s">
        <v>55</v>
      </c>
      <c r="F305" s="25" t="s">
        <v>88</v>
      </c>
      <c r="G305" s="25">
        <v>6</v>
      </c>
      <c r="H305" s="27">
        <v>2499</v>
      </c>
      <c r="I305" s="28">
        <v>0.1</v>
      </c>
      <c r="J305" s="28">
        <v>13494.6</v>
      </c>
      <c r="K305" s="25" t="s">
        <v>109</v>
      </c>
      <c r="L305" s="25" t="s">
        <v>40</v>
      </c>
      <c r="M305" s="35" t="s">
        <v>41</v>
      </c>
    </row>
    <row r="306" spans="1:13" x14ac:dyDescent="0.3">
      <c r="A306" s="34">
        <v>10267</v>
      </c>
      <c r="B306" s="26">
        <v>45440</v>
      </c>
      <c r="C306" s="25" t="s">
        <v>94</v>
      </c>
      <c r="D306" s="25" t="s">
        <v>74</v>
      </c>
      <c r="E306" s="25" t="s">
        <v>53</v>
      </c>
      <c r="F306" s="25" t="s">
        <v>54</v>
      </c>
      <c r="G306" s="25">
        <v>5</v>
      </c>
      <c r="H306" s="27">
        <v>149</v>
      </c>
      <c r="I306" s="28">
        <v>0.15</v>
      </c>
      <c r="J306" s="28">
        <v>633.25</v>
      </c>
      <c r="K306" s="25" t="s">
        <v>109</v>
      </c>
      <c r="L306" s="25" t="s">
        <v>40</v>
      </c>
      <c r="M306" s="35" t="s">
        <v>41</v>
      </c>
    </row>
    <row r="307" spans="1:13" x14ac:dyDescent="0.3">
      <c r="A307" s="34">
        <v>10139</v>
      </c>
      <c r="B307" s="26">
        <v>45617</v>
      </c>
      <c r="C307" s="25" t="s">
        <v>42</v>
      </c>
      <c r="D307" s="25" t="s">
        <v>72</v>
      </c>
      <c r="E307" s="25" t="s">
        <v>76</v>
      </c>
      <c r="F307" s="25" t="s">
        <v>104</v>
      </c>
      <c r="G307" s="25">
        <v>2</v>
      </c>
      <c r="H307" s="27">
        <v>4999</v>
      </c>
      <c r="I307" s="28">
        <v>0.05</v>
      </c>
      <c r="J307" s="28">
        <v>9498.1</v>
      </c>
      <c r="K307" s="25" t="s">
        <v>109</v>
      </c>
      <c r="L307" s="25" t="s">
        <v>40</v>
      </c>
      <c r="M307" s="35" t="s">
        <v>50</v>
      </c>
    </row>
    <row r="308" spans="1:13" x14ac:dyDescent="0.3">
      <c r="A308" s="34">
        <v>10074</v>
      </c>
      <c r="B308" s="26">
        <v>45463</v>
      </c>
      <c r="C308" s="25" t="s">
        <v>51</v>
      </c>
      <c r="D308" s="25" t="s">
        <v>95</v>
      </c>
      <c r="E308" s="25" t="s">
        <v>69</v>
      </c>
      <c r="F308" s="25" t="s">
        <v>85</v>
      </c>
      <c r="G308" s="25">
        <v>6</v>
      </c>
      <c r="H308" s="27">
        <v>24999</v>
      </c>
      <c r="I308" s="28">
        <v>0.1</v>
      </c>
      <c r="J308" s="28">
        <v>134994.6</v>
      </c>
      <c r="K308" s="25" t="s">
        <v>109</v>
      </c>
      <c r="L308" s="25" t="s">
        <v>45</v>
      </c>
      <c r="M308" s="35" t="s">
        <v>41</v>
      </c>
    </row>
    <row r="309" spans="1:13" x14ac:dyDescent="0.3">
      <c r="A309" s="34">
        <v>10106</v>
      </c>
      <c r="B309" s="26">
        <v>45387</v>
      </c>
      <c r="C309" s="25" t="s">
        <v>110</v>
      </c>
      <c r="D309" s="25" t="s">
        <v>95</v>
      </c>
      <c r="E309" s="25" t="s">
        <v>75</v>
      </c>
      <c r="F309" s="25" t="s">
        <v>99</v>
      </c>
      <c r="G309" s="25">
        <v>1</v>
      </c>
      <c r="H309" s="27">
        <v>12999</v>
      </c>
      <c r="I309" s="28">
        <v>0.05</v>
      </c>
      <c r="J309" s="28">
        <v>12349.05</v>
      </c>
      <c r="K309" s="25" t="s">
        <v>204</v>
      </c>
      <c r="L309" s="25" t="s">
        <v>65</v>
      </c>
      <c r="M309" s="35" t="s">
        <v>41</v>
      </c>
    </row>
    <row r="310" spans="1:13" x14ac:dyDescent="0.3">
      <c r="A310" s="34">
        <v>10065</v>
      </c>
      <c r="B310" s="26">
        <v>45737</v>
      </c>
      <c r="C310" s="25" t="s">
        <v>96</v>
      </c>
      <c r="D310" s="25" t="s">
        <v>74</v>
      </c>
      <c r="E310" s="25" t="s">
        <v>75</v>
      </c>
      <c r="F310" s="25" t="s">
        <v>38</v>
      </c>
      <c r="G310" s="25">
        <v>3</v>
      </c>
      <c r="H310" s="27">
        <v>2999</v>
      </c>
      <c r="I310" s="28">
        <v>0</v>
      </c>
      <c r="J310" s="28">
        <v>8997</v>
      </c>
      <c r="K310" s="25" t="s">
        <v>39</v>
      </c>
      <c r="L310" s="25" t="s">
        <v>57</v>
      </c>
      <c r="M310" s="35" t="s">
        <v>41</v>
      </c>
    </row>
    <row r="311" spans="1:13" x14ac:dyDescent="0.3">
      <c r="A311" s="34">
        <v>10243</v>
      </c>
      <c r="B311" s="26">
        <v>45316</v>
      </c>
      <c r="C311" s="25" t="s">
        <v>112</v>
      </c>
      <c r="D311" s="25" t="s">
        <v>72</v>
      </c>
      <c r="E311" s="25" t="s">
        <v>55</v>
      </c>
      <c r="F311" s="25" t="s">
        <v>88</v>
      </c>
      <c r="G311" s="25">
        <v>4</v>
      </c>
      <c r="H311" s="27">
        <v>2499</v>
      </c>
      <c r="I311" s="28">
        <v>0.1</v>
      </c>
      <c r="J311" s="28">
        <v>8996.4</v>
      </c>
      <c r="K311" s="25" t="s">
        <v>44</v>
      </c>
      <c r="L311" s="25" t="s">
        <v>40</v>
      </c>
      <c r="M311" s="35" t="s">
        <v>41</v>
      </c>
    </row>
    <row r="312" spans="1:13" x14ac:dyDescent="0.3">
      <c r="A312" s="34">
        <v>10213</v>
      </c>
      <c r="B312" s="26">
        <v>45416</v>
      </c>
      <c r="C312" s="25" t="s">
        <v>106</v>
      </c>
      <c r="D312" s="25" t="s">
        <v>74</v>
      </c>
      <c r="E312" s="25" t="s">
        <v>55</v>
      </c>
      <c r="F312" s="25" t="s">
        <v>73</v>
      </c>
      <c r="G312" s="25">
        <v>4</v>
      </c>
      <c r="H312" s="27">
        <v>5499</v>
      </c>
      <c r="I312" s="28">
        <v>0.1</v>
      </c>
      <c r="J312" s="28">
        <v>19796.400000000001</v>
      </c>
      <c r="K312" s="25" t="s">
        <v>108</v>
      </c>
      <c r="L312" s="25" t="s">
        <v>65</v>
      </c>
      <c r="M312" s="35" t="s">
        <v>41</v>
      </c>
    </row>
    <row r="313" spans="1:13" x14ac:dyDescent="0.3">
      <c r="A313" s="34">
        <v>10146</v>
      </c>
      <c r="B313" s="26">
        <v>45757</v>
      </c>
      <c r="C313" s="25" t="s">
        <v>96</v>
      </c>
      <c r="D313" s="25" t="s">
        <v>74</v>
      </c>
      <c r="E313" s="25" t="s">
        <v>55</v>
      </c>
      <c r="F313" s="25" t="s">
        <v>103</v>
      </c>
      <c r="G313" s="25">
        <v>1</v>
      </c>
      <c r="H313" s="27">
        <v>999</v>
      </c>
      <c r="I313" s="28">
        <v>0.1</v>
      </c>
      <c r="J313" s="28">
        <v>899.1</v>
      </c>
      <c r="K313" s="25" t="s">
        <v>39</v>
      </c>
      <c r="L313" s="25" t="s">
        <v>65</v>
      </c>
      <c r="M313" s="35" t="s">
        <v>50</v>
      </c>
    </row>
    <row r="314" spans="1:13" x14ac:dyDescent="0.3">
      <c r="A314" s="34">
        <v>10303</v>
      </c>
      <c r="B314" s="26">
        <v>45370</v>
      </c>
      <c r="C314" s="25" t="s">
        <v>47</v>
      </c>
      <c r="D314" s="25" t="s">
        <v>95</v>
      </c>
      <c r="E314" s="25" t="s">
        <v>53</v>
      </c>
      <c r="F314" s="25" t="s">
        <v>54</v>
      </c>
      <c r="G314" s="25">
        <v>4</v>
      </c>
      <c r="H314" s="27">
        <v>149</v>
      </c>
      <c r="I314" s="28">
        <v>0.05</v>
      </c>
      <c r="J314" s="28">
        <v>566.19999999999993</v>
      </c>
      <c r="K314" s="25" t="s">
        <v>204</v>
      </c>
      <c r="L314" s="25" t="s">
        <v>40</v>
      </c>
      <c r="M314" s="35" t="s">
        <v>46</v>
      </c>
    </row>
    <row r="315" spans="1:13" x14ac:dyDescent="0.3">
      <c r="A315" s="34">
        <v>10047</v>
      </c>
      <c r="B315" s="26">
        <v>45629</v>
      </c>
      <c r="C315" s="25" t="s">
        <v>89</v>
      </c>
      <c r="D315" s="25" t="s">
        <v>72</v>
      </c>
      <c r="E315" s="25" t="s">
        <v>78</v>
      </c>
      <c r="F315" s="25" t="s">
        <v>92</v>
      </c>
      <c r="G315" s="25">
        <v>3</v>
      </c>
      <c r="H315" s="27">
        <v>799</v>
      </c>
      <c r="I315" s="28">
        <v>0.1</v>
      </c>
      <c r="J315" s="28">
        <v>2157.3000000000002</v>
      </c>
      <c r="K315" s="25" t="s">
        <v>67</v>
      </c>
      <c r="L315" s="25" t="s">
        <v>40</v>
      </c>
      <c r="M315" s="35" t="s">
        <v>41</v>
      </c>
    </row>
    <row r="316" spans="1:13" x14ac:dyDescent="0.3">
      <c r="A316" s="34">
        <v>10092</v>
      </c>
      <c r="B316" s="26">
        <v>45432</v>
      </c>
      <c r="C316" s="25" t="s">
        <v>96</v>
      </c>
      <c r="D316" s="25" t="s">
        <v>59</v>
      </c>
      <c r="E316" s="25" t="s">
        <v>76</v>
      </c>
      <c r="F316" s="25" t="s">
        <v>68</v>
      </c>
      <c r="G316" s="25">
        <v>1</v>
      </c>
      <c r="H316" s="27">
        <v>6999</v>
      </c>
      <c r="I316" s="28">
        <v>0.1</v>
      </c>
      <c r="J316" s="28">
        <v>6299.1</v>
      </c>
      <c r="K316" s="25" t="s">
        <v>44</v>
      </c>
      <c r="L316" s="25" t="s">
        <v>45</v>
      </c>
      <c r="M316" s="35" t="s">
        <v>41</v>
      </c>
    </row>
    <row r="317" spans="1:13" x14ac:dyDescent="0.3">
      <c r="A317" s="34">
        <v>10005</v>
      </c>
      <c r="B317" s="26">
        <v>45603</v>
      </c>
      <c r="C317" s="25" t="s">
        <v>97</v>
      </c>
      <c r="D317" s="25" t="s">
        <v>59</v>
      </c>
      <c r="E317" s="25" t="s">
        <v>69</v>
      </c>
      <c r="F317" s="25" t="s">
        <v>104</v>
      </c>
      <c r="G317" s="25">
        <v>3</v>
      </c>
      <c r="H317" s="27">
        <v>4999</v>
      </c>
      <c r="I317" s="28">
        <v>0</v>
      </c>
      <c r="J317" s="28">
        <v>14997</v>
      </c>
      <c r="K317" s="25" t="s">
        <v>67</v>
      </c>
      <c r="L317" s="25" t="s">
        <v>45</v>
      </c>
      <c r="M317" s="35" t="s">
        <v>41</v>
      </c>
    </row>
    <row r="318" spans="1:13" x14ac:dyDescent="0.3">
      <c r="A318" s="34">
        <v>10043</v>
      </c>
      <c r="B318" s="26">
        <v>45788</v>
      </c>
      <c r="C318" s="25" t="s">
        <v>51</v>
      </c>
      <c r="D318" s="25" t="s">
        <v>72</v>
      </c>
      <c r="E318" s="25" t="s">
        <v>53</v>
      </c>
      <c r="F318" s="25" t="s">
        <v>101</v>
      </c>
      <c r="G318" s="25">
        <v>2</v>
      </c>
      <c r="H318" s="27">
        <v>99</v>
      </c>
      <c r="I318" s="28">
        <v>0.05</v>
      </c>
      <c r="J318" s="28">
        <v>188.1</v>
      </c>
      <c r="K318" s="25" t="s">
        <v>109</v>
      </c>
      <c r="L318" s="25" t="s">
        <v>40</v>
      </c>
      <c r="M318" s="35" t="s">
        <v>50</v>
      </c>
    </row>
    <row r="319" spans="1:13" x14ac:dyDescent="0.3">
      <c r="A319" s="34">
        <v>10249</v>
      </c>
      <c r="B319" s="26">
        <v>45371</v>
      </c>
      <c r="C319" s="25" t="s">
        <v>47</v>
      </c>
      <c r="D319" s="25" t="s">
        <v>95</v>
      </c>
      <c r="E319" s="25" t="s">
        <v>69</v>
      </c>
      <c r="F319" s="25" t="s">
        <v>61</v>
      </c>
      <c r="G319" s="25">
        <v>0</v>
      </c>
      <c r="H319" s="27">
        <v>18999</v>
      </c>
      <c r="I319" s="28">
        <v>0.05</v>
      </c>
      <c r="J319" s="28">
        <v>0</v>
      </c>
      <c r="K319" s="25" t="s">
        <v>44</v>
      </c>
      <c r="L319" s="25" t="s">
        <v>40</v>
      </c>
      <c r="M319" s="35" t="s">
        <v>41</v>
      </c>
    </row>
    <row r="320" spans="1:13" x14ac:dyDescent="0.3">
      <c r="A320" s="34">
        <v>10010</v>
      </c>
      <c r="B320" s="26">
        <v>45767</v>
      </c>
      <c r="C320" s="25" t="s">
        <v>42</v>
      </c>
      <c r="D320" s="25" t="s">
        <v>95</v>
      </c>
      <c r="E320" s="25" t="s">
        <v>53</v>
      </c>
      <c r="F320" s="25" t="s">
        <v>54</v>
      </c>
      <c r="G320" s="25">
        <v>5</v>
      </c>
      <c r="H320" s="27">
        <v>149</v>
      </c>
      <c r="I320" s="28">
        <v>0</v>
      </c>
      <c r="J320" s="28">
        <v>745</v>
      </c>
      <c r="K320" s="25" t="s">
        <v>44</v>
      </c>
      <c r="L320" s="25" t="s">
        <v>57</v>
      </c>
      <c r="M320" s="35" t="s">
        <v>41</v>
      </c>
    </row>
    <row r="321" spans="1:13" x14ac:dyDescent="0.3">
      <c r="A321" s="42">
        <v>10081</v>
      </c>
      <c r="B321" s="43">
        <v>45348</v>
      </c>
      <c r="C321" s="44" t="s">
        <v>114</v>
      </c>
      <c r="D321" s="44" t="s">
        <v>59</v>
      </c>
      <c r="E321" s="44" t="s">
        <v>76</v>
      </c>
      <c r="F321" s="44" t="s">
        <v>68</v>
      </c>
      <c r="G321" s="44">
        <v>2</v>
      </c>
      <c r="H321" s="45">
        <v>6999</v>
      </c>
      <c r="I321" s="46">
        <v>0</v>
      </c>
      <c r="J321" s="46">
        <v>13998</v>
      </c>
      <c r="K321" s="44" t="s">
        <v>204</v>
      </c>
      <c r="L321" s="44" t="s">
        <v>45</v>
      </c>
      <c r="M321" s="47" t="s">
        <v>46</v>
      </c>
    </row>
    <row r="322" spans="1:13" x14ac:dyDescent="0.3">
      <c r="H322"/>
      <c r="I322"/>
      <c r="J322"/>
    </row>
    <row r="323" spans="1:13" x14ac:dyDescent="0.3">
      <c r="H323"/>
      <c r="I323"/>
      <c r="J323"/>
    </row>
    <row r="324" spans="1:13" x14ac:dyDescent="0.3">
      <c r="H324"/>
      <c r="I324"/>
      <c r="J324"/>
    </row>
    <row r="325" spans="1:13" x14ac:dyDescent="0.3">
      <c r="H325"/>
      <c r="I325"/>
      <c r="J325"/>
    </row>
    <row r="326" spans="1:13" x14ac:dyDescent="0.3">
      <c r="H326"/>
      <c r="I326"/>
      <c r="J326"/>
    </row>
    <row r="327" spans="1:13" x14ac:dyDescent="0.3">
      <c r="H327"/>
      <c r="I327"/>
      <c r="J327"/>
    </row>
    <row r="328" spans="1:13" x14ac:dyDescent="0.3">
      <c r="H328"/>
      <c r="I328"/>
      <c r="J328"/>
    </row>
    <row r="329" spans="1:13" x14ac:dyDescent="0.3">
      <c r="H329"/>
      <c r="I329"/>
      <c r="J329"/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showGridLines="0" topLeftCell="A4" zoomScaleNormal="100" workbookViewId="0">
      <selection activeCell="A18" sqref="A18"/>
    </sheetView>
  </sheetViews>
  <sheetFormatPr defaultColWidth="8.6640625" defaultRowHeight="14.4" x14ac:dyDescent="0.3"/>
  <cols>
    <col min="1" max="1" width="110" customWidth="1"/>
  </cols>
  <sheetData>
    <row r="1" spans="1:1" ht="22.8" x14ac:dyDescent="0.4">
      <c r="A1" s="10" t="s">
        <v>119</v>
      </c>
    </row>
    <row r="2" spans="1:1" x14ac:dyDescent="0.3">
      <c r="A2" s="11" t="s">
        <v>120</v>
      </c>
    </row>
    <row r="4" spans="1:1" ht="30" customHeight="1" x14ac:dyDescent="0.3">
      <c r="A4" s="12" t="s">
        <v>121</v>
      </c>
    </row>
    <row r="5" spans="1:1" ht="30" customHeight="1" x14ac:dyDescent="0.3">
      <c r="A5" s="12" t="s">
        <v>122</v>
      </c>
    </row>
    <row r="6" spans="1:1" ht="30" customHeight="1" x14ac:dyDescent="0.3">
      <c r="A6" s="12" t="s">
        <v>123</v>
      </c>
    </row>
    <row r="7" spans="1:1" ht="30" customHeight="1" x14ac:dyDescent="0.3">
      <c r="A7" s="12" t="s">
        <v>124</v>
      </c>
    </row>
    <row r="8" spans="1:1" ht="30" customHeight="1" x14ac:dyDescent="0.3">
      <c r="A8" s="12" t="s">
        <v>125</v>
      </c>
    </row>
    <row r="9" spans="1:1" ht="30" customHeight="1" x14ac:dyDescent="0.3">
      <c r="A9" s="12" t="s">
        <v>126</v>
      </c>
    </row>
    <row r="10" spans="1:1" ht="30" customHeight="1" x14ac:dyDescent="0.3">
      <c r="A10" s="12" t="s">
        <v>127</v>
      </c>
    </row>
    <row r="11" spans="1:1" ht="30" customHeight="1" x14ac:dyDescent="0.3">
      <c r="A11" s="12" t="s">
        <v>128</v>
      </c>
    </row>
    <row r="12" spans="1:1" ht="30" customHeight="1" x14ac:dyDescent="0.3">
      <c r="A12" s="12" t="s">
        <v>129</v>
      </c>
    </row>
    <row r="13" spans="1:1" ht="30" customHeight="1" x14ac:dyDescent="0.3">
      <c r="A13" s="12" t="s">
        <v>130</v>
      </c>
    </row>
    <row r="14" spans="1:1" ht="30" customHeight="1" x14ac:dyDescent="0.3">
      <c r="A14" s="12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showGridLines="0" topLeftCell="A2" zoomScaleNormal="100" workbookViewId="0">
      <selection activeCell="E2" sqref="E2"/>
    </sheetView>
  </sheetViews>
  <sheetFormatPr defaultColWidth="8.6640625" defaultRowHeight="14.4" x14ac:dyDescent="0.3"/>
  <cols>
    <col min="1" max="1" width="26" customWidth="1"/>
    <col min="2" max="2" width="18" customWidth="1"/>
    <col min="3" max="3" width="16" customWidth="1"/>
    <col min="4" max="4" width="14" customWidth="1"/>
    <col min="5" max="5" width="12" customWidth="1"/>
  </cols>
  <sheetData>
    <row r="1" spans="1:5" ht="21" x14ac:dyDescent="0.4">
      <c r="A1" s="13" t="s">
        <v>132</v>
      </c>
    </row>
    <row r="3" spans="1:5" ht="16.8" x14ac:dyDescent="0.3">
      <c r="A3" s="3" t="s">
        <v>133</v>
      </c>
    </row>
    <row r="4" spans="1:5" ht="27.6" x14ac:dyDescent="0.3">
      <c r="A4" s="4" t="s">
        <v>134</v>
      </c>
      <c r="B4" s="4" t="s">
        <v>135</v>
      </c>
      <c r="C4" s="4" t="s">
        <v>136</v>
      </c>
      <c r="D4" s="4" t="s">
        <v>137</v>
      </c>
      <c r="E4" s="4" t="s">
        <v>138</v>
      </c>
    </row>
    <row r="5" spans="1:5" x14ac:dyDescent="0.3">
      <c r="A5" t="s">
        <v>139</v>
      </c>
      <c r="B5" t="s">
        <v>108</v>
      </c>
      <c r="C5" t="s">
        <v>140</v>
      </c>
      <c r="D5" t="s">
        <v>74</v>
      </c>
      <c r="E5">
        <v>1500000</v>
      </c>
    </row>
    <row r="6" spans="1:5" x14ac:dyDescent="0.3">
      <c r="A6" t="s">
        <v>141</v>
      </c>
      <c r="B6" t="s">
        <v>39</v>
      </c>
      <c r="C6" t="s">
        <v>142</v>
      </c>
      <c r="D6" t="s">
        <v>95</v>
      </c>
      <c r="E6">
        <v>1200000</v>
      </c>
    </row>
    <row r="7" spans="1:5" x14ac:dyDescent="0.3">
      <c r="A7" t="s">
        <v>143</v>
      </c>
      <c r="B7" t="s">
        <v>67</v>
      </c>
      <c r="C7" t="s">
        <v>140</v>
      </c>
      <c r="D7" t="s">
        <v>52</v>
      </c>
      <c r="E7">
        <v>1600000</v>
      </c>
    </row>
    <row r="8" spans="1:5" x14ac:dyDescent="0.3">
      <c r="A8" t="s">
        <v>144</v>
      </c>
      <c r="B8" t="s">
        <v>109</v>
      </c>
      <c r="C8" t="s">
        <v>142</v>
      </c>
      <c r="D8" t="s">
        <v>72</v>
      </c>
      <c r="E8">
        <v>1100000</v>
      </c>
    </row>
    <row r="9" spans="1:5" x14ac:dyDescent="0.3">
      <c r="A9" t="s">
        <v>145</v>
      </c>
      <c r="B9" t="s">
        <v>44</v>
      </c>
      <c r="C9" t="s">
        <v>146</v>
      </c>
      <c r="D9" t="s">
        <v>59</v>
      </c>
      <c r="E9">
        <v>1750000</v>
      </c>
    </row>
    <row r="12" spans="1:5" ht="16.8" x14ac:dyDescent="0.3">
      <c r="A12" s="3" t="s">
        <v>147</v>
      </c>
    </row>
    <row r="13" spans="1:5" ht="27.6" x14ac:dyDescent="0.3">
      <c r="A13" s="4" t="s">
        <v>29</v>
      </c>
      <c r="B13" s="4" t="s">
        <v>148</v>
      </c>
      <c r="C13" s="4" t="s">
        <v>149</v>
      </c>
      <c r="D13" s="4" t="s">
        <v>150</v>
      </c>
    </row>
    <row r="14" spans="1:5" x14ac:dyDescent="0.3">
      <c r="A14" t="s">
        <v>48</v>
      </c>
      <c r="B14" t="s">
        <v>75</v>
      </c>
      <c r="C14">
        <v>799</v>
      </c>
      <c r="D14">
        <v>50</v>
      </c>
    </row>
    <row r="15" spans="1:5" x14ac:dyDescent="0.3">
      <c r="A15" t="s">
        <v>66</v>
      </c>
      <c r="B15" t="s">
        <v>75</v>
      </c>
      <c r="C15">
        <v>1499</v>
      </c>
      <c r="D15">
        <v>30</v>
      </c>
    </row>
    <row r="16" spans="1:5" x14ac:dyDescent="0.3">
      <c r="A16" t="s">
        <v>99</v>
      </c>
      <c r="B16" t="s">
        <v>75</v>
      </c>
      <c r="C16">
        <v>12999</v>
      </c>
      <c r="D16">
        <v>15</v>
      </c>
    </row>
    <row r="17" spans="1:4" x14ac:dyDescent="0.3">
      <c r="A17" t="s">
        <v>105</v>
      </c>
      <c r="B17" t="s">
        <v>75</v>
      </c>
      <c r="C17">
        <v>1199</v>
      </c>
      <c r="D17">
        <v>40</v>
      </c>
    </row>
    <row r="18" spans="1:4" x14ac:dyDescent="0.3">
      <c r="A18" t="s">
        <v>38</v>
      </c>
      <c r="B18" t="s">
        <v>75</v>
      </c>
      <c r="C18">
        <v>2999</v>
      </c>
      <c r="D18">
        <v>25</v>
      </c>
    </row>
    <row r="19" spans="1:4" x14ac:dyDescent="0.3">
      <c r="A19" t="s">
        <v>64</v>
      </c>
      <c r="B19" t="s">
        <v>75</v>
      </c>
      <c r="C19">
        <v>1799</v>
      </c>
      <c r="D19">
        <v>20</v>
      </c>
    </row>
    <row r="20" spans="1:4" x14ac:dyDescent="0.3">
      <c r="A20" t="s">
        <v>100</v>
      </c>
      <c r="B20" t="s">
        <v>75</v>
      </c>
      <c r="C20">
        <v>5999</v>
      </c>
      <c r="D20">
        <v>15</v>
      </c>
    </row>
    <row r="21" spans="1:4" x14ac:dyDescent="0.3">
      <c r="A21" t="s">
        <v>43</v>
      </c>
      <c r="B21" t="s">
        <v>75</v>
      </c>
      <c r="C21">
        <v>6499</v>
      </c>
      <c r="D21">
        <v>20</v>
      </c>
    </row>
    <row r="22" spans="1:4" x14ac:dyDescent="0.3">
      <c r="A22" t="s">
        <v>91</v>
      </c>
      <c r="B22" t="s">
        <v>53</v>
      </c>
      <c r="C22">
        <v>249</v>
      </c>
      <c r="D22">
        <v>200</v>
      </c>
    </row>
    <row r="23" spans="1:4" x14ac:dyDescent="0.3">
      <c r="A23" t="s">
        <v>60</v>
      </c>
      <c r="B23" t="s">
        <v>53</v>
      </c>
      <c r="C23">
        <v>349</v>
      </c>
      <c r="D23">
        <v>80</v>
      </c>
    </row>
    <row r="24" spans="1:4" x14ac:dyDescent="0.3">
      <c r="A24" t="s">
        <v>54</v>
      </c>
      <c r="B24" t="s">
        <v>53</v>
      </c>
      <c r="C24">
        <v>149</v>
      </c>
      <c r="D24">
        <v>150</v>
      </c>
    </row>
    <row r="25" spans="1:4" x14ac:dyDescent="0.3">
      <c r="A25" t="s">
        <v>90</v>
      </c>
      <c r="B25" t="s">
        <v>53</v>
      </c>
      <c r="C25">
        <v>199</v>
      </c>
      <c r="D25">
        <v>100</v>
      </c>
    </row>
    <row r="26" spans="1:4" x14ac:dyDescent="0.3">
      <c r="A26" t="s">
        <v>86</v>
      </c>
      <c r="B26" t="s">
        <v>53</v>
      </c>
      <c r="C26">
        <v>599</v>
      </c>
      <c r="D26">
        <v>60</v>
      </c>
    </row>
    <row r="27" spans="1:4" x14ac:dyDescent="0.3">
      <c r="A27" t="s">
        <v>102</v>
      </c>
      <c r="B27" t="s">
        <v>53</v>
      </c>
      <c r="C27">
        <v>899</v>
      </c>
      <c r="D27">
        <v>70</v>
      </c>
    </row>
    <row r="28" spans="1:4" x14ac:dyDescent="0.3">
      <c r="A28" t="s">
        <v>58</v>
      </c>
      <c r="B28" t="s">
        <v>53</v>
      </c>
      <c r="C28">
        <v>429</v>
      </c>
      <c r="D28">
        <v>90</v>
      </c>
    </row>
    <row r="29" spans="1:4" x14ac:dyDescent="0.3">
      <c r="A29" t="s">
        <v>101</v>
      </c>
      <c r="B29" t="s">
        <v>53</v>
      </c>
      <c r="C29">
        <v>99</v>
      </c>
      <c r="D29">
        <v>200</v>
      </c>
    </row>
    <row r="30" spans="1:4" x14ac:dyDescent="0.3">
      <c r="A30" t="s">
        <v>82</v>
      </c>
      <c r="B30" t="s">
        <v>69</v>
      </c>
      <c r="C30">
        <v>8999</v>
      </c>
      <c r="D30">
        <v>10</v>
      </c>
    </row>
    <row r="31" spans="1:4" x14ac:dyDescent="0.3">
      <c r="A31" t="s">
        <v>63</v>
      </c>
      <c r="B31" t="s">
        <v>69</v>
      </c>
      <c r="C31">
        <v>15999</v>
      </c>
      <c r="D31">
        <v>8</v>
      </c>
    </row>
    <row r="32" spans="1:4" x14ac:dyDescent="0.3">
      <c r="A32" t="s">
        <v>104</v>
      </c>
      <c r="B32" t="s">
        <v>69</v>
      </c>
      <c r="C32">
        <v>4999</v>
      </c>
      <c r="D32">
        <v>12</v>
      </c>
    </row>
    <row r="33" spans="1:4" x14ac:dyDescent="0.3">
      <c r="A33" t="s">
        <v>68</v>
      </c>
      <c r="B33" t="s">
        <v>69</v>
      </c>
      <c r="C33">
        <v>6999</v>
      </c>
      <c r="D33">
        <v>10</v>
      </c>
    </row>
    <row r="34" spans="1:4" x14ac:dyDescent="0.3">
      <c r="A34" t="s">
        <v>85</v>
      </c>
      <c r="B34" t="s">
        <v>69</v>
      </c>
      <c r="C34">
        <v>24999</v>
      </c>
      <c r="D34">
        <v>4</v>
      </c>
    </row>
    <row r="35" spans="1:4" x14ac:dyDescent="0.3">
      <c r="A35" t="s">
        <v>61</v>
      </c>
      <c r="B35" t="s">
        <v>69</v>
      </c>
      <c r="C35">
        <v>18999</v>
      </c>
      <c r="D35">
        <v>5</v>
      </c>
    </row>
    <row r="36" spans="1:4" x14ac:dyDescent="0.3">
      <c r="A36" t="s">
        <v>83</v>
      </c>
      <c r="B36" t="s">
        <v>69</v>
      </c>
      <c r="C36">
        <v>1299</v>
      </c>
      <c r="D36">
        <v>25</v>
      </c>
    </row>
    <row r="37" spans="1:4" x14ac:dyDescent="0.3">
      <c r="A37" t="s">
        <v>70</v>
      </c>
      <c r="B37" t="s">
        <v>69</v>
      </c>
      <c r="C37">
        <v>5499</v>
      </c>
      <c r="D37">
        <v>10</v>
      </c>
    </row>
    <row r="38" spans="1:4" x14ac:dyDescent="0.3">
      <c r="A38" t="s">
        <v>103</v>
      </c>
      <c r="B38" t="s">
        <v>55</v>
      </c>
      <c r="C38">
        <v>999</v>
      </c>
      <c r="D38">
        <v>999</v>
      </c>
    </row>
    <row r="39" spans="1:4" x14ac:dyDescent="0.3">
      <c r="A39" t="s">
        <v>88</v>
      </c>
      <c r="B39" t="s">
        <v>55</v>
      </c>
      <c r="C39">
        <v>2499</v>
      </c>
      <c r="D39">
        <v>999</v>
      </c>
    </row>
    <row r="40" spans="1:4" x14ac:dyDescent="0.3">
      <c r="A40" t="s">
        <v>92</v>
      </c>
      <c r="B40" t="s">
        <v>55</v>
      </c>
      <c r="C40">
        <v>799</v>
      </c>
      <c r="D40">
        <v>999</v>
      </c>
    </row>
    <row r="41" spans="1:4" x14ac:dyDescent="0.3">
      <c r="A41" t="s">
        <v>56</v>
      </c>
      <c r="B41" t="s">
        <v>55</v>
      </c>
      <c r="C41">
        <v>3999</v>
      </c>
      <c r="D41">
        <v>999</v>
      </c>
    </row>
    <row r="42" spans="1:4" x14ac:dyDescent="0.3">
      <c r="A42" t="s">
        <v>73</v>
      </c>
      <c r="B42" t="s">
        <v>55</v>
      </c>
      <c r="C42">
        <v>5499</v>
      </c>
      <c r="D42">
        <v>999</v>
      </c>
    </row>
    <row r="43" spans="1:4" x14ac:dyDescent="0.3">
      <c r="A43" t="s">
        <v>79</v>
      </c>
      <c r="B43" t="s">
        <v>55</v>
      </c>
      <c r="C43">
        <v>599</v>
      </c>
      <c r="D43">
        <v>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9"/>
  <sheetViews>
    <sheetView showGridLines="0" zoomScaleNormal="100" workbookViewId="0">
      <pane ySplit="4" topLeftCell="A5" activePane="bottomLeft" state="frozen"/>
      <selection activeCell="C1" sqref="C1"/>
      <selection pane="bottomLeft" activeCell="K4" sqref="K4"/>
    </sheetView>
  </sheetViews>
  <sheetFormatPr defaultColWidth="8.6640625" defaultRowHeight="14.4" x14ac:dyDescent="0.3"/>
  <cols>
    <col min="1" max="1" width="10" customWidth="1"/>
    <col min="2" max="2" width="9" customWidth="1"/>
    <col min="3" max="4" width="22" customWidth="1"/>
    <col min="5" max="5" width="16" customWidth="1"/>
    <col min="6" max="6" width="13" customWidth="1"/>
    <col min="7" max="7" width="10" customWidth="1"/>
    <col min="8" max="8" width="16" customWidth="1"/>
    <col min="9" max="10" width="18" customWidth="1"/>
    <col min="11" max="11" width="15.109375" bestFit="1" customWidth="1"/>
  </cols>
  <sheetData>
    <row r="1" spans="1:12" s="22" customFormat="1" x14ac:dyDescent="0.3">
      <c r="A1" s="24" t="s">
        <v>24</v>
      </c>
      <c r="B1" s="24" t="s">
        <v>25</v>
      </c>
      <c r="C1" s="24" t="s">
        <v>26</v>
      </c>
      <c r="D1" s="24" t="s">
        <v>208</v>
      </c>
      <c r="E1" s="24" t="s">
        <v>28</v>
      </c>
      <c r="F1" s="24" t="s">
        <v>29</v>
      </c>
      <c r="G1" s="24" t="s">
        <v>200</v>
      </c>
      <c r="H1" s="24" t="s">
        <v>201</v>
      </c>
      <c r="I1" s="24" t="s">
        <v>32</v>
      </c>
      <c r="J1" s="24" t="s">
        <v>202</v>
      </c>
      <c r="K1" s="24" t="s">
        <v>34</v>
      </c>
      <c r="L1" s="24" t="s">
        <v>207</v>
      </c>
    </row>
    <row r="2" spans="1:12" x14ac:dyDescent="0.3">
      <c r="A2" s="29" t="s">
        <v>151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41.4" x14ac:dyDescent="0.3">
      <c r="A4" s="30" t="s">
        <v>24</v>
      </c>
      <c r="B4" s="30" t="s">
        <v>134</v>
      </c>
      <c r="C4" s="30" t="s">
        <v>152</v>
      </c>
      <c r="D4" s="30" t="s">
        <v>29</v>
      </c>
      <c r="E4" s="30" t="s">
        <v>153</v>
      </c>
      <c r="F4" s="30" t="s">
        <v>154</v>
      </c>
      <c r="G4" s="30" t="s">
        <v>30</v>
      </c>
      <c r="H4" s="30" t="s">
        <v>155</v>
      </c>
      <c r="I4" s="30" t="s">
        <v>156</v>
      </c>
      <c r="J4" s="50" t="s">
        <v>157</v>
      </c>
      <c r="K4" s="51" t="s">
        <v>136</v>
      </c>
      <c r="L4" s="51" t="s">
        <v>27</v>
      </c>
    </row>
    <row r="5" spans="1:12" x14ac:dyDescent="0.3">
      <c r="A5" s="25">
        <v>5002</v>
      </c>
      <c r="B5" s="25" t="s">
        <v>143</v>
      </c>
      <c r="C5" s="31" t="str">
        <f>VLOOKUP(B5,Lookup_Tables!$A$4:$B$9,2,FALSE)</f>
        <v>Meera Krishnan</v>
      </c>
      <c r="D5" s="25" t="s">
        <v>38</v>
      </c>
      <c r="E5" s="31" t="str">
        <f>INDEX(Lookup_Tables!$B$14:$B$43,MATCH(Formulas_Practice!D5,Lookup_Tables!$A$14:$A$43,0))</f>
        <v>Electronics</v>
      </c>
      <c r="F5" s="31">
        <f>VLOOKUP(D5,Lookup_Tables!$A$13:$C$43,3,FALSE)</f>
        <v>2999</v>
      </c>
      <c r="G5" s="25">
        <v>7</v>
      </c>
      <c r="H5" s="31">
        <f>G5*F5</f>
        <v>20993</v>
      </c>
      <c r="I5" s="31" t="str" cm="1">
        <f t="array" ref="I5">_xlfn.IFS(G5&lt;5,"No Discount",G5&lt;10,"5-10 Tier Discount",G5&gt;=10,"10+ Tier Discount")</f>
        <v>5-10 Tier Discount</v>
      </c>
      <c r="J5" s="31" t="str">
        <f>IF(H5&gt;50000,"High",IF(H5&lt;15000,"Medium","Standard"))</f>
        <v>Standard</v>
      </c>
      <c r="K5" s="25" t="str">
        <f>VLOOKUP(B5,Lookup_Tables!$A$4:$E$9,3,FALSE)</f>
        <v>Enterprise Sales</v>
      </c>
      <c r="L5" s="25" t="str">
        <f>INDEX(Lookup_Tables!$D$4:$D$9,MATCH(Formulas_Practice!K5,Lookup_Tables!$C$4:$C$9,0))</f>
        <v>North</v>
      </c>
    </row>
    <row r="6" spans="1:12" x14ac:dyDescent="0.3">
      <c r="A6" s="25">
        <v>5003</v>
      </c>
      <c r="B6" s="25" t="s">
        <v>139</v>
      </c>
      <c r="C6" s="31" t="str">
        <f>VLOOKUP(B6,Lookup_Tables!$A$4:$B$9,2,FALSE)</f>
        <v>Reetu Sharma</v>
      </c>
      <c r="D6" s="25" t="s">
        <v>99</v>
      </c>
      <c r="E6" s="31" t="str">
        <f>INDEX(Lookup_Tables!$B$14:$B$43,MATCH(Formulas_Practice!D6,Lookup_Tables!$A$14:$A$43,0))</f>
        <v>Electronics</v>
      </c>
      <c r="F6" s="31">
        <f>VLOOKUP(D6,Lookup_Tables!$A$13:$C$43,3,FALSE)</f>
        <v>12999</v>
      </c>
      <c r="G6" s="25">
        <v>9</v>
      </c>
      <c r="H6" s="31">
        <f t="shared" ref="H6:H29" si="0">G6*F6</f>
        <v>116991</v>
      </c>
      <c r="I6" s="31" t="str" cm="1">
        <f t="array" ref="I6">_xlfn.IFS(G6&lt;5,"No Discount",G6&lt;10,"5-10 Tier Discount",G6&gt;=10,"10+ Tier Discount")</f>
        <v>5-10 Tier Discount</v>
      </c>
      <c r="J6" s="31" t="str">
        <f t="shared" ref="J6:J29" si="1">IF(H6&gt;50000,"High",IF(H6&lt;15000,"Medium","Standard"))</f>
        <v>High</v>
      </c>
      <c r="K6" s="25" t="str">
        <f>VLOOKUP(B6,Lookup_Tables!$A$4:$E$9,3,FALSE)</f>
        <v>Enterprise Sales</v>
      </c>
      <c r="L6" s="25" t="str">
        <f>INDEX(Lookup_Tables!$D$4:$D$9,MATCH(Formulas_Practice!K6,Lookup_Tables!$C$4:$C$9,0))</f>
        <v>North</v>
      </c>
    </row>
    <row r="7" spans="1:12" x14ac:dyDescent="0.3">
      <c r="A7" s="25">
        <v>5004</v>
      </c>
      <c r="B7" s="25" t="s">
        <v>139</v>
      </c>
      <c r="C7" s="31" t="str">
        <f>VLOOKUP(B7,Lookup_Tables!$A$4:$B$9,2,FALSE)</f>
        <v>Reetu Sharma</v>
      </c>
      <c r="D7" s="25" t="s">
        <v>90</v>
      </c>
      <c r="E7" s="31" t="str">
        <f>INDEX(Lookup_Tables!$B$14:$B$43,MATCH(Formulas_Practice!D7,Lookup_Tables!$A$14:$A$43,0))</f>
        <v>Office Supplies</v>
      </c>
      <c r="F7" s="31">
        <f>VLOOKUP(D7,Lookup_Tables!$A$13:$C$43,3,FALSE)</f>
        <v>199</v>
      </c>
      <c r="G7" s="25">
        <v>10</v>
      </c>
      <c r="H7" s="31">
        <f t="shared" si="0"/>
        <v>1990</v>
      </c>
      <c r="I7" s="31" t="str" cm="1">
        <f t="array" ref="I7">_xlfn.IFS(G7&lt;5,"No Discount",G7&lt;10,"5-10 Tier Discount",G7&gt;=10,"10+ Tier Discount")</f>
        <v>10+ Tier Discount</v>
      </c>
      <c r="J7" s="31" t="str">
        <f t="shared" si="1"/>
        <v>Medium</v>
      </c>
      <c r="K7" s="25" t="str">
        <f>VLOOKUP(B7,Lookup_Tables!$A$4:$E$9,3,FALSE)</f>
        <v>Enterprise Sales</v>
      </c>
      <c r="L7" s="25" t="str">
        <f>INDEX(Lookup_Tables!$D$4:$D$9,MATCH(Formulas_Practice!K7,Lookup_Tables!$C$4:$C$9,0))</f>
        <v>North</v>
      </c>
    </row>
    <row r="8" spans="1:12" x14ac:dyDescent="0.3">
      <c r="A8" s="25">
        <v>5005</v>
      </c>
      <c r="B8" s="25" t="s">
        <v>139</v>
      </c>
      <c r="C8" s="31" t="str">
        <f>VLOOKUP(B8,Lookup_Tables!$A$4:$B$9,2,FALSE)</f>
        <v>Reetu Sharma</v>
      </c>
      <c r="D8" s="25" t="s">
        <v>79</v>
      </c>
      <c r="E8" s="31" t="str">
        <f>INDEX(Lookup_Tables!$B$14:$B$43,MATCH(Formulas_Practice!D8,Lookup_Tables!$A$14:$A$43,0))</f>
        <v>Software</v>
      </c>
      <c r="F8" s="31">
        <f>VLOOKUP(D8,Lookup_Tables!$A$13:$C$43,3,FALSE)</f>
        <v>599</v>
      </c>
      <c r="G8" s="25">
        <v>9</v>
      </c>
      <c r="H8" s="31">
        <f t="shared" si="0"/>
        <v>5391</v>
      </c>
      <c r="I8" s="31" t="str" cm="1">
        <f t="array" ref="I8">_xlfn.IFS(G8&lt;5,"No Discount",G8&lt;10,"5-10 Tier Discount",G8&gt;=10,"10+ Tier Discount")</f>
        <v>5-10 Tier Discount</v>
      </c>
      <c r="J8" s="31" t="str">
        <f t="shared" si="1"/>
        <v>Medium</v>
      </c>
      <c r="K8" s="25" t="str">
        <f>VLOOKUP(B8,Lookup_Tables!$A$4:$E$9,3,FALSE)</f>
        <v>Enterprise Sales</v>
      </c>
      <c r="L8" s="25" t="str">
        <f>INDEX(Lookup_Tables!$D$4:$D$9,MATCH(Formulas_Practice!K8,Lookup_Tables!$C$4:$C$9,0))</f>
        <v>North</v>
      </c>
    </row>
    <row r="9" spans="1:12" x14ac:dyDescent="0.3">
      <c r="A9" s="25">
        <v>5006</v>
      </c>
      <c r="B9" s="25" t="s">
        <v>141</v>
      </c>
      <c r="C9" s="31" t="str">
        <f>VLOOKUP(B9,Lookup_Tables!$A$4:$B$9,2,FALSE)</f>
        <v>James Fernandes</v>
      </c>
      <c r="D9" s="25" t="s">
        <v>66</v>
      </c>
      <c r="E9" s="31" t="str">
        <f>INDEX(Lookup_Tables!$B$14:$B$43,MATCH(Formulas_Practice!D9,Lookup_Tables!$A$14:$A$43,0))</f>
        <v>Electronics</v>
      </c>
      <c r="F9" s="31">
        <f>VLOOKUP(D9,Lookup_Tables!$A$13:$C$43,3,FALSE)</f>
        <v>1499</v>
      </c>
      <c r="G9" s="25">
        <v>2</v>
      </c>
      <c r="H9" s="31">
        <f t="shared" si="0"/>
        <v>2998</v>
      </c>
      <c r="I9" s="31" t="str" cm="1">
        <f t="array" ref="I9">_xlfn.IFS(G9&lt;5,"No Discount",G9&lt;10,"5-10 Tier Discount",G9&gt;=10,"10+ Tier Discount")</f>
        <v>No Discount</v>
      </c>
      <c r="J9" s="31" t="str">
        <f t="shared" si="1"/>
        <v>Medium</v>
      </c>
      <c r="K9" s="25" t="str">
        <f>VLOOKUP(B9,Lookup_Tables!$A$4:$E$9,3,FALSE)</f>
        <v>SMB Sales</v>
      </c>
      <c r="L9" s="25" t="str">
        <f>INDEX(Lookup_Tables!$D$4:$D$9,MATCH(Formulas_Practice!K9,Lookup_Tables!$C$4:$C$9,0))</f>
        <v>West</v>
      </c>
    </row>
    <row r="10" spans="1:12" x14ac:dyDescent="0.3">
      <c r="A10" s="25">
        <v>5007</v>
      </c>
      <c r="B10" s="25" t="s">
        <v>144</v>
      </c>
      <c r="C10" s="31" t="str">
        <f>VLOOKUP(B10,Lookup_Tables!$A$4:$B$9,2,FALSE)</f>
        <v>Alok Bansal</v>
      </c>
      <c r="D10" s="25" t="s">
        <v>102</v>
      </c>
      <c r="E10" s="31" t="str">
        <f>INDEX(Lookup_Tables!$B$14:$B$43,MATCH(Formulas_Practice!D10,Lookup_Tables!$A$14:$A$43,0))</f>
        <v>Office Supplies</v>
      </c>
      <c r="F10" s="31">
        <f>VLOOKUP(D10,Lookup_Tables!$A$13:$C$43,3,FALSE)</f>
        <v>899</v>
      </c>
      <c r="G10" s="25">
        <v>2</v>
      </c>
      <c r="H10" s="31">
        <f t="shared" si="0"/>
        <v>1798</v>
      </c>
      <c r="I10" s="31" t="str" cm="1">
        <f t="array" ref="I10">_xlfn.IFS(G10&lt;5,"No Discount",G10&lt;10,"5-10 Tier Discount",G10&gt;=10,"10+ Tier Discount")</f>
        <v>No Discount</v>
      </c>
      <c r="J10" s="31" t="str">
        <f t="shared" si="1"/>
        <v>Medium</v>
      </c>
      <c r="K10" s="25" t="str">
        <f>VLOOKUP(B10,Lookup_Tables!$A$4:$E$9,3,FALSE)</f>
        <v>SMB Sales</v>
      </c>
      <c r="L10" s="25" t="str">
        <f>INDEX(Lookup_Tables!$D$4:$D$9,MATCH(Formulas_Practice!K10,Lookup_Tables!$C$4:$C$9,0))</f>
        <v>West</v>
      </c>
    </row>
    <row r="11" spans="1:12" x14ac:dyDescent="0.3">
      <c r="A11" s="25">
        <v>5008</v>
      </c>
      <c r="B11" s="25" t="s">
        <v>141</v>
      </c>
      <c r="C11" s="31" t="str">
        <f>VLOOKUP(B11,Lookup_Tables!$A$4:$B$9,2,FALSE)</f>
        <v>James Fernandes</v>
      </c>
      <c r="D11" s="25" t="s">
        <v>99</v>
      </c>
      <c r="E11" s="31" t="str">
        <f>INDEX(Lookup_Tables!$B$14:$B$43,MATCH(Formulas_Practice!D11,Lookup_Tables!$A$14:$A$43,0))</f>
        <v>Electronics</v>
      </c>
      <c r="F11" s="31">
        <f>VLOOKUP(D11,Lookup_Tables!$A$13:$C$43,3,FALSE)</f>
        <v>12999</v>
      </c>
      <c r="G11" s="25">
        <v>9</v>
      </c>
      <c r="H11" s="31">
        <f t="shared" si="0"/>
        <v>116991</v>
      </c>
      <c r="I11" s="31" t="str" cm="1">
        <f t="array" ref="I11">_xlfn.IFS(G11&lt;5,"No Discount",G11&lt;10,"5-10 Tier Discount",G11&gt;=10,"10+ Tier Discount")</f>
        <v>5-10 Tier Discount</v>
      </c>
      <c r="J11" s="31" t="str">
        <f t="shared" si="1"/>
        <v>High</v>
      </c>
      <c r="K11" s="25" t="str">
        <f>VLOOKUP(B11,Lookup_Tables!$A$4:$E$9,3,FALSE)</f>
        <v>SMB Sales</v>
      </c>
      <c r="L11" s="25" t="str">
        <f>INDEX(Lookup_Tables!$D$4:$D$9,MATCH(Formulas_Practice!K11,Lookup_Tables!$C$4:$C$9,0))</f>
        <v>West</v>
      </c>
    </row>
    <row r="12" spans="1:12" x14ac:dyDescent="0.3">
      <c r="A12" s="25">
        <v>5009</v>
      </c>
      <c r="B12" s="25" t="s">
        <v>144</v>
      </c>
      <c r="C12" s="31" t="str">
        <f>VLOOKUP(B12,Lookup_Tables!$A$4:$B$9,2,FALSE)</f>
        <v>Alok Bansal</v>
      </c>
      <c r="D12" s="25" t="s">
        <v>66</v>
      </c>
      <c r="E12" s="31" t="str">
        <f>INDEX(Lookup_Tables!$B$14:$B$43,MATCH(Formulas_Practice!D12,Lookup_Tables!$A$14:$A$43,0))</f>
        <v>Electronics</v>
      </c>
      <c r="F12" s="31">
        <f>VLOOKUP(D12,Lookup_Tables!$A$13:$C$43,3,FALSE)</f>
        <v>1499</v>
      </c>
      <c r="G12" s="25">
        <v>10</v>
      </c>
      <c r="H12" s="31">
        <f t="shared" si="0"/>
        <v>14990</v>
      </c>
      <c r="I12" s="31" t="str" cm="1">
        <f t="array" ref="I12">_xlfn.IFS(G12&lt;5,"No Discount",G12&lt;10,"5-10 Tier Discount",G12&gt;=10,"10+ Tier Discount")</f>
        <v>10+ Tier Discount</v>
      </c>
      <c r="J12" s="31" t="str">
        <f t="shared" si="1"/>
        <v>Medium</v>
      </c>
      <c r="K12" s="25" t="str">
        <f>VLOOKUP(B12,Lookup_Tables!$A$4:$E$9,3,FALSE)</f>
        <v>SMB Sales</v>
      </c>
      <c r="L12" s="25" t="str">
        <f>INDEX(Lookup_Tables!$D$4:$D$9,MATCH(Formulas_Practice!K12,Lookup_Tables!$C$4:$C$9,0))</f>
        <v>West</v>
      </c>
    </row>
    <row r="13" spans="1:12" x14ac:dyDescent="0.3">
      <c r="A13" s="25">
        <v>5010</v>
      </c>
      <c r="B13" s="25" t="s">
        <v>139</v>
      </c>
      <c r="C13" s="31" t="str">
        <f>VLOOKUP(B13,Lookup_Tables!$A$4:$B$9,2,FALSE)</f>
        <v>Reetu Sharma</v>
      </c>
      <c r="D13" s="25" t="s">
        <v>43</v>
      </c>
      <c r="E13" s="31" t="str">
        <f>INDEX(Lookup_Tables!$B$14:$B$43,MATCH(Formulas_Practice!D13,Lookup_Tables!$A$14:$A$43,0))</f>
        <v>Electronics</v>
      </c>
      <c r="F13" s="31">
        <f>VLOOKUP(D13,Lookup_Tables!$A$13:$C$43,3,FALSE)</f>
        <v>6499</v>
      </c>
      <c r="G13" s="25">
        <v>11</v>
      </c>
      <c r="H13" s="31">
        <f t="shared" si="0"/>
        <v>71489</v>
      </c>
      <c r="I13" s="31" t="str" cm="1">
        <f t="array" ref="I13">_xlfn.IFS(G13&lt;5,"No Discount",G13&lt;10,"5-10 Tier Discount",G13&gt;=10,"10+ Tier Discount")</f>
        <v>10+ Tier Discount</v>
      </c>
      <c r="J13" s="31" t="str">
        <f t="shared" si="1"/>
        <v>High</v>
      </c>
      <c r="K13" s="25" t="str">
        <f>VLOOKUP(B13,Lookup_Tables!$A$4:$E$9,3,FALSE)</f>
        <v>Enterprise Sales</v>
      </c>
      <c r="L13" s="25" t="str">
        <f>INDEX(Lookup_Tables!$D$4:$D$9,MATCH(Formulas_Practice!K13,Lookup_Tables!$C$4:$C$9,0))</f>
        <v>North</v>
      </c>
    </row>
    <row r="14" spans="1:12" x14ac:dyDescent="0.3">
      <c r="A14" s="25">
        <v>5011</v>
      </c>
      <c r="B14" s="25" t="s">
        <v>145</v>
      </c>
      <c r="C14" s="31" t="str">
        <f>VLOOKUP(B14,Lookup_Tables!$A$4:$B$9,2,FALSE)</f>
        <v>Farah Khan</v>
      </c>
      <c r="D14" s="25" t="s">
        <v>66</v>
      </c>
      <c r="E14" s="31" t="str">
        <f>INDEX(Lookup_Tables!$B$14:$B$43,MATCH(Formulas_Practice!D14,Lookup_Tables!$A$14:$A$43,0))</f>
        <v>Electronics</v>
      </c>
      <c r="F14" s="31">
        <f>VLOOKUP(D14,Lookup_Tables!$A$13:$C$43,3,FALSE)</f>
        <v>1499</v>
      </c>
      <c r="G14" s="25">
        <v>10</v>
      </c>
      <c r="H14" s="31">
        <f t="shared" si="0"/>
        <v>14990</v>
      </c>
      <c r="I14" s="31" t="str" cm="1">
        <f t="array" ref="I14">_xlfn.IFS(G14&lt;5,"No Discount",G14&lt;10,"5-10 Tier Discount",G14&gt;=10,"10+ Tier Discount")</f>
        <v>10+ Tier Discount</v>
      </c>
      <c r="J14" s="31" t="str">
        <f t="shared" si="1"/>
        <v>Medium</v>
      </c>
      <c r="K14" s="25" t="str">
        <f>VLOOKUP(B14,Lookup_Tables!$A$4:$E$9,3,FALSE)</f>
        <v>Key Accounts</v>
      </c>
      <c r="L14" s="25" t="str">
        <f>INDEX(Lookup_Tables!$D$4:$D$9,MATCH(Formulas_Practice!K14,Lookup_Tables!$C$4:$C$9,0))</f>
        <v>East</v>
      </c>
    </row>
    <row r="15" spans="1:12" x14ac:dyDescent="0.3">
      <c r="A15" s="25">
        <v>5012</v>
      </c>
      <c r="B15" s="25" t="s">
        <v>145</v>
      </c>
      <c r="C15" s="31" t="str">
        <f>VLOOKUP(B15,Lookup_Tables!$A$4:$B$9,2,FALSE)</f>
        <v>Farah Khan</v>
      </c>
      <c r="D15" s="25" t="s">
        <v>86</v>
      </c>
      <c r="E15" s="31" t="str">
        <f>INDEX(Lookup_Tables!$B$14:$B$43,MATCH(Formulas_Practice!D15,Lookup_Tables!$A$14:$A$43,0))</f>
        <v>Office Supplies</v>
      </c>
      <c r="F15" s="31">
        <f>VLOOKUP(D15,Lookup_Tables!$A$13:$C$43,3,FALSE)</f>
        <v>599</v>
      </c>
      <c r="G15" s="25">
        <v>1</v>
      </c>
      <c r="H15" s="31">
        <f t="shared" si="0"/>
        <v>599</v>
      </c>
      <c r="I15" s="31" t="str" cm="1">
        <f t="array" ref="I15">_xlfn.IFS(G15&lt;5,"No Discount",G15&lt;10,"5-10 Tier Discount",G15&gt;=10,"10+ Tier Discount")</f>
        <v>No Discount</v>
      </c>
      <c r="J15" s="31" t="str">
        <f t="shared" si="1"/>
        <v>Medium</v>
      </c>
      <c r="K15" s="25" t="str">
        <f>VLOOKUP(B15,Lookup_Tables!$A$4:$E$9,3,FALSE)</f>
        <v>Key Accounts</v>
      </c>
      <c r="L15" s="25" t="str">
        <f>INDEX(Lookup_Tables!$D$4:$D$9,MATCH(Formulas_Practice!K15,Lookup_Tables!$C$4:$C$9,0))</f>
        <v>East</v>
      </c>
    </row>
    <row r="16" spans="1:12" x14ac:dyDescent="0.3">
      <c r="A16" s="25">
        <v>5013</v>
      </c>
      <c r="B16" s="25" t="s">
        <v>141</v>
      </c>
      <c r="C16" s="31" t="str">
        <f>VLOOKUP(B16,Lookup_Tables!$A$4:$B$9,2,FALSE)</f>
        <v>James Fernandes</v>
      </c>
      <c r="D16" s="25" t="s">
        <v>66</v>
      </c>
      <c r="E16" s="31" t="str">
        <f>INDEX(Lookup_Tables!$B$14:$B$43,MATCH(Formulas_Practice!D16,Lookup_Tables!$A$14:$A$43,0))</f>
        <v>Electronics</v>
      </c>
      <c r="F16" s="31">
        <f>VLOOKUP(D16,Lookup_Tables!$A$13:$C$43,3,FALSE)</f>
        <v>1499</v>
      </c>
      <c r="G16" s="25">
        <v>9</v>
      </c>
      <c r="H16" s="31">
        <f t="shared" si="0"/>
        <v>13491</v>
      </c>
      <c r="I16" s="31" t="str" cm="1">
        <f t="array" ref="I16">_xlfn.IFS(G16&lt;5,"No Discount",G16&lt;10,"5-10 Tier Discount",G16&gt;=10,"10+ Tier Discount")</f>
        <v>5-10 Tier Discount</v>
      </c>
      <c r="J16" s="31" t="str">
        <f t="shared" si="1"/>
        <v>Medium</v>
      </c>
      <c r="K16" s="25" t="str">
        <f>VLOOKUP(B16,Lookup_Tables!$A$4:$E$9,3,FALSE)</f>
        <v>SMB Sales</v>
      </c>
      <c r="L16" s="25" t="str">
        <f>INDEX(Lookup_Tables!$D$4:$D$9,MATCH(Formulas_Practice!K16,Lookup_Tables!$C$4:$C$9,0))</f>
        <v>West</v>
      </c>
    </row>
    <row r="17" spans="1:12" x14ac:dyDescent="0.3">
      <c r="A17" s="25">
        <v>5014</v>
      </c>
      <c r="B17" s="25" t="s">
        <v>141</v>
      </c>
      <c r="C17" s="31" t="str">
        <f>VLOOKUP(B17,Lookup_Tables!$A$4:$B$9,2,FALSE)</f>
        <v>James Fernandes</v>
      </c>
      <c r="D17" s="25" t="s">
        <v>60</v>
      </c>
      <c r="E17" s="31" t="str">
        <f>INDEX(Lookup_Tables!$B$14:$B$43,MATCH(Formulas_Practice!D17,Lookup_Tables!$A$14:$A$43,0))</f>
        <v>Office Supplies</v>
      </c>
      <c r="F17" s="31">
        <f>VLOOKUP(D17,Lookup_Tables!$A$13:$C$43,3,FALSE)</f>
        <v>349</v>
      </c>
      <c r="G17" s="25">
        <v>7</v>
      </c>
      <c r="H17" s="31">
        <f t="shared" si="0"/>
        <v>2443</v>
      </c>
      <c r="I17" s="31" t="str" cm="1">
        <f t="array" ref="I17">_xlfn.IFS(G17&lt;5,"No Discount",G17&lt;10,"5-10 Tier Discount",G17&gt;=10,"10+ Tier Discount")</f>
        <v>5-10 Tier Discount</v>
      </c>
      <c r="J17" s="31" t="str">
        <f t="shared" si="1"/>
        <v>Medium</v>
      </c>
      <c r="K17" s="25" t="str">
        <f>VLOOKUP(B17,Lookup_Tables!$A$4:$E$9,3,FALSE)</f>
        <v>SMB Sales</v>
      </c>
      <c r="L17" s="25" t="str">
        <f>INDEX(Lookup_Tables!$D$4:$D$9,MATCH(Formulas_Practice!K17,Lookup_Tables!$C$4:$C$9,0))</f>
        <v>West</v>
      </c>
    </row>
    <row r="18" spans="1:12" x14ac:dyDescent="0.3">
      <c r="A18" s="25">
        <v>5015</v>
      </c>
      <c r="B18" s="25" t="s">
        <v>141</v>
      </c>
      <c r="C18" s="31" t="str">
        <f>VLOOKUP(B18,Lookup_Tables!$A$4:$B$9,2,FALSE)</f>
        <v>James Fernandes</v>
      </c>
      <c r="D18" s="25" t="s">
        <v>63</v>
      </c>
      <c r="E18" s="31" t="str">
        <f>INDEX(Lookup_Tables!$B$14:$B$43,MATCH(Formulas_Practice!D18,Lookup_Tables!$A$14:$A$43,0))</f>
        <v>Furniture</v>
      </c>
      <c r="F18" s="31">
        <f>VLOOKUP(D18,Lookup_Tables!$A$13:$C$43,3,FALSE)</f>
        <v>15999</v>
      </c>
      <c r="G18" s="25">
        <v>2</v>
      </c>
      <c r="H18" s="31">
        <f t="shared" si="0"/>
        <v>31998</v>
      </c>
      <c r="I18" s="31" t="str" cm="1">
        <f t="array" ref="I18">_xlfn.IFS(G18&lt;5,"No Discount",G18&lt;10,"5-10 Tier Discount",G18&gt;=10,"10+ Tier Discount")</f>
        <v>No Discount</v>
      </c>
      <c r="J18" s="31" t="str">
        <f t="shared" si="1"/>
        <v>Standard</v>
      </c>
      <c r="K18" s="25" t="str">
        <f>VLOOKUP(B18,Lookup_Tables!$A$4:$E$9,3,FALSE)</f>
        <v>SMB Sales</v>
      </c>
      <c r="L18" s="25" t="str">
        <f>INDEX(Lookup_Tables!$D$4:$D$9,MATCH(Formulas_Practice!K18,Lookup_Tables!$C$4:$C$9,0))</f>
        <v>West</v>
      </c>
    </row>
    <row r="19" spans="1:12" x14ac:dyDescent="0.3">
      <c r="A19" s="25">
        <v>5016</v>
      </c>
      <c r="B19" s="25" t="s">
        <v>145</v>
      </c>
      <c r="C19" s="31" t="str">
        <f>VLOOKUP(B19,Lookup_Tables!$A$4:$B$9,2,FALSE)</f>
        <v>Farah Khan</v>
      </c>
      <c r="D19" s="25" t="s">
        <v>60</v>
      </c>
      <c r="E19" s="31" t="str">
        <f>INDEX(Lookup_Tables!$B$14:$B$43,MATCH(Formulas_Practice!D19,Lookup_Tables!$A$14:$A$43,0))</f>
        <v>Office Supplies</v>
      </c>
      <c r="F19" s="31">
        <f>VLOOKUP(D19,Lookup_Tables!$A$13:$C$43,3,FALSE)</f>
        <v>349</v>
      </c>
      <c r="G19" s="25">
        <v>9</v>
      </c>
      <c r="H19" s="31">
        <f t="shared" si="0"/>
        <v>3141</v>
      </c>
      <c r="I19" s="31" t="str" cm="1">
        <f t="array" ref="I19">_xlfn.IFS(G19&lt;5,"No Discount",G19&lt;10,"5-10 Tier Discount",G19&gt;=10,"10+ Tier Discount")</f>
        <v>5-10 Tier Discount</v>
      </c>
      <c r="J19" s="31" t="str">
        <f t="shared" si="1"/>
        <v>Medium</v>
      </c>
      <c r="K19" s="25" t="str">
        <f>VLOOKUP(B19,Lookup_Tables!$A$4:$E$9,3,FALSE)</f>
        <v>Key Accounts</v>
      </c>
      <c r="L19" s="25" t="str">
        <f>INDEX(Lookup_Tables!$D$4:$D$9,MATCH(Formulas_Practice!K19,Lookup_Tables!$C$4:$C$9,0))</f>
        <v>East</v>
      </c>
    </row>
    <row r="20" spans="1:12" x14ac:dyDescent="0.3">
      <c r="A20" s="25">
        <v>5017</v>
      </c>
      <c r="B20" s="25" t="s">
        <v>141</v>
      </c>
      <c r="C20" s="31" t="str">
        <f>VLOOKUP(B20,Lookup_Tables!$A$4:$B$9,2,FALSE)</f>
        <v>James Fernandes</v>
      </c>
      <c r="D20" s="25" t="s">
        <v>105</v>
      </c>
      <c r="E20" s="31" t="str">
        <f>INDEX(Lookup_Tables!$B$14:$B$43,MATCH(Formulas_Practice!D20,Lookup_Tables!$A$14:$A$43,0))</f>
        <v>Electronics</v>
      </c>
      <c r="F20" s="31">
        <f>VLOOKUP(D20,Lookup_Tables!$A$13:$C$43,3,FALSE)</f>
        <v>1199</v>
      </c>
      <c r="G20" s="25">
        <v>10</v>
      </c>
      <c r="H20" s="31">
        <f t="shared" si="0"/>
        <v>11990</v>
      </c>
      <c r="I20" s="31" t="str" cm="1">
        <f t="array" ref="I20">_xlfn.IFS(G20&lt;5,"No Discount",G20&lt;10,"5-10 Tier Discount",G20&gt;=10,"10+ Tier Discount")</f>
        <v>10+ Tier Discount</v>
      </c>
      <c r="J20" s="31" t="str">
        <f t="shared" si="1"/>
        <v>Medium</v>
      </c>
      <c r="K20" s="25" t="str">
        <f>VLOOKUP(B20,Lookup_Tables!$A$4:$E$9,3,FALSE)</f>
        <v>SMB Sales</v>
      </c>
      <c r="L20" s="25" t="str">
        <f>INDEX(Lookup_Tables!$D$4:$D$9,MATCH(Formulas_Practice!K20,Lookup_Tables!$C$4:$C$9,0))</f>
        <v>West</v>
      </c>
    </row>
    <row r="21" spans="1:12" x14ac:dyDescent="0.3">
      <c r="A21" s="25">
        <v>5018</v>
      </c>
      <c r="B21" s="25" t="s">
        <v>145</v>
      </c>
      <c r="C21" s="31" t="str">
        <f>VLOOKUP(B21,Lookup_Tables!$A$4:$B$9,2,FALSE)</f>
        <v>Farah Khan</v>
      </c>
      <c r="D21" s="25" t="s">
        <v>85</v>
      </c>
      <c r="E21" s="31" t="str">
        <f>INDEX(Lookup_Tables!$B$14:$B$43,MATCH(Formulas_Practice!D21,Lookup_Tables!$A$14:$A$43,0))</f>
        <v>Furniture</v>
      </c>
      <c r="F21" s="31">
        <f>VLOOKUP(D21,Lookup_Tables!$A$13:$C$43,3,FALSE)</f>
        <v>24999</v>
      </c>
      <c r="G21" s="25">
        <v>4</v>
      </c>
      <c r="H21" s="31">
        <f t="shared" si="0"/>
        <v>99996</v>
      </c>
      <c r="I21" s="31" t="str" cm="1">
        <f t="array" ref="I21">_xlfn.IFS(G21&lt;5,"No Discount",G21&lt;10,"5-10 Tier Discount",G21&gt;=10,"10+ Tier Discount")</f>
        <v>No Discount</v>
      </c>
      <c r="J21" s="31" t="str">
        <f t="shared" si="1"/>
        <v>High</v>
      </c>
      <c r="K21" s="25" t="str">
        <f>VLOOKUP(B21,Lookup_Tables!$A$4:$E$9,3,FALSE)</f>
        <v>Key Accounts</v>
      </c>
      <c r="L21" s="25" t="str">
        <f>INDEX(Lookup_Tables!$D$4:$D$9,MATCH(Formulas_Practice!K21,Lookup_Tables!$C$4:$C$9,0))</f>
        <v>East</v>
      </c>
    </row>
    <row r="22" spans="1:12" x14ac:dyDescent="0.3">
      <c r="A22" s="25">
        <v>5019</v>
      </c>
      <c r="B22" s="25" t="s">
        <v>143</v>
      </c>
      <c r="C22" s="31" t="str">
        <f>VLOOKUP(B22,Lookup_Tables!$A$4:$B$9,2,FALSE)</f>
        <v>Meera Krishnan</v>
      </c>
      <c r="D22" s="25" t="s">
        <v>105</v>
      </c>
      <c r="E22" s="31" t="str">
        <f>INDEX(Lookup_Tables!$B$14:$B$43,MATCH(Formulas_Practice!D22,Lookup_Tables!$A$14:$A$43,0))</f>
        <v>Electronics</v>
      </c>
      <c r="F22" s="31">
        <f>VLOOKUP(D22,Lookup_Tables!$A$13:$C$43,3,FALSE)</f>
        <v>1199</v>
      </c>
      <c r="G22" s="25">
        <v>9</v>
      </c>
      <c r="H22" s="31">
        <f t="shared" si="0"/>
        <v>10791</v>
      </c>
      <c r="I22" s="31" t="str" cm="1">
        <f t="array" ref="I22">_xlfn.IFS(G22&lt;5,"No Discount",G22&lt;10,"5-10 Tier Discount",G22&gt;=10,"10+ Tier Discount")</f>
        <v>5-10 Tier Discount</v>
      </c>
      <c r="J22" s="31" t="str">
        <f t="shared" si="1"/>
        <v>Medium</v>
      </c>
      <c r="K22" s="25" t="str">
        <f>VLOOKUP(B22,Lookup_Tables!$A$4:$E$9,3,FALSE)</f>
        <v>Enterprise Sales</v>
      </c>
      <c r="L22" s="25" t="str">
        <f>INDEX(Lookup_Tables!$D$4:$D$9,MATCH(Formulas_Practice!K22,Lookup_Tables!$C$4:$C$9,0))</f>
        <v>North</v>
      </c>
    </row>
    <row r="23" spans="1:12" x14ac:dyDescent="0.3">
      <c r="A23" s="25">
        <v>5020</v>
      </c>
      <c r="B23" s="25" t="s">
        <v>139</v>
      </c>
      <c r="C23" s="31" t="str">
        <f>VLOOKUP(B23,Lookup_Tables!$A$4:$B$9,2,FALSE)</f>
        <v>Reetu Sharma</v>
      </c>
      <c r="D23" s="25" t="s">
        <v>104</v>
      </c>
      <c r="E23" s="31" t="str">
        <f>INDEX(Lookup_Tables!$B$14:$B$43,MATCH(Formulas_Practice!D23,Lookup_Tables!$A$14:$A$43,0))</f>
        <v>Furniture</v>
      </c>
      <c r="F23" s="31">
        <f>VLOOKUP(D23,Lookup_Tables!$A$13:$C$43,3,FALSE)</f>
        <v>4999</v>
      </c>
      <c r="G23" s="25">
        <v>1</v>
      </c>
      <c r="H23" s="31">
        <f t="shared" si="0"/>
        <v>4999</v>
      </c>
      <c r="I23" s="31" t="str" cm="1">
        <f t="array" ref="I23">_xlfn.IFS(G23&lt;5,"No Discount",G23&lt;10,"5-10 Tier Discount",G23&gt;=10,"10+ Tier Discount")</f>
        <v>No Discount</v>
      </c>
      <c r="J23" s="31" t="str">
        <f t="shared" si="1"/>
        <v>Medium</v>
      </c>
      <c r="K23" s="25" t="str">
        <f>VLOOKUP(B23,Lookup_Tables!$A$4:$E$9,3,FALSE)</f>
        <v>Enterprise Sales</v>
      </c>
      <c r="L23" s="25" t="str">
        <f>INDEX(Lookup_Tables!$D$4:$D$9,MATCH(Formulas_Practice!K23,Lookup_Tables!$C$4:$C$9,0))</f>
        <v>North</v>
      </c>
    </row>
    <row r="24" spans="1:12" x14ac:dyDescent="0.3">
      <c r="A24" s="25">
        <v>5021</v>
      </c>
      <c r="B24" s="25" t="s">
        <v>145</v>
      </c>
      <c r="C24" s="31" t="str">
        <f>VLOOKUP(B24,Lookup_Tables!$A$4:$B$9,2,FALSE)</f>
        <v>Farah Khan</v>
      </c>
      <c r="D24" s="25" t="s">
        <v>100</v>
      </c>
      <c r="E24" s="31" t="str">
        <f>INDEX(Lookup_Tables!$B$14:$B$43,MATCH(Formulas_Practice!D24,Lookup_Tables!$A$14:$A$43,0))</f>
        <v>Electronics</v>
      </c>
      <c r="F24" s="31">
        <f>VLOOKUP(D24,Lookup_Tables!$A$13:$C$43,3,FALSE)</f>
        <v>5999</v>
      </c>
      <c r="G24" s="25">
        <v>8</v>
      </c>
      <c r="H24" s="31">
        <f t="shared" si="0"/>
        <v>47992</v>
      </c>
      <c r="I24" s="31" t="str" cm="1">
        <f t="array" ref="I24">_xlfn.IFS(G24&lt;5,"No Discount",G24&lt;10,"5-10 Tier Discount",G24&gt;=10,"10+ Tier Discount")</f>
        <v>5-10 Tier Discount</v>
      </c>
      <c r="J24" s="31" t="str">
        <f t="shared" si="1"/>
        <v>Standard</v>
      </c>
      <c r="K24" s="25" t="str">
        <f>VLOOKUP(B24,Lookup_Tables!$A$4:$E$9,3,FALSE)</f>
        <v>Key Accounts</v>
      </c>
      <c r="L24" s="25" t="str">
        <f>INDEX(Lookup_Tables!$D$4:$D$9,MATCH(Formulas_Practice!K24,Lookup_Tables!$C$4:$C$9,0))</f>
        <v>East</v>
      </c>
    </row>
    <row r="25" spans="1:12" x14ac:dyDescent="0.3">
      <c r="A25" s="25">
        <v>5022</v>
      </c>
      <c r="B25" s="25" t="s">
        <v>145</v>
      </c>
      <c r="C25" s="31" t="str">
        <f>VLOOKUP(B25,Lookup_Tables!$A$4:$B$9,2,FALSE)</f>
        <v>Farah Khan</v>
      </c>
      <c r="D25" s="25" t="s">
        <v>102</v>
      </c>
      <c r="E25" s="31" t="str">
        <f>INDEX(Lookup_Tables!$B$14:$B$43,MATCH(Formulas_Practice!D25,Lookup_Tables!$A$14:$A$43,0))</f>
        <v>Office Supplies</v>
      </c>
      <c r="F25" s="31">
        <f>VLOOKUP(D25,Lookup_Tables!$A$13:$C$43,3,FALSE)</f>
        <v>899</v>
      </c>
      <c r="G25" s="25">
        <v>6</v>
      </c>
      <c r="H25" s="31">
        <f t="shared" si="0"/>
        <v>5394</v>
      </c>
      <c r="I25" s="31" t="str" cm="1">
        <f t="array" ref="I25">_xlfn.IFS(G25&lt;5,"No Discount",G25&lt;10,"5-10 Tier Discount",G25&gt;=10,"10+ Tier Discount")</f>
        <v>5-10 Tier Discount</v>
      </c>
      <c r="J25" s="31" t="str">
        <f t="shared" si="1"/>
        <v>Medium</v>
      </c>
      <c r="K25" s="25" t="str">
        <f>VLOOKUP(B25,Lookup_Tables!$A$4:$E$9,3,FALSE)</f>
        <v>Key Accounts</v>
      </c>
      <c r="L25" s="25" t="str">
        <f>INDEX(Lookup_Tables!$D$4:$D$9,MATCH(Formulas_Practice!K25,Lookup_Tables!$C$4:$C$9,0))</f>
        <v>East</v>
      </c>
    </row>
    <row r="26" spans="1:12" x14ac:dyDescent="0.3">
      <c r="A26" s="25">
        <v>5023</v>
      </c>
      <c r="B26" s="25" t="s">
        <v>144</v>
      </c>
      <c r="C26" s="31" t="str">
        <f>VLOOKUP(B26,Lookup_Tables!$A$4:$B$9,2,FALSE)</f>
        <v>Alok Bansal</v>
      </c>
      <c r="D26" s="25" t="s">
        <v>104</v>
      </c>
      <c r="E26" s="31" t="str">
        <f>INDEX(Lookup_Tables!$B$14:$B$43,MATCH(Formulas_Practice!D26,Lookup_Tables!$A$14:$A$43,0))</f>
        <v>Furniture</v>
      </c>
      <c r="F26" s="31">
        <f>VLOOKUP(D26,Lookup_Tables!$A$13:$C$43,3,FALSE)</f>
        <v>4999</v>
      </c>
      <c r="G26" s="25">
        <v>8</v>
      </c>
      <c r="H26" s="31">
        <f t="shared" si="0"/>
        <v>39992</v>
      </c>
      <c r="I26" s="31" t="str" cm="1">
        <f t="array" ref="I26">_xlfn.IFS(G26&lt;5,"No Discount",G26&lt;10,"5-10 Tier Discount",G26&gt;=10,"10+ Tier Discount")</f>
        <v>5-10 Tier Discount</v>
      </c>
      <c r="J26" s="31" t="str">
        <f t="shared" si="1"/>
        <v>Standard</v>
      </c>
      <c r="K26" s="25" t="str">
        <f>VLOOKUP(B26,Lookup_Tables!$A$4:$E$9,3,FALSE)</f>
        <v>SMB Sales</v>
      </c>
      <c r="L26" s="25" t="str">
        <f>INDEX(Lookup_Tables!$D$4:$D$9,MATCH(Formulas_Practice!K26,Lookup_Tables!$C$4:$C$9,0))</f>
        <v>West</v>
      </c>
    </row>
    <row r="27" spans="1:12" x14ac:dyDescent="0.3">
      <c r="A27" s="25">
        <v>5024</v>
      </c>
      <c r="B27" s="25" t="s">
        <v>143</v>
      </c>
      <c r="C27" s="31" t="str">
        <f>VLOOKUP(B27,Lookup_Tables!$A$4:$B$9,2,FALSE)</f>
        <v>Meera Krishnan</v>
      </c>
      <c r="D27" s="25" t="s">
        <v>60</v>
      </c>
      <c r="E27" s="31" t="str">
        <f>INDEX(Lookup_Tables!$B$14:$B$43,MATCH(Formulas_Practice!D27,Lookup_Tables!$A$14:$A$43,0))</f>
        <v>Office Supplies</v>
      </c>
      <c r="F27" s="31">
        <f>VLOOKUP(D27,Lookup_Tables!$A$13:$C$43,3,FALSE)</f>
        <v>349</v>
      </c>
      <c r="G27" s="25">
        <v>4</v>
      </c>
      <c r="H27" s="31">
        <f t="shared" si="0"/>
        <v>1396</v>
      </c>
      <c r="I27" s="31" t="str" cm="1">
        <f t="array" ref="I27">_xlfn.IFS(G27&lt;5,"No Discount",G27&lt;10,"5-10 Tier Discount",G27&gt;=10,"10+ Tier Discount")</f>
        <v>No Discount</v>
      </c>
      <c r="J27" s="31" t="str">
        <f t="shared" si="1"/>
        <v>Medium</v>
      </c>
      <c r="K27" s="25" t="str">
        <f>VLOOKUP(B27,Lookup_Tables!$A$4:$E$9,3,FALSE)</f>
        <v>Enterprise Sales</v>
      </c>
      <c r="L27" s="25" t="str">
        <f>INDEX(Lookup_Tables!$D$4:$D$9,MATCH(Formulas_Practice!K27,Lookup_Tables!$C$4:$C$9,0))</f>
        <v>North</v>
      </c>
    </row>
    <row r="28" spans="1:12" x14ac:dyDescent="0.3">
      <c r="A28" s="25">
        <v>5025</v>
      </c>
      <c r="B28" s="25" t="s">
        <v>141</v>
      </c>
      <c r="C28" s="31" t="str">
        <f>VLOOKUP(B28,Lookup_Tables!$A$4:$B$9,2,FALSE)</f>
        <v>James Fernandes</v>
      </c>
      <c r="D28" s="25" t="s">
        <v>83</v>
      </c>
      <c r="E28" s="31" t="str">
        <f>INDEX(Lookup_Tables!$B$14:$B$43,MATCH(Formulas_Practice!D28,Lookup_Tables!$A$14:$A$43,0))</f>
        <v>Furniture</v>
      </c>
      <c r="F28" s="31">
        <f>VLOOKUP(D28,Lookup_Tables!$A$13:$C$43,3,FALSE)</f>
        <v>1299</v>
      </c>
      <c r="G28" s="25">
        <v>4</v>
      </c>
      <c r="H28" s="31">
        <f t="shared" si="0"/>
        <v>5196</v>
      </c>
      <c r="I28" s="31" t="str" cm="1">
        <f t="array" ref="I28">_xlfn.IFS(G28&lt;5,"No Discount",G28&lt;10,"5-10 Tier Discount",G28&gt;=10,"10+ Tier Discount")</f>
        <v>No Discount</v>
      </c>
      <c r="J28" s="31" t="str">
        <f t="shared" si="1"/>
        <v>Medium</v>
      </c>
      <c r="K28" s="25" t="str">
        <f>VLOOKUP(B28,Lookup_Tables!$A$4:$E$9,3,FALSE)</f>
        <v>SMB Sales</v>
      </c>
      <c r="L28" s="25" t="str">
        <f>INDEX(Lookup_Tables!$D$4:$D$9,MATCH(Formulas_Practice!K28,Lookup_Tables!$C$4:$C$9,0))</f>
        <v>West</v>
      </c>
    </row>
    <row r="29" spans="1:12" x14ac:dyDescent="0.3">
      <c r="A29" s="25">
        <v>5026</v>
      </c>
      <c r="B29" s="25" t="s">
        <v>139</v>
      </c>
      <c r="C29" s="31" t="str">
        <f>VLOOKUP(B29,Lookup_Tables!$A$4:$B$9,2,FALSE)</f>
        <v>Reetu Sharma</v>
      </c>
      <c r="D29" s="25" t="s">
        <v>104</v>
      </c>
      <c r="E29" s="31" t="str">
        <f>INDEX(Lookup_Tables!$B$14:$B$43,MATCH(Formulas_Practice!D29,Lookup_Tables!$A$14:$A$43,0))</f>
        <v>Furniture</v>
      </c>
      <c r="F29" s="31">
        <f>VLOOKUP(D29,Lookup_Tables!$A$13:$C$43,3,FALSE)</f>
        <v>4999</v>
      </c>
      <c r="G29" s="25">
        <v>5</v>
      </c>
      <c r="H29" s="31">
        <f t="shared" si="0"/>
        <v>24995</v>
      </c>
      <c r="I29" s="31" t="str" cm="1">
        <f t="array" ref="I29">_xlfn.IFS(G29&lt;5,"No Discount",G29&lt;10,"5-10 Tier Discount",G29&gt;=10,"10+ Tier Discount")</f>
        <v>5-10 Tier Discount</v>
      </c>
      <c r="J29" s="31" t="str">
        <f t="shared" si="1"/>
        <v>Standard</v>
      </c>
      <c r="K29" s="25" t="str">
        <f>VLOOKUP(B29,Lookup_Tables!$A$4:$E$9,3,FALSE)</f>
        <v>Enterprise Sales</v>
      </c>
      <c r="L29" s="25" t="str">
        <f>INDEX(Lookup_Tables!$D$4:$D$9,MATCH(Formulas_Practice!K29,Lookup_Tables!$C$4:$C$9,0))</f>
        <v>North</v>
      </c>
    </row>
    <row r="30" spans="1:12" x14ac:dyDescent="0.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x14ac:dyDescent="0.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ht="15.6" x14ac:dyDescent="0.3">
      <c r="A32" s="32" t="s">
        <v>158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3">
      <c r="A33" s="33" t="s">
        <v>159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x14ac:dyDescent="0.3">
      <c r="A34" s="33" t="s">
        <v>160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3">
      <c r="A35" s="33" t="s">
        <v>161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3">
      <c r="A36" s="33" t="s">
        <v>162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x14ac:dyDescent="0.3">
      <c r="A37" s="33" t="s">
        <v>163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3">
      <c r="A38" s="33" t="s">
        <v>164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x14ac:dyDescent="0.3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3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3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x14ac:dyDescent="0.3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1:12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1:12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1:12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12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1:12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1:12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x14ac:dyDescent="0.3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x14ac:dyDescent="0.3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x14ac:dyDescent="0.3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x14ac:dyDescent="0.3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x14ac:dyDescent="0.3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x14ac:dyDescent="0.3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x14ac:dyDescent="0.3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x14ac:dyDescent="0.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x14ac:dyDescent="0.3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x14ac:dyDescent="0.3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x14ac:dyDescent="0.3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x14ac:dyDescent="0.3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x14ac:dyDescent="0.3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x14ac:dyDescent="0.3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 x14ac:dyDescent="0.3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x14ac:dyDescent="0.3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1:12" x14ac:dyDescent="0.3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x14ac:dyDescent="0.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x14ac:dyDescent="0.3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1:12" x14ac:dyDescent="0.3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spans="1:12" x14ac:dyDescent="0.3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1:12" x14ac:dyDescent="0.3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1:12" x14ac:dyDescent="0.3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spans="1:12" x14ac:dyDescent="0.3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1:12" x14ac:dyDescent="0.3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1:12" x14ac:dyDescent="0.3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1:12" x14ac:dyDescent="0.3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x14ac:dyDescent="0.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spans="1:12" x14ac:dyDescent="0.3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spans="1:12" x14ac:dyDescent="0.3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1:12" x14ac:dyDescent="0.3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spans="1:12" x14ac:dyDescent="0.3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spans="1:12" x14ac:dyDescent="0.3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1:12" x14ac:dyDescent="0.3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x14ac:dyDescent="0.3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spans="1:12" x14ac:dyDescent="0.3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x14ac:dyDescent="0.3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1:12" x14ac:dyDescent="0.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x14ac:dyDescent="0.3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2" x14ac:dyDescent="0.3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1:12" x14ac:dyDescent="0.3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1:12" x14ac:dyDescent="0.3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spans="1:12" x14ac:dyDescent="0.3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1:12" x14ac:dyDescent="0.3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x14ac:dyDescent="0.3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spans="1:12" x14ac:dyDescent="0.3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1:12" x14ac:dyDescent="0.3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1:12" x14ac:dyDescent="0.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1:12" x14ac:dyDescent="0.3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1:12" x14ac:dyDescent="0.3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1:12" x14ac:dyDescent="0.3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 x14ac:dyDescent="0.3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x14ac:dyDescent="0.3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spans="1:12" x14ac:dyDescent="0.3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1:12" x14ac:dyDescent="0.3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1:12" x14ac:dyDescent="0.3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x14ac:dyDescent="0.3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1:12" x14ac:dyDescent="0.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spans="1:12" x14ac:dyDescent="0.3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1:12" x14ac:dyDescent="0.3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spans="1:12" x14ac:dyDescent="0.3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x14ac:dyDescent="0.3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spans="1:12" x14ac:dyDescent="0.3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spans="1:12" x14ac:dyDescent="0.3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1:12" x14ac:dyDescent="0.3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spans="1:12" x14ac:dyDescent="0.3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spans="1:12" x14ac:dyDescent="0.3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1:12" x14ac:dyDescent="0.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1:12" x14ac:dyDescent="0.3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1:12" x14ac:dyDescent="0.3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1:12" x14ac:dyDescent="0.3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spans="1:12" x14ac:dyDescent="0.3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spans="1:12" x14ac:dyDescent="0.3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x14ac:dyDescent="0.3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spans="1:12" x14ac:dyDescent="0.3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1:12" x14ac:dyDescent="0.3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x14ac:dyDescent="0.3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1:12" x14ac:dyDescent="0.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spans="1:12" x14ac:dyDescent="0.3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spans="1:12" x14ac:dyDescent="0.3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spans="1:12" x14ac:dyDescent="0.3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1:12" x14ac:dyDescent="0.3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1:12" x14ac:dyDescent="0.3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spans="1:12" x14ac:dyDescent="0.3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spans="1:12" x14ac:dyDescent="0.3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spans="1:12" x14ac:dyDescent="0.3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spans="1:12" x14ac:dyDescent="0.3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spans="1:12" x14ac:dyDescent="0.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1:12" x14ac:dyDescent="0.3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1:12" x14ac:dyDescent="0.3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spans="1:12" x14ac:dyDescent="0.3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1:12" x14ac:dyDescent="0.3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1:12" x14ac:dyDescent="0.3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spans="1:12" x14ac:dyDescent="0.3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spans="1:12" x14ac:dyDescent="0.3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spans="1:12" x14ac:dyDescent="0.3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spans="1:12" x14ac:dyDescent="0.3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spans="1:12" x14ac:dyDescent="0.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spans="1:12" x14ac:dyDescent="0.3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spans="1:12" x14ac:dyDescent="0.3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spans="1:12" x14ac:dyDescent="0.3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spans="1:12" x14ac:dyDescent="0.3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spans="1:12" x14ac:dyDescent="0.3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spans="1:12" x14ac:dyDescent="0.3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spans="1:12" x14ac:dyDescent="0.3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spans="1:12" x14ac:dyDescent="0.3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spans="1:12" x14ac:dyDescent="0.3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 x14ac:dyDescent="0.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 x14ac:dyDescent="0.3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 x14ac:dyDescent="0.3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 x14ac:dyDescent="0.3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 x14ac:dyDescent="0.3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 x14ac:dyDescent="0.3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 x14ac:dyDescent="0.3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spans="1:12" x14ac:dyDescent="0.3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spans="1:12" x14ac:dyDescent="0.3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spans="1:12" x14ac:dyDescent="0.3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spans="1:12" x14ac:dyDescent="0.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spans="1:12" x14ac:dyDescent="0.3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spans="1:12" x14ac:dyDescent="0.3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spans="1:12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spans="1:12" x14ac:dyDescent="0.3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spans="1:12" x14ac:dyDescent="0.3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spans="1:12" x14ac:dyDescent="0.3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1:12" x14ac:dyDescent="0.3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spans="1:12" x14ac:dyDescent="0.3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spans="1:12" x14ac:dyDescent="0.3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spans="1:12" x14ac:dyDescent="0.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spans="1:12" x14ac:dyDescent="0.3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spans="1:12" x14ac:dyDescent="0.3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spans="1:12" x14ac:dyDescent="0.3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spans="1:12" x14ac:dyDescent="0.3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spans="1:12" x14ac:dyDescent="0.3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x14ac:dyDescent="0.3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x14ac:dyDescent="0.3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spans="1:12" x14ac:dyDescent="0.3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spans="1:12" x14ac:dyDescent="0.3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spans="1:12" x14ac:dyDescent="0.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spans="1:12" x14ac:dyDescent="0.3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spans="1:12" x14ac:dyDescent="0.3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spans="1:12" x14ac:dyDescent="0.3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spans="1:12" x14ac:dyDescent="0.3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spans="1:12" x14ac:dyDescent="0.3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spans="1:12" x14ac:dyDescent="0.3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spans="1:12" x14ac:dyDescent="0.3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spans="1:12" x14ac:dyDescent="0.3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x14ac:dyDescent="0.3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2" x14ac:dyDescent="0.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spans="1:12" x14ac:dyDescent="0.3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spans="1:12" x14ac:dyDescent="0.3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x14ac:dyDescent="0.3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spans="1:12" x14ac:dyDescent="0.3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spans="1:12" x14ac:dyDescent="0.3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1:12" x14ac:dyDescent="0.3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1:12" x14ac:dyDescent="0.3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spans="1:12" x14ac:dyDescent="0.3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spans="1:12" x14ac:dyDescent="0.3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spans="1:12" x14ac:dyDescent="0.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spans="1:12" x14ac:dyDescent="0.3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spans="1:12" x14ac:dyDescent="0.3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spans="1:12" x14ac:dyDescent="0.3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spans="1:12" x14ac:dyDescent="0.3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spans="1:12" x14ac:dyDescent="0.3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spans="1:12" x14ac:dyDescent="0.3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spans="1:12" x14ac:dyDescent="0.3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spans="1:12" x14ac:dyDescent="0.3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1:12" x14ac:dyDescent="0.3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spans="1:12" x14ac:dyDescent="0.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1:12" x14ac:dyDescent="0.3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spans="1:12" x14ac:dyDescent="0.3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spans="1:12" x14ac:dyDescent="0.3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spans="1:12" x14ac:dyDescent="0.3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spans="1:12" x14ac:dyDescent="0.3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 spans="1:12" x14ac:dyDescent="0.3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 spans="1:12" x14ac:dyDescent="0.3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 spans="1:12" x14ac:dyDescent="0.3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 spans="1:12" x14ac:dyDescent="0.3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 spans="1:12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 spans="1:12" x14ac:dyDescent="0.3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 spans="1:12" x14ac:dyDescent="0.3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 spans="1:12" x14ac:dyDescent="0.3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 spans="1:12" x14ac:dyDescent="0.3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 spans="1:12" x14ac:dyDescent="0.3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 spans="1:12" x14ac:dyDescent="0.3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 spans="1:12" x14ac:dyDescent="0.3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 spans="1:12" x14ac:dyDescent="0.3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 spans="1:12" x14ac:dyDescent="0.3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 spans="1:12" x14ac:dyDescent="0.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spans="1:12" x14ac:dyDescent="0.3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 spans="1:12" x14ac:dyDescent="0.3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 spans="1:12" x14ac:dyDescent="0.3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 spans="1:12" x14ac:dyDescent="0.3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spans="1:12" x14ac:dyDescent="0.3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 spans="1:12" x14ac:dyDescent="0.3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 spans="1:12" x14ac:dyDescent="0.3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 spans="1:12" x14ac:dyDescent="0.3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 spans="1:12" x14ac:dyDescent="0.3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 spans="1:12" x14ac:dyDescent="0.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 spans="1:12" x14ac:dyDescent="0.3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 spans="1:12" x14ac:dyDescent="0.3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 spans="1:12" x14ac:dyDescent="0.3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 spans="1:12" x14ac:dyDescent="0.3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 spans="1:12" x14ac:dyDescent="0.3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 spans="1:12" x14ac:dyDescent="0.3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2" x14ac:dyDescent="0.3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2" x14ac:dyDescent="0.3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x14ac:dyDescent="0.3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x14ac:dyDescent="0.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x14ac:dyDescent="0.3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x14ac:dyDescent="0.3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x14ac:dyDescent="0.3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x14ac:dyDescent="0.3">
      <c r="A317" s="25"/>
      <c r="B317" s="25"/>
      <c r="C317" s="25" t="s">
        <v>96</v>
      </c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x14ac:dyDescent="0.3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x14ac:dyDescent="0.3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x14ac:dyDescent="0.3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x14ac:dyDescent="0.3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x14ac:dyDescent="0.3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x14ac:dyDescent="0.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x14ac:dyDescent="0.3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x14ac:dyDescent="0.3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x14ac:dyDescent="0.3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2" x14ac:dyDescent="0.3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x14ac:dyDescent="0.3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x14ac:dyDescent="0.3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showGridLines="0" zoomScaleNormal="100" workbookViewId="0">
      <pane ySplit="4" topLeftCell="A5" activePane="bottomLeft" state="frozen"/>
      <selection pane="bottomLeft" activeCell="G4" sqref="G4"/>
    </sheetView>
  </sheetViews>
  <sheetFormatPr defaultColWidth="8.6640625" defaultRowHeight="14.4" x14ac:dyDescent="0.3"/>
  <cols>
    <col min="1" max="1" width="10" customWidth="1"/>
    <col min="2" max="2" width="9" customWidth="1"/>
    <col min="3" max="4" width="22" customWidth="1"/>
    <col min="5" max="5" width="16" customWidth="1"/>
    <col min="6" max="6" width="13" customWidth="1"/>
    <col min="7" max="7" width="10" customWidth="1"/>
    <col min="8" max="8" width="16" customWidth="1"/>
    <col min="9" max="10" width="18" customWidth="1"/>
  </cols>
  <sheetData>
    <row r="1" spans="1:10" ht="21" x14ac:dyDescent="0.4">
      <c r="A1" s="13" t="s">
        <v>165</v>
      </c>
    </row>
    <row r="2" spans="1:10" x14ac:dyDescent="0.3">
      <c r="A2" s="11" t="s">
        <v>166</v>
      </c>
    </row>
    <row r="4" spans="1:10" ht="41.4" x14ac:dyDescent="0.3">
      <c r="A4" s="4" t="s">
        <v>24</v>
      </c>
      <c r="B4" s="4" t="s">
        <v>134</v>
      </c>
      <c r="C4" s="4" t="s">
        <v>152</v>
      </c>
      <c r="D4" s="4" t="s">
        <v>29</v>
      </c>
      <c r="E4" s="4" t="s">
        <v>153</v>
      </c>
      <c r="F4" s="4" t="s">
        <v>154</v>
      </c>
      <c r="G4" s="4" t="s">
        <v>30</v>
      </c>
      <c r="H4" s="4" t="s">
        <v>155</v>
      </c>
      <c r="I4" s="4" t="s">
        <v>156</v>
      </c>
      <c r="J4" s="4" t="s">
        <v>157</v>
      </c>
    </row>
    <row r="5" spans="1:10" x14ac:dyDescent="0.3">
      <c r="A5">
        <v>5002</v>
      </c>
      <c r="B5" t="s">
        <v>143</v>
      </c>
      <c r="C5" t="str">
        <f>VLOOKUP(B5,Lookup_Tables!$A$5:$B$9,2,FALSE())</f>
        <v>Meera Krishnan</v>
      </c>
      <c r="D5" t="s">
        <v>38</v>
      </c>
      <c r="E5" t="str">
        <f>INDEX(Lookup_Tables!$B$14:$B$43,MATCH(D5,Lookup_Tables!$A$14:$A$43,0))</f>
        <v>Electronics</v>
      </c>
      <c r="F5">
        <f>INDEX(Lookup_Tables!$C$14:$C$43,MATCH(D5,Lookup_Tables!$A$14:$A$43,0))</f>
        <v>2999</v>
      </c>
      <c r="G5">
        <v>7</v>
      </c>
      <c r="H5">
        <f t="shared" ref="H5:H29" si="0">G5*F5</f>
        <v>20993</v>
      </c>
      <c r="I5" t="str">
        <f t="shared" ref="I5:I29" si="1">IF(G5&lt;5,"None",IF(G5&lt;10,"5% (5-9 units)","10% (10+ units)"))</f>
        <v>5% (5-9 units)</v>
      </c>
      <c r="J5" t="str">
        <f t="shared" ref="J5:J29" si="2">IF(H5&gt;50000,"High Value",IF(H5&gt;15000,"Medium Value","Standard"))</f>
        <v>Medium Value</v>
      </c>
    </row>
    <row r="6" spans="1:10" x14ac:dyDescent="0.3">
      <c r="A6">
        <v>5003</v>
      </c>
      <c r="B6" t="s">
        <v>139</v>
      </c>
      <c r="C6" t="str">
        <f>VLOOKUP(B6,Lookup_Tables!$A$5:$B$9,2,FALSE())</f>
        <v>Reetu Sharma</v>
      </c>
      <c r="D6" t="s">
        <v>99</v>
      </c>
      <c r="E6" t="str">
        <f>INDEX(Lookup_Tables!$B$14:$B$43,MATCH(D6,Lookup_Tables!$A$14:$A$43,0))</f>
        <v>Electronics</v>
      </c>
      <c r="F6">
        <f>INDEX(Lookup_Tables!$C$14:$C$43,MATCH(D6,Lookup_Tables!$A$14:$A$43,0))</f>
        <v>12999</v>
      </c>
      <c r="G6">
        <v>9</v>
      </c>
      <c r="H6">
        <f t="shared" si="0"/>
        <v>116991</v>
      </c>
      <c r="I6" t="str">
        <f t="shared" si="1"/>
        <v>5% (5-9 units)</v>
      </c>
      <c r="J6" t="str">
        <f t="shared" si="2"/>
        <v>High Value</v>
      </c>
    </row>
    <row r="7" spans="1:10" x14ac:dyDescent="0.3">
      <c r="A7">
        <v>5004</v>
      </c>
      <c r="B7" t="s">
        <v>139</v>
      </c>
      <c r="C7" t="str">
        <f>VLOOKUP(B7,Lookup_Tables!$A$5:$B$9,2,FALSE())</f>
        <v>Reetu Sharma</v>
      </c>
      <c r="D7" t="s">
        <v>90</v>
      </c>
      <c r="E7" t="str">
        <f>INDEX(Lookup_Tables!$B$14:$B$43,MATCH(D7,Lookup_Tables!$A$14:$A$43,0))</f>
        <v>Office Supplies</v>
      </c>
      <c r="F7">
        <f>INDEX(Lookup_Tables!$C$14:$C$43,MATCH(D7,Lookup_Tables!$A$14:$A$43,0))</f>
        <v>199</v>
      </c>
      <c r="G7">
        <v>10</v>
      </c>
      <c r="H7">
        <f t="shared" si="0"/>
        <v>1990</v>
      </c>
      <c r="I7" t="str">
        <f t="shared" si="1"/>
        <v>10% (10+ units)</v>
      </c>
      <c r="J7" t="str">
        <f t="shared" si="2"/>
        <v>Standard</v>
      </c>
    </row>
    <row r="8" spans="1:10" x14ac:dyDescent="0.3">
      <c r="A8">
        <v>5005</v>
      </c>
      <c r="B8" t="s">
        <v>139</v>
      </c>
      <c r="C8" t="str">
        <f>VLOOKUP(B8,Lookup_Tables!$A$5:$B$9,2,FALSE())</f>
        <v>Reetu Sharma</v>
      </c>
      <c r="D8" t="s">
        <v>79</v>
      </c>
      <c r="E8" t="str">
        <f>INDEX(Lookup_Tables!$B$14:$B$43,MATCH(D8,Lookup_Tables!$A$14:$A$43,0))</f>
        <v>Software</v>
      </c>
      <c r="F8">
        <f>INDEX(Lookup_Tables!$C$14:$C$43,MATCH(D8,Lookup_Tables!$A$14:$A$43,0))</f>
        <v>599</v>
      </c>
      <c r="G8">
        <v>9</v>
      </c>
      <c r="H8">
        <f t="shared" si="0"/>
        <v>5391</v>
      </c>
      <c r="I8" t="str">
        <f t="shared" si="1"/>
        <v>5% (5-9 units)</v>
      </c>
      <c r="J8" t="str">
        <f t="shared" si="2"/>
        <v>Standard</v>
      </c>
    </row>
    <row r="9" spans="1:10" x14ac:dyDescent="0.3">
      <c r="A9">
        <v>5006</v>
      </c>
      <c r="B9" t="s">
        <v>141</v>
      </c>
      <c r="C9" t="str">
        <f>VLOOKUP(B9,Lookup_Tables!$A$5:$B$9,2,FALSE())</f>
        <v>James Fernandes</v>
      </c>
      <c r="D9" t="s">
        <v>66</v>
      </c>
      <c r="E9" t="str">
        <f>INDEX(Lookup_Tables!$B$14:$B$43,MATCH(D9,Lookup_Tables!$A$14:$A$43,0))</f>
        <v>Electronics</v>
      </c>
      <c r="F9">
        <f>INDEX(Lookup_Tables!$C$14:$C$43,MATCH(D9,Lookup_Tables!$A$14:$A$43,0))</f>
        <v>1499</v>
      </c>
      <c r="G9">
        <v>2</v>
      </c>
      <c r="H9">
        <f t="shared" si="0"/>
        <v>2998</v>
      </c>
      <c r="I9" t="str">
        <f t="shared" si="1"/>
        <v>None</v>
      </c>
      <c r="J9" t="str">
        <f t="shared" si="2"/>
        <v>Standard</v>
      </c>
    </row>
    <row r="10" spans="1:10" x14ac:dyDescent="0.3">
      <c r="A10">
        <v>5007</v>
      </c>
      <c r="B10" t="s">
        <v>144</v>
      </c>
      <c r="C10" t="str">
        <f>VLOOKUP(B10,Lookup_Tables!$A$5:$B$9,2,FALSE())</f>
        <v>Alok Bansal</v>
      </c>
      <c r="D10" t="s">
        <v>102</v>
      </c>
      <c r="E10" t="str">
        <f>INDEX(Lookup_Tables!$B$14:$B$43,MATCH(D10,Lookup_Tables!$A$14:$A$43,0))</f>
        <v>Office Supplies</v>
      </c>
      <c r="F10">
        <f>INDEX(Lookup_Tables!$C$14:$C$43,MATCH(D10,Lookup_Tables!$A$14:$A$43,0))</f>
        <v>899</v>
      </c>
      <c r="G10">
        <v>2</v>
      </c>
      <c r="H10">
        <f t="shared" si="0"/>
        <v>1798</v>
      </c>
      <c r="I10" t="str">
        <f t="shared" si="1"/>
        <v>None</v>
      </c>
      <c r="J10" t="str">
        <f t="shared" si="2"/>
        <v>Standard</v>
      </c>
    </row>
    <row r="11" spans="1:10" x14ac:dyDescent="0.3">
      <c r="A11">
        <v>5008</v>
      </c>
      <c r="B11" t="s">
        <v>141</v>
      </c>
      <c r="C11" t="str">
        <f>VLOOKUP(B11,Lookup_Tables!$A$5:$B$9,2,FALSE())</f>
        <v>James Fernandes</v>
      </c>
      <c r="D11" t="s">
        <v>99</v>
      </c>
      <c r="E11" t="str">
        <f>INDEX(Lookup_Tables!$B$14:$B$43,MATCH(D11,Lookup_Tables!$A$14:$A$43,0))</f>
        <v>Electronics</v>
      </c>
      <c r="F11">
        <f>INDEX(Lookup_Tables!$C$14:$C$43,MATCH(D11,Lookup_Tables!$A$14:$A$43,0))</f>
        <v>12999</v>
      </c>
      <c r="G11">
        <v>9</v>
      </c>
      <c r="H11">
        <f t="shared" si="0"/>
        <v>116991</v>
      </c>
      <c r="I11" t="str">
        <f t="shared" si="1"/>
        <v>5% (5-9 units)</v>
      </c>
      <c r="J11" t="str">
        <f t="shared" si="2"/>
        <v>High Value</v>
      </c>
    </row>
    <row r="12" spans="1:10" x14ac:dyDescent="0.3">
      <c r="A12">
        <v>5009</v>
      </c>
      <c r="B12" t="s">
        <v>144</v>
      </c>
      <c r="C12" t="str">
        <f>VLOOKUP(B12,Lookup_Tables!$A$5:$B$9,2,FALSE())</f>
        <v>Alok Bansal</v>
      </c>
      <c r="D12" t="s">
        <v>66</v>
      </c>
      <c r="E12" t="str">
        <f>INDEX(Lookup_Tables!$B$14:$B$43,MATCH(D12,Lookup_Tables!$A$14:$A$43,0))</f>
        <v>Electronics</v>
      </c>
      <c r="F12">
        <f>INDEX(Lookup_Tables!$C$14:$C$43,MATCH(D12,Lookup_Tables!$A$14:$A$43,0))</f>
        <v>1499</v>
      </c>
      <c r="G12">
        <v>10</v>
      </c>
      <c r="H12">
        <f t="shared" si="0"/>
        <v>14990</v>
      </c>
      <c r="I12" t="str">
        <f t="shared" si="1"/>
        <v>10% (10+ units)</v>
      </c>
      <c r="J12" t="str">
        <f t="shared" si="2"/>
        <v>Standard</v>
      </c>
    </row>
    <row r="13" spans="1:10" x14ac:dyDescent="0.3">
      <c r="A13">
        <v>5010</v>
      </c>
      <c r="B13" t="s">
        <v>139</v>
      </c>
      <c r="C13" t="str">
        <f>VLOOKUP(B13,Lookup_Tables!$A$5:$B$9,2,FALSE())</f>
        <v>Reetu Sharma</v>
      </c>
      <c r="D13" t="s">
        <v>43</v>
      </c>
      <c r="E13" t="str">
        <f>INDEX(Lookup_Tables!$B$14:$B$43,MATCH(D13,Lookup_Tables!$A$14:$A$43,0))</f>
        <v>Electronics</v>
      </c>
      <c r="F13">
        <f>INDEX(Lookup_Tables!$C$14:$C$43,MATCH(D13,Lookup_Tables!$A$14:$A$43,0))</f>
        <v>6499</v>
      </c>
      <c r="G13">
        <v>11</v>
      </c>
      <c r="H13">
        <f t="shared" si="0"/>
        <v>71489</v>
      </c>
      <c r="I13" t="str">
        <f t="shared" si="1"/>
        <v>10% (10+ units)</v>
      </c>
      <c r="J13" t="str">
        <f t="shared" si="2"/>
        <v>High Value</v>
      </c>
    </row>
    <row r="14" spans="1:10" x14ac:dyDescent="0.3">
      <c r="A14">
        <v>5011</v>
      </c>
      <c r="B14" t="s">
        <v>145</v>
      </c>
      <c r="C14" t="str">
        <f>VLOOKUP(B14,Lookup_Tables!$A$5:$B$9,2,FALSE())</f>
        <v>Farah Khan</v>
      </c>
      <c r="D14" t="s">
        <v>66</v>
      </c>
      <c r="E14" t="str">
        <f>INDEX(Lookup_Tables!$B$14:$B$43,MATCH(D14,Lookup_Tables!$A$14:$A$43,0))</f>
        <v>Electronics</v>
      </c>
      <c r="F14">
        <f>INDEX(Lookup_Tables!$C$14:$C$43,MATCH(D14,Lookup_Tables!$A$14:$A$43,0))</f>
        <v>1499</v>
      </c>
      <c r="G14">
        <v>10</v>
      </c>
      <c r="H14">
        <f t="shared" si="0"/>
        <v>14990</v>
      </c>
      <c r="I14" t="str">
        <f t="shared" si="1"/>
        <v>10% (10+ units)</v>
      </c>
      <c r="J14" t="str">
        <f t="shared" si="2"/>
        <v>Standard</v>
      </c>
    </row>
    <row r="15" spans="1:10" x14ac:dyDescent="0.3">
      <c r="A15">
        <v>5012</v>
      </c>
      <c r="B15" t="s">
        <v>145</v>
      </c>
      <c r="C15" t="str">
        <f>VLOOKUP(B15,Lookup_Tables!$A$5:$B$9,2,FALSE())</f>
        <v>Farah Khan</v>
      </c>
      <c r="D15" t="s">
        <v>86</v>
      </c>
      <c r="E15" t="str">
        <f>INDEX(Lookup_Tables!$B$14:$B$43,MATCH(D15,Lookup_Tables!$A$14:$A$43,0))</f>
        <v>Office Supplies</v>
      </c>
      <c r="F15">
        <f>INDEX(Lookup_Tables!$C$14:$C$43,MATCH(D15,Lookup_Tables!$A$14:$A$43,0))</f>
        <v>599</v>
      </c>
      <c r="G15">
        <v>1</v>
      </c>
      <c r="H15">
        <f t="shared" si="0"/>
        <v>599</v>
      </c>
      <c r="I15" t="str">
        <f t="shared" si="1"/>
        <v>None</v>
      </c>
      <c r="J15" t="str">
        <f t="shared" si="2"/>
        <v>Standard</v>
      </c>
    </row>
    <row r="16" spans="1:10" x14ac:dyDescent="0.3">
      <c r="A16">
        <v>5013</v>
      </c>
      <c r="B16" t="s">
        <v>141</v>
      </c>
      <c r="C16" t="str">
        <f>VLOOKUP(B16,Lookup_Tables!$A$5:$B$9,2,FALSE())</f>
        <v>James Fernandes</v>
      </c>
      <c r="D16" t="s">
        <v>66</v>
      </c>
      <c r="E16" t="str">
        <f>INDEX(Lookup_Tables!$B$14:$B$43,MATCH(D16,Lookup_Tables!$A$14:$A$43,0))</f>
        <v>Electronics</v>
      </c>
      <c r="F16">
        <f>INDEX(Lookup_Tables!$C$14:$C$43,MATCH(D16,Lookup_Tables!$A$14:$A$43,0))</f>
        <v>1499</v>
      </c>
      <c r="G16">
        <v>9</v>
      </c>
      <c r="H16">
        <f t="shared" si="0"/>
        <v>13491</v>
      </c>
      <c r="I16" t="str">
        <f t="shared" si="1"/>
        <v>5% (5-9 units)</v>
      </c>
      <c r="J16" t="str">
        <f t="shared" si="2"/>
        <v>Standard</v>
      </c>
    </row>
    <row r="17" spans="1:10" x14ac:dyDescent="0.3">
      <c r="A17">
        <v>5014</v>
      </c>
      <c r="B17" t="s">
        <v>141</v>
      </c>
      <c r="C17" t="str">
        <f>VLOOKUP(B17,Lookup_Tables!$A$5:$B$9,2,FALSE())</f>
        <v>James Fernandes</v>
      </c>
      <c r="D17" t="s">
        <v>60</v>
      </c>
      <c r="E17" t="str">
        <f>INDEX(Lookup_Tables!$B$14:$B$43,MATCH(D17,Lookup_Tables!$A$14:$A$43,0))</f>
        <v>Office Supplies</v>
      </c>
      <c r="F17">
        <f>INDEX(Lookup_Tables!$C$14:$C$43,MATCH(D17,Lookup_Tables!$A$14:$A$43,0))</f>
        <v>349</v>
      </c>
      <c r="G17">
        <v>7</v>
      </c>
      <c r="H17">
        <f t="shared" si="0"/>
        <v>2443</v>
      </c>
      <c r="I17" t="str">
        <f t="shared" si="1"/>
        <v>5% (5-9 units)</v>
      </c>
      <c r="J17" t="str">
        <f t="shared" si="2"/>
        <v>Standard</v>
      </c>
    </row>
    <row r="18" spans="1:10" x14ac:dyDescent="0.3">
      <c r="A18">
        <v>5015</v>
      </c>
      <c r="B18" t="s">
        <v>141</v>
      </c>
      <c r="C18" t="str">
        <f>VLOOKUP(B18,Lookup_Tables!$A$5:$B$9,2,FALSE())</f>
        <v>James Fernandes</v>
      </c>
      <c r="D18" t="s">
        <v>63</v>
      </c>
      <c r="E18" t="str">
        <f>INDEX(Lookup_Tables!$B$14:$B$43,MATCH(D18,Lookup_Tables!$A$14:$A$43,0))</f>
        <v>Furniture</v>
      </c>
      <c r="F18">
        <f>INDEX(Lookup_Tables!$C$14:$C$43,MATCH(D18,Lookup_Tables!$A$14:$A$43,0))</f>
        <v>15999</v>
      </c>
      <c r="G18">
        <v>2</v>
      </c>
      <c r="H18">
        <f t="shared" si="0"/>
        <v>31998</v>
      </c>
      <c r="I18" t="str">
        <f t="shared" si="1"/>
        <v>None</v>
      </c>
      <c r="J18" t="str">
        <f t="shared" si="2"/>
        <v>Medium Value</v>
      </c>
    </row>
    <row r="19" spans="1:10" x14ac:dyDescent="0.3">
      <c r="A19">
        <v>5016</v>
      </c>
      <c r="B19" t="s">
        <v>145</v>
      </c>
      <c r="C19" t="str">
        <f>VLOOKUP(B19,Lookup_Tables!$A$5:$B$9,2,FALSE())</f>
        <v>Farah Khan</v>
      </c>
      <c r="D19" t="s">
        <v>60</v>
      </c>
      <c r="E19" t="str">
        <f>INDEX(Lookup_Tables!$B$14:$B$43,MATCH(D19,Lookup_Tables!$A$14:$A$43,0))</f>
        <v>Office Supplies</v>
      </c>
      <c r="F19">
        <f>INDEX(Lookup_Tables!$C$14:$C$43,MATCH(D19,Lookup_Tables!$A$14:$A$43,0))</f>
        <v>349</v>
      </c>
      <c r="G19">
        <v>9</v>
      </c>
      <c r="H19">
        <f t="shared" si="0"/>
        <v>3141</v>
      </c>
      <c r="I19" t="str">
        <f t="shared" si="1"/>
        <v>5% (5-9 units)</v>
      </c>
      <c r="J19" t="str">
        <f t="shared" si="2"/>
        <v>Standard</v>
      </c>
    </row>
    <row r="20" spans="1:10" x14ac:dyDescent="0.3">
      <c r="A20">
        <v>5017</v>
      </c>
      <c r="B20" t="s">
        <v>141</v>
      </c>
      <c r="C20" t="str">
        <f>VLOOKUP(B20,Lookup_Tables!$A$5:$B$9,2,FALSE())</f>
        <v>James Fernandes</v>
      </c>
      <c r="D20" t="s">
        <v>105</v>
      </c>
      <c r="E20" t="str">
        <f>INDEX(Lookup_Tables!$B$14:$B$43,MATCH(D20,Lookup_Tables!$A$14:$A$43,0))</f>
        <v>Electronics</v>
      </c>
      <c r="F20">
        <f>INDEX(Lookup_Tables!$C$14:$C$43,MATCH(D20,Lookup_Tables!$A$14:$A$43,0))</f>
        <v>1199</v>
      </c>
      <c r="G20">
        <v>10</v>
      </c>
      <c r="H20">
        <f t="shared" si="0"/>
        <v>11990</v>
      </c>
      <c r="I20" t="str">
        <f t="shared" si="1"/>
        <v>10% (10+ units)</v>
      </c>
      <c r="J20" t="str">
        <f t="shared" si="2"/>
        <v>Standard</v>
      </c>
    </row>
    <row r="21" spans="1:10" x14ac:dyDescent="0.3">
      <c r="A21">
        <v>5018</v>
      </c>
      <c r="B21" t="s">
        <v>145</v>
      </c>
      <c r="C21" t="str">
        <f>VLOOKUP(B21,Lookup_Tables!$A$5:$B$9,2,FALSE())</f>
        <v>Farah Khan</v>
      </c>
      <c r="D21" t="s">
        <v>85</v>
      </c>
      <c r="E21" t="str">
        <f>INDEX(Lookup_Tables!$B$14:$B$43,MATCH(D21,Lookup_Tables!$A$14:$A$43,0))</f>
        <v>Furniture</v>
      </c>
      <c r="F21">
        <f>INDEX(Lookup_Tables!$C$14:$C$43,MATCH(D21,Lookup_Tables!$A$14:$A$43,0))</f>
        <v>24999</v>
      </c>
      <c r="G21">
        <v>4</v>
      </c>
      <c r="H21">
        <f t="shared" si="0"/>
        <v>99996</v>
      </c>
      <c r="I21" t="str">
        <f t="shared" si="1"/>
        <v>None</v>
      </c>
      <c r="J21" t="str">
        <f t="shared" si="2"/>
        <v>High Value</v>
      </c>
    </row>
    <row r="22" spans="1:10" x14ac:dyDescent="0.3">
      <c r="A22">
        <v>5019</v>
      </c>
      <c r="B22" t="s">
        <v>143</v>
      </c>
      <c r="C22" t="str">
        <f>VLOOKUP(B22,Lookup_Tables!$A$5:$B$9,2,FALSE())</f>
        <v>Meera Krishnan</v>
      </c>
      <c r="D22" t="s">
        <v>105</v>
      </c>
      <c r="E22" t="str">
        <f>INDEX(Lookup_Tables!$B$14:$B$43,MATCH(D22,Lookup_Tables!$A$14:$A$43,0))</f>
        <v>Electronics</v>
      </c>
      <c r="F22">
        <f>INDEX(Lookup_Tables!$C$14:$C$43,MATCH(D22,Lookup_Tables!$A$14:$A$43,0))</f>
        <v>1199</v>
      </c>
      <c r="G22">
        <v>9</v>
      </c>
      <c r="H22">
        <f t="shared" si="0"/>
        <v>10791</v>
      </c>
      <c r="I22" t="str">
        <f t="shared" si="1"/>
        <v>5% (5-9 units)</v>
      </c>
      <c r="J22" t="str">
        <f t="shared" si="2"/>
        <v>Standard</v>
      </c>
    </row>
    <row r="23" spans="1:10" x14ac:dyDescent="0.3">
      <c r="A23">
        <v>5020</v>
      </c>
      <c r="B23" t="s">
        <v>139</v>
      </c>
      <c r="C23" t="str">
        <f>VLOOKUP(B23,Lookup_Tables!$A$5:$B$9,2,FALSE())</f>
        <v>Reetu Sharma</v>
      </c>
      <c r="D23" t="s">
        <v>104</v>
      </c>
      <c r="E23" t="str">
        <f>INDEX(Lookup_Tables!$B$14:$B$43,MATCH(D23,Lookup_Tables!$A$14:$A$43,0))</f>
        <v>Furniture</v>
      </c>
      <c r="F23">
        <f>INDEX(Lookup_Tables!$C$14:$C$43,MATCH(D23,Lookup_Tables!$A$14:$A$43,0))</f>
        <v>4999</v>
      </c>
      <c r="G23">
        <v>1</v>
      </c>
      <c r="H23">
        <f t="shared" si="0"/>
        <v>4999</v>
      </c>
      <c r="I23" t="str">
        <f t="shared" si="1"/>
        <v>None</v>
      </c>
      <c r="J23" t="str">
        <f t="shared" si="2"/>
        <v>Standard</v>
      </c>
    </row>
    <row r="24" spans="1:10" x14ac:dyDescent="0.3">
      <c r="A24">
        <v>5021</v>
      </c>
      <c r="B24" t="s">
        <v>145</v>
      </c>
      <c r="C24" t="str">
        <f>VLOOKUP(B24,Lookup_Tables!$A$5:$B$9,2,FALSE())</f>
        <v>Farah Khan</v>
      </c>
      <c r="D24" t="s">
        <v>100</v>
      </c>
      <c r="E24" t="str">
        <f>INDEX(Lookup_Tables!$B$14:$B$43,MATCH(D24,Lookup_Tables!$A$14:$A$43,0))</f>
        <v>Electronics</v>
      </c>
      <c r="F24">
        <f>INDEX(Lookup_Tables!$C$14:$C$43,MATCH(D24,Lookup_Tables!$A$14:$A$43,0))</f>
        <v>5999</v>
      </c>
      <c r="G24">
        <v>8</v>
      </c>
      <c r="H24">
        <f t="shared" si="0"/>
        <v>47992</v>
      </c>
      <c r="I24" t="str">
        <f t="shared" si="1"/>
        <v>5% (5-9 units)</v>
      </c>
      <c r="J24" t="str">
        <f t="shared" si="2"/>
        <v>Medium Value</v>
      </c>
    </row>
    <row r="25" spans="1:10" x14ac:dyDescent="0.3">
      <c r="A25">
        <v>5022</v>
      </c>
      <c r="B25" t="s">
        <v>145</v>
      </c>
      <c r="C25" t="str">
        <f>VLOOKUP(B25,Lookup_Tables!$A$5:$B$9,2,FALSE())</f>
        <v>Farah Khan</v>
      </c>
      <c r="D25" t="s">
        <v>102</v>
      </c>
      <c r="E25" t="str">
        <f>INDEX(Lookup_Tables!$B$14:$B$43,MATCH(D25,Lookup_Tables!$A$14:$A$43,0))</f>
        <v>Office Supplies</v>
      </c>
      <c r="F25">
        <f>INDEX(Lookup_Tables!$C$14:$C$43,MATCH(D25,Lookup_Tables!$A$14:$A$43,0))</f>
        <v>899</v>
      </c>
      <c r="G25">
        <v>6</v>
      </c>
      <c r="H25">
        <f t="shared" si="0"/>
        <v>5394</v>
      </c>
      <c r="I25" t="str">
        <f t="shared" si="1"/>
        <v>5% (5-9 units)</v>
      </c>
      <c r="J25" t="str">
        <f t="shared" si="2"/>
        <v>Standard</v>
      </c>
    </row>
    <row r="26" spans="1:10" x14ac:dyDescent="0.3">
      <c r="A26">
        <v>5023</v>
      </c>
      <c r="B26" t="s">
        <v>144</v>
      </c>
      <c r="C26" t="str">
        <f>VLOOKUP(B26,Lookup_Tables!$A$5:$B$9,2,FALSE())</f>
        <v>Alok Bansal</v>
      </c>
      <c r="D26" t="s">
        <v>104</v>
      </c>
      <c r="E26" t="str">
        <f>INDEX(Lookup_Tables!$B$14:$B$43,MATCH(D26,Lookup_Tables!$A$14:$A$43,0))</f>
        <v>Furniture</v>
      </c>
      <c r="F26">
        <f>INDEX(Lookup_Tables!$C$14:$C$43,MATCH(D26,Lookup_Tables!$A$14:$A$43,0))</f>
        <v>4999</v>
      </c>
      <c r="G26">
        <v>8</v>
      </c>
      <c r="H26">
        <f t="shared" si="0"/>
        <v>39992</v>
      </c>
      <c r="I26" t="str">
        <f t="shared" si="1"/>
        <v>5% (5-9 units)</v>
      </c>
      <c r="J26" t="str">
        <f t="shared" si="2"/>
        <v>Medium Value</v>
      </c>
    </row>
    <row r="27" spans="1:10" x14ac:dyDescent="0.3">
      <c r="A27">
        <v>5024</v>
      </c>
      <c r="B27" t="s">
        <v>143</v>
      </c>
      <c r="C27" t="str">
        <f>VLOOKUP(B27,Lookup_Tables!$A$5:$B$9,2,FALSE())</f>
        <v>Meera Krishnan</v>
      </c>
      <c r="D27" t="s">
        <v>60</v>
      </c>
      <c r="E27" t="str">
        <f>INDEX(Lookup_Tables!$B$14:$B$43,MATCH(D27,Lookup_Tables!$A$14:$A$43,0))</f>
        <v>Office Supplies</v>
      </c>
      <c r="F27">
        <f>INDEX(Lookup_Tables!$C$14:$C$43,MATCH(D27,Lookup_Tables!$A$14:$A$43,0))</f>
        <v>349</v>
      </c>
      <c r="G27">
        <v>4</v>
      </c>
      <c r="H27">
        <f t="shared" si="0"/>
        <v>1396</v>
      </c>
      <c r="I27" t="str">
        <f t="shared" si="1"/>
        <v>None</v>
      </c>
      <c r="J27" t="str">
        <f t="shared" si="2"/>
        <v>Standard</v>
      </c>
    </row>
    <row r="28" spans="1:10" x14ac:dyDescent="0.3">
      <c r="A28">
        <v>5025</v>
      </c>
      <c r="B28" t="s">
        <v>141</v>
      </c>
      <c r="C28" t="str">
        <f>VLOOKUP(B28,Lookup_Tables!$A$5:$B$9,2,FALSE())</f>
        <v>James Fernandes</v>
      </c>
      <c r="D28" t="s">
        <v>83</v>
      </c>
      <c r="E28" t="str">
        <f>INDEX(Lookup_Tables!$B$14:$B$43,MATCH(D28,Lookup_Tables!$A$14:$A$43,0))</f>
        <v>Furniture</v>
      </c>
      <c r="F28">
        <f>INDEX(Lookup_Tables!$C$14:$C$43,MATCH(D28,Lookup_Tables!$A$14:$A$43,0))</f>
        <v>1299</v>
      </c>
      <c r="G28">
        <v>4</v>
      </c>
      <c r="H28">
        <f t="shared" si="0"/>
        <v>5196</v>
      </c>
      <c r="I28" t="str">
        <f t="shared" si="1"/>
        <v>None</v>
      </c>
      <c r="J28" t="str">
        <f t="shared" si="2"/>
        <v>Standard</v>
      </c>
    </row>
    <row r="29" spans="1:10" x14ac:dyDescent="0.3">
      <c r="A29">
        <v>5026</v>
      </c>
      <c r="B29" t="s">
        <v>139</v>
      </c>
      <c r="C29" t="str">
        <f>VLOOKUP(B29,Lookup_Tables!$A$5:$B$9,2,FALSE())</f>
        <v>Reetu Sharma</v>
      </c>
      <c r="D29" t="s">
        <v>104</v>
      </c>
      <c r="E29" t="str">
        <f>INDEX(Lookup_Tables!$B$14:$B$43,MATCH(D29,Lookup_Tables!$A$14:$A$43,0))</f>
        <v>Furniture</v>
      </c>
      <c r="F29">
        <f>INDEX(Lookup_Tables!$C$14:$C$43,MATCH(D29,Lookup_Tables!$A$14:$A$43,0))</f>
        <v>4999</v>
      </c>
      <c r="G29">
        <v>5</v>
      </c>
      <c r="H29">
        <f t="shared" si="0"/>
        <v>24995</v>
      </c>
      <c r="I29" t="str">
        <f t="shared" si="1"/>
        <v>5% (5-9 units)</v>
      </c>
      <c r="J29" t="str">
        <f t="shared" si="2"/>
        <v>Medium Value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00"/>
  <sheetViews>
    <sheetView showGridLines="0" tabSelected="1" topLeftCell="K1" zoomScaleNormal="100" workbookViewId="0">
      <pane ySplit="4" topLeftCell="A5" activePane="bottomLeft" state="frozen"/>
      <selection pane="bottomLeft" activeCell="O5" sqref="O5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10" customWidth="1"/>
    <col min="5" max="5" width="16" customWidth="1"/>
    <col min="6" max="6" width="22" customWidth="1"/>
    <col min="7" max="7" width="10" customWidth="1"/>
    <col min="8" max="8" width="11" customWidth="1"/>
    <col min="9" max="9" width="9" customWidth="1"/>
    <col min="10" max="10" width="16" customWidth="1"/>
    <col min="11" max="11" width="14" customWidth="1"/>
    <col min="12" max="12" width="12" customWidth="1"/>
    <col min="13" max="13" width="13" customWidth="1"/>
    <col min="15" max="15" width="12.5546875" bestFit="1" customWidth="1"/>
    <col min="16" max="16" width="18.88671875" bestFit="1" customWidth="1"/>
    <col min="17" max="17" width="17" bestFit="1" customWidth="1"/>
    <col min="18" max="18" width="13.109375" bestFit="1" customWidth="1"/>
    <col min="19" max="19" width="15.6640625" bestFit="1" customWidth="1"/>
    <col min="20" max="20" width="7.44140625" bestFit="1" customWidth="1"/>
    <col min="21" max="21" width="10.77734375" bestFit="1" customWidth="1"/>
  </cols>
  <sheetData>
    <row r="1" spans="1:15" ht="21" x14ac:dyDescent="0.4">
      <c r="A1" s="13" t="s">
        <v>167</v>
      </c>
    </row>
    <row r="2" spans="1:15" x14ac:dyDescent="0.3">
      <c r="A2" s="11" t="s">
        <v>168</v>
      </c>
    </row>
    <row r="4" spans="1:15" ht="27.6" x14ac:dyDescent="0.3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4" t="s">
        <v>169</v>
      </c>
      <c r="O4" s="3" t="s">
        <v>170</v>
      </c>
    </row>
    <row r="5" spans="1:15" ht="30" customHeight="1" x14ac:dyDescent="0.3">
      <c r="A5">
        <v>20002</v>
      </c>
      <c r="B5" s="15">
        <v>45552</v>
      </c>
      <c r="C5" t="s">
        <v>62</v>
      </c>
      <c r="D5" t="s">
        <v>72</v>
      </c>
      <c r="E5" t="s">
        <v>55</v>
      </c>
      <c r="F5" t="s">
        <v>73</v>
      </c>
      <c r="G5">
        <v>8</v>
      </c>
      <c r="H5">
        <v>5499</v>
      </c>
      <c r="I5">
        <v>0.15</v>
      </c>
      <c r="J5" t="s">
        <v>141</v>
      </c>
      <c r="K5" t="s">
        <v>45</v>
      </c>
      <c r="L5" t="s">
        <v>50</v>
      </c>
      <c r="M5" s="16">
        <f t="shared" ref="M5:M68" si="0">G5*H5*(1-I5)</f>
        <v>37393.199999999997</v>
      </c>
      <c r="O5" s="17" t="s">
        <v>171</v>
      </c>
    </row>
    <row r="6" spans="1:15" ht="30" customHeight="1" x14ac:dyDescent="0.3">
      <c r="A6">
        <v>20003</v>
      </c>
      <c r="B6" s="15">
        <v>45520</v>
      </c>
      <c r="C6" t="s">
        <v>47</v>
      </c>
      <c r="D6" t="s">
        <v>52</v>
      </c>
      <c r="E6" t="s">
        <v>55</v>
      </c>
      <c r="F6" t="s">
        <v>79</v>
      </c>
      <c r="G6">
        <v>3</v>
      </c>
      <c r="H6">
        <v>599</v>
      </c>
      <c r="I6">
        <v>0</v>
      </c>
      <c r="J6" t="s">
        <v>139</v>
      </c>
      <c r="K6" t="s">
        <v>57</v>
      </c>
      <c r="L6" t="s">
        <v>50</v>
      </c>
      <c r="M6" s="16">
        <f t="shared" si="0"/>
        <v>1797</v>
      </c>
      <c r="O6" s="17" t="s">
        <v>172</v>
      </c>
    </row>
    <row r="7" spans="1:15" ht="30" customHeight="1" x14ac:dyDescent="0.3">
      <c r="A7">
        <v>20004</v>
      </c>
      <c r="B7" s="15">
        <v>45611</v>
      </c>
      <c r="C7" t="s">
        <v>117</v>
      </c>
      <c r="D7" t="s">
        <v>72</v>
      </c>
      <c r="E7" t="s">
        <v>75</v>
      </c>
      <c r="F7" t="s">
        <v>100</v>
      </c>
      <c r="G7">
        <v>8</v>
      </c>
      <c r="H7">
        <v>5999</v>
      </c>
      <c r="I7">
        <v>0.05</v>
      </c>
      <c r="J7" t="s">
        <v>139</v>
      </c>
      <c r="K7" t="s">
        <v>49</v>
      </c>
      <c r="L7" t="s">
        <v>41</v>
      </c>
      <c r="M7" s="16">
        <f t="shared" si="0"/>
        <v>45592.4</v>
      </c>
      <c r="O7" s="17" t="s">
        <v>173</v>
      </c>
    </row>
    <row r="8" spans="1:15" ht="30" customHeight="1" x14ac:dyDescent="0.3">
      <c r="A8">
        <v>20005</v>
      </c>
      <c r="B8" s="15">
        <v>45459</v>
      </c>
      <c r="C8" t="s">
        <v>71</v>
      </c>
      <c r="D8" t="s">
        <v>72</v>
      </c>
      <c r="E8" t="s">
        <v>53</v>
      </c>
      <c r="F8" t="s">
        <v>90</v>
      </c>
      <c r="G8">
        <v>1</v>
      </c>
      <c r="H8">
        <v>199</v>
      </c>
      <c r="I8">
        <v>0.15</v>
      </c>
      <c r="J8" t="s">
        <v>141</v>
      </c>
      <c r="K8" t="s">
        <v>57</v>
      </c>
      <c r="L8" t="s">
        <v>41</v>
      </c>
      <c r="M8" s="16">
        <f t="shared" si="0"/>
        <v>169.15</v>
      </c>
      <c r="O8" s="17" t="s">
        <v>174</v>
      </c>
    </row>
    <row r="9" spans="1:15" ht="30" customHeight="1" x14ac:dyDescent="0.3">
      <c r="A9">
        <v>20006</v>
      </c>
      <c r="B9" s="15">
        <v>45526</v>
      </c>
      <c r="C9" t="s">
        <v>97</v>
      </c>
      <c r="D9" t="s">
        <v>59</v>
      </c>
      <c r="E9" t="s">
        <v>69</v>
      </c>
      <c r="F9" t="s">
        <v>70</v>
      </c>
      <c r="G9">
        <v>1</v>
      </c>
      <c r="H9">
        <v>5499</v>
      </c>
      <c r="I9">
        <v>0</v>
      </c>
      <c r="J9" t="s">
        <v>144</v>
      </c>
      <c r="K9" t="s">
        <v>57</v>
      </c>
      <c r="L9" t="s">
        <v>41</v>
      </c>
      <c r="M9" s="16">
        <f t="shared" si="0"/>
        <v>5499</v>
      </c>
      <c r="O9" s="17" t="s">
        <v>175</v>
      </c>
    </row>
    <row r="10" spans="1:15" x14ac:dyDescent="0.3">
      <c r="A10">
        <v>20007</v>
      </c>
      <c r="B10" s="15">
        <v>45307</v>
      </c>
      <c r="C10" t="s">
        <v>51</v>
      </c>
      <c r="D10" t="s">
        <v>72</v>
      </c>
      <c r="E10" t="s">
        <v>69</v>
      </c>
      <c r="F10" t="s">
        <v>61</v>
      </c>
      <c r="G10">
        <v>4</v>
      </c>
      <c r="H10">
        <v>18999</v>
      </c>
      <c r="I10">
        <v>0.1</v>
      </c>
      <c r="J10" t="s">
        <v>139</v>
      </c>
      <c r="K10" t="s">
        <v>40</v>
      </c>
      <c r="L10" t="s">
        <v>41</v>
      </c>
      <c r="M10" s="16">
        <f t="shared" si="0"/>
        <v>68396.400000000009</v>
      </c>
    </row>
    <row r="11" spans="1:15" x14ac:dyDescent="0.3">
      <c r="A11">
        <v>20008</v>
      </c>
      <c r="B11" s="15">
        <v>45642</v>
      </c>
      <c r="C11" t="s">
        <v>117</v>
      </c>
      <c r="D11" t="s">
        <v>52</v>
      </c>
      <c r="E11" t="s">
        <v>69</v>
      </c>
      <c r="F11" t="s">
        <v>83</v>
      </c>
      <c r="G11">
        <v>2</v>
      </c>
      <c r="H11">
        <v>1299</v>
      </c>
      <c r="I11">
        <v>0</v>
      </c>
      <c r="J11" t="s">
        <v>141</v>
      </c>
      <c r="K11" t="s">
        <v>49</v>
      </c>
      <c r="L11" t="s">
        <v>46</v>
      </c>
      <c r="M11" s="16">
        <f t="shared" si="0"/>
        <v>2598</v>
      </c>
    </row>
    <row r="12" spans="1:15" x14ac:dyDescent="0.3">
      <c r="A12">
        <v>20009</v>
      </c>
      <c r="B12" s="15">
        <v>45329</v>
      </c>
      <c r="C12" t="s">
        <v>115</v>
      </c>
      <c r="D12" t="s">
        <v>52</v>
      </c>
      <c r="E12" t="s">
        <v>55</v>
      </c>
      <c r="F12" t="s">
        <v>79</v>
      </c>
      <c r="G12">
        <v>7</v>
      </c>
      <c r="H12">
        <v>599</v>
      </c>
      <c r="I12">
        <v>0.15</v>
      </c>
      <c r="J12" t="s">
        <v>143</v>
      </c>
      <c r="K12" t="s">
        <v>65</v>
      </c>
      <c r="L12" t="s">
        <v>41</v>
      </c>
      <c r="M12" s="16">
        <f t="shared" si="0"/>
        <v>3564.0499999999997</v>
      </c>
    </row>
    <row r="13" spans="1:15" x14ac:dyDescent="0.3">
      <c r="A13">
        <v>20010</v>
      </c>
      <c r="B13" s="15">
        <v>45680</v>
      </c>
      <c r="C13" t="s">
        <v>80</v>
      </c>
      <c r="D13" t="s">
        <v>52</v>
      </c>
      <c r="E13" t="s">
        <v>69</v>
      </c>
      <c r="F13" t="s">
        <v>61</v>
      </c>
      <c r="G13">
        <v>1</v>
      </c>
      <c r="H13">
        <v>18999</v>
      </c>
      <c r="I13">
        <v>0.15</v>
      </c>
      <c r="J13" t="s">
        <v>141</v>
      </c>
      <c r="K13" t="s">
        <v>49</v>
      </c>
      <c r="L13" t="s">
        <v>41</v>
      </c>
      <c r="M13" s="16">
        <f t="shared" si="0"/>
        <v>16149.15</v>
      </c>
    </row>
    <row r="14" spans="1:15" x14ac:dyDescent="0.3">
      <c r="A14">
        <v>20011</v>
      </c>
      <c r="B14" s="15">
        <v>45641</v>
      </c>
      <c r="C14" t="s">
        <v>42</v>
      </c>
      <c r="D14" t="s">
        <v>52</v>
      </c>
      <c r="E14" t="s">
        <v>75</v>
      </c>
      <c r="F14" t="s">
        <v>43</v>
      </c>
      <c r="G14">
        <v>8</v>
      </c>
      <c r="H14">
        <v>6499</v>
      </c>
      <c r="I14">
        <v>0.05</v>
      </c>
      <c r="J14" t="s">
        <v>144</v>
      </c>
      <c r="K14" t="s">
        <v>57</v>
      </c>
      <c r="L14" t="s">
        <v>41</v>
      </c>
      <c r="M14" s="16">
        <f t="shared" si="0"/>
        <v>49392.399999999994</v>
      </c>
    </row>
    <row r="15" spans="1:15" x14ac:dyDescent="0.3">
      <c r="A15">
        <v>20012</v>
      </c>
      <c r="B15" s="15">
        <v>45494</v>
      </c>
      <c r="C15" t="s">
        <v>93</v>
      </c>
      <c r="D15" t="s">
        <v>52</v>
      </c>
      <c r="E15" t="s">
        <v>53</v>
      </c>
      <c r="F15" t="s">
        <v>58</v>
      </c>
      <c r="G15">
        <v>7</v>
      </c>
      <c r="H15">
        <v>429</v>
      </c>
      <c r="I15">
        <v>0</v>
      </c>
      <c r="J15" t="s">
        <v>139</v>
      </c>
      <c r="K15" t="s">
        <v>65</v>
      </c>
      <c r="L15" t="s">
        <v>50</v>
      </c>
      <c r="M15" s="16">
        <f t="shared" si="0"/>
        <v>3003</v>
      </c>
    </row>
    <row r="16" spans="1:15" x14ac:dyDescent="0.3">
      <c r="A16">
        <v>20013</v>
      </c>
      <c r="B16" s="15">
        <v>45493</v>
      </c>
      <c r="C16" t="s">
        <v>62</v>
      </c>
      <c r="D16" t="s">
        <v>72</v>
      </c>
      <c r="E16" t="s">
        <v>69</v>
      </c>
      <c r="F16" t="s">
        <v>82</v>
      </c>
      <c r="G16">
        <v>4</v>
      </c>
      <c r="H16">
        <v>8999</v>
      </c>
      <c r="I16">
        <v>0.05</v>
      </c>
      <c r="J16" t="s">
        <v>145</v>
      </c>
      <c r="K16" t="s">
        <v>49</v>
      </c>
      <c r="L16" t="s">
        <v>41</v>
      </c>
      <c r="M16" s="16">
        <f t="shared" si="0"/>
        <v>34196.199999999997</v>
      </c>
    </row>
    <row r="17" spans="1:13" x14ac:dyDescent="0.3">
      <c r="A17">
        <v>20014</v>
      </c>
      <c r="B17" s="15">
        <v>45296</v>
      </c>
      <c r="C17" t="s">
        <v>84</v>
      </c>
      <c r="D17" t="s">
        <v>72</v>
      </c>
      <c r="E17" t="s">
        <v>53</v>
      </c>
      <c r="F17" t="s">
        <v>90</v>
      </c>
      <c r="G17">
        <v>8</v>
      </c>
      <c r="H17">
        <v>199</v>
      </c>
      <c r="I17">
        <v>0.1</v>
      </c>
      <c r="J17" t="s">
        <v>143</v>
      </c>
      <c r="K17" t="s">
        <v>65</v>
      </c>
      <c r="L17" t="s">
        <v>46</v>
      </c>
      <c r="M17" s="16">
        <f t="shared" si="0"/>
        <v>1432.8</v>
      </c>
    </row>
    <row r="18" spans="1:13" x14ac:dyDescent="0.3">
      <c r="A18">
        <v>20015</v>
      </c>
      <c r="B18" s="15">
        <v>45590</v>
      </c>
      <c r="C18" t="s">
        <v>97</v>
      </c>
      <c r="D18" t="s">
        <v>52</v>
      </c>
      <c r="E18" t="s">
        <v>75</v>
      </c>
      <c r="F18" t="s">
        <v>66</v>
      </c>
      <c r="G18">
        <v>2</v>
      </c>
      <c r="H18">
        <v>1499</v>
      </c>
      <c r="I18">
        <v>0.05</v>
      </c>
      <c r="J18" t="s">
        <v>139</v>
      </c>
      <c r="K18" t="s">
        <v>57</v>
      </c>
      <c r="L18" t="s">
        <v>46</v>
      </c>
      <c r="M18" s="16">
        <f t="shared" si="0"/>
        <v>2848.1</v>
      </c>
    </row>
    <row r="19" spans="1:13" x14ac:dyDescent="0.3">
      <c r="A19">
        <v>20016</v>
      </c>
      <c r="B19" s="15">
        <v>45586</v>
      </c>
      <c r="C19" t="s">
        <v>96</v>
      </c>
      <c r="D19" t="s">
        <v>95</v>
      </c>
      <c r="E19" t="s">
        <v>69</v>
      </c>
      <c r="F19" t="s">
        <v>70</v>
      </c>
      <c r="G19">
        <v>3</v>
      </c>
      <c r="H19">
        <v>5499</v>
      </c>
      <c r="I19">
        <v>0.15</v>
      </c>
      <c r="J19" t="s">
        <v>141</v>
      </c>
      <c r="K19" t="s">
        <v>45</v>
      </c>
      <c r="L19" t="s">
        <v>46</v>
      </c>
      <c r="M19" s="16">
        <f t="shared" si="0"/>
        <v>14022.449999999999</v>
      </c>
    </row>
    <row r="20" spans="1:13" x14ac:dyDescent="0.3">
      <c r="A20">
        <v>20017</v>
      </c>
      <c r="B20" s="15">
        <v>45670</v>
      </c>
      <c r="C20" t="s">
        <v>97</v>
      </c>
      <c r="D20" t="s">
        <v>72</v>
      </c>
      <c r="E20" t="s">
        <v>53</v>
      </c>
      <c r="F20" t="s">
        <v>90</v>
      </c>
      <c r="G20">
        <v>4</v>
      </c>
      <c r="H20">
        <v>199</v>
      </c>
      <c r="I20">
        <v>0.05</v>
      </c>
      <c r="J20" t="s">
        <v>141</v>
      </c>
      <c r="K20" t="s">
        <v>40</v>
      </c>
      <c r="L20" t="s">
        <v>46</v>
      </c>
      <c r="M20" s="16">
        <f t="shared" si="0"/>
        <v>756.19999999999993</v>
      </c>
    </row>
    <row r="21" spans="1:13" x14ac:dyDescent="0.3">
      <c r="A21">
        <v>20018</v>
      </c>
      <c r="B21" s="15">
        <v>45347</v>
      </c>
      <c r="C21" t="s">
        <v>106</v>
      </c>
      <c r="D21" t="s">
        <v>72</v>
      </c>
      <c r="E21" t="s">
        <v>75</v>
      </c>
      <c r="F21" t="s">
        <v>100</v>
      </c>
      <c r="G21">
        <v>1</v>
      </c>
      <c r="H21">
        <v>5999</v>
      </c>
      <c r="I21">
        <v>0</v>
      </c>
      <c r="J21" t="s">
        <v>143</v>
      </c>
      <c r="K21" t="s">
        <v>45</v>
      </c>
      <c r="L21" t="s">
        <v>50</v>
      </c>
      <c r="M21" s="16">
        <f t="shared" si="0"/>
        <v>5999</v>
      </c>
    </row>
    <row r="22" spans="1:13" x14ac:dyDescent="0.3">
      <c r="A22">
        <v>20019</v>
      </c>
      <c r="B22" s="15">
        <v>45442</v>
      </c>
      <c r="C22" t="s">
        <v>111</v>
      </c>
      <c r="D22" t="s">
        <v>52</v>
      </c>
      <c r="E22" t="s">
        <v>55</v>
      </c>
      <c r="F22" t="s">
        <v>92</v>
      </c>
      <c r="G22">
        <v>7</v>
      </c>
      <c r="H22">
        <v>799</v>
      </c>
      <c r="I22">
        <v>0.15</v>
      </c>
      <c r="J22" t="s">
        <v>139</v>
      </c>
      <c r="K22" t="s">
        <v>45</v>
      </c>
      <c r="L22" t="s">
        <v>41</v>
      </c>
      <c r="M22" s="16">
        <f t="shared" si="0"/>
        <v>4754.05</v>
      </c>
    </row>
    <row r="23" spans="1:13" x14ac:dyDescent="0.3">
      <c r="A23">
        <v>20020</v>
      </c>
      <c r="B23" s="15">
        <v>45400</v>
      </c>
      <c r="C23" t="s">
        <v>36</v>
      </c>
      <c r="D23" t="s">
        <v>74</v>
      </c>
      <c r="E23" t="s">
        <v>55</v>
      </c>
      <c r="F23" t="s">
        <v>73</v>
      </c>
      <c r="G23">
        <v>2</v>
      </c>
      <c r="H23">
        <v>5499</v>
      </c>
      <c r="I23">
        <v>0.1</v>
      </c>
      <c r="J23" t="s">
        <v>139</v>
      </c>
      <c r="K23" t="s">
        <v>65</v>
      </c>
      <c r="L23" t="s">
        <v>46</v>
      </c>
      <c r="M23" s="16">
        <f t="shared" si="0"/>
        <v>9898.2000000000007</v>
      </c>
    </row>
    <row r="24" spans="1:13" x14ac:dyDescent="0.3">
      <c r="A24">
        <v>20021</v>
      </c>
      <c r="B24" s="15">
        <v>45382</v>
      </c>
      <c r="C24" t="s">
        <v>47</v>
      </c>
      <c r="D24" t="s">
        <v>59</v>
      </c>
      <c r="E24" t="s">
        <v>55</v>
      </c>
      <c r="F24" t="s">
        <v>88</v>
      </c>
      <c r="G24">
        <v>1</v>
      </c>
      <c r="H24">
        <v>2499</v>
      </c>
      <c r="I24">
        <v>0</v>
      </c>
      <c r="J24" t="s">
        <v>145</v>
      </c>
      <c r="K24" t="s">
        <v>57</v>
      </c>
      <c r="L24" t="s">
        <v>41</v>
      </c>
      <c r="M24" s="16">
        <f t="shared" si="0"/>
        <v>2499</v>
      </c>
    </row>
    <row r="25" spans="1:13" x14ac:dyDescent="0.3">
      <c r="A25">
        <v>20022</v>
      </c>
      <c r="B25" s="15">
        <v>45461</v>
      </c>
      <c r="C25" t="s">
        <v>87</v>
      </c>
      <c r="D25" t="s">
        <v>72</v>
      </c>
      <c r="E25" t="s">
        <v>75</v>
      </c>
      <c r="F25" t="s">
        <v>64</v>
      </c>
      <c r="G25">
        <v>3</v>
      </c>
      <c r="H25">
        <v>1799</v>
      </c>
      <c r="I25">
        <v>0.15</v>
      </c>
      <c r="J25" t="s">
        <v>145</v>
      </c>
      <c r="K25" t="s">
        <v>45</v>
      </c>
      <c r="L25" t="s">
        <v>50</v>
      </c>
      <c r="M25" s="16">
        <f t="shared" si="0"/>
        <v>4587.45</v>
      </c>
    </row>
    <row r="26" spans="1:13" x14ac:dyDescent="0.3">
      <c r="A26">
        <v>20023</v>
      </c>
      <c r="B26" s="15">
        <v>45650</v>
      </c>
      <c r="C26" t="s">
        <v>47</v>
      </c>
      <c r="D26" t="s">
        <v>74</v>
      </c>
      <c r="E26" t="s">
        <v>75</v>
      </c>
      <c r="F26" t="s">
        <v>48</v>
      </c>
      <c r="G26">
        <v>8</v>
      </c>
      <c r="H26">
        <v>799</v>
      </c>
      <c r="I26">
        <v>0.1</v>
      </c>
      <c r="J26" t="s">
        <v>139</v>
      </c>
      <c r="K26" t="s">
        <v>57</v>
      </c>
      <c r="L26" t="s">
        <v>50</v>
      </c>
      <c r="M26" s="16">
        <f t="shared" si="0"/>
        <v>5752.8</v>
      </c>
    </row>
    <row r="27" spans="1:13" x14ac:dyDescent="0.3">
      <c r="A27">
        <v>20024</v>
      </c>
      <c r="B27" s="15">
        <v>45455</v>
      </c>
      <c r="C27" t="s">
        <v>96</v>
      </c>
      <c r="D27" t="s">
        <v>74</v>
      </c>
      <c r="E27" t="s">
        <v>75</v>
      </c>
      <c r="F27" t="s">
        <v>43</v>
      </c>
      <c r="G27">
        <v>2</v>
      </c>
      <c r="H27">
        <v>6499</v>
      </c>
      <c r="I27">
        <v>0.1</v>
      </c>
      <c r="J27" t="s">
        <v>139</v>
      </c>
      <c r="K27" t="s">
        <v>40</v>
      </c>
      <c r="L27" t="s">
        <v>50</v>
      </c>
      <c r="M27" s="16">
        <f t="shared" si="0"/>
        <v>11698.2</v>
      </c>
    </row>
    <row r="28" spans="1:13" x14ac:dyDescent="0.3">
      <c r="A28">
        <v>20025</v>
      </c>
      <c r="B28" s="15">
        <v>45472</v>
      </c>
      <c r="C28" t="s">
        <v>51</v>
      </c>
      <c r="D28" t="s">
        <v>95</v>
      </c>
      <c r="E28" t="s">
        <v>69</v>
      </c>
      <c r="F28" t="s">
        <v>82</v>
      </c>
      <c r="G28">
        <v>3</v>
      </c>
      <c r="H28">
        <v>8999</v>
      </c>
      <c r="I28">
        <v>0.1</v>
      </c>
      <c r="J28" t="s">
        <v>139</v>
      </c>
      <c r="K28" t="s">
        <v>40</v>
      </c>
      <c r="L28" t="s">
        <v>41</v>
      </c>
      <c r="M28" s="16">
        <f t="shared" si="0"/>
        <v>24297.3</v>
      </c>
    </row>
    <row r="29" spans="1:13" x14ac:dyDescent="0.3">
      <c r="A29">
        <v>20026</v>
      </c>
      <c r="B29" s="15">
        <v>45486</v>
      </c>
      <c r="C29" t="s">
        <v>115</v>
      </c>
      <c r="D29" t="s">
        <v>74</v>
      </c>
      <c r="E29" t="s">
        <v>55</v>
      </c>
      <c r="F29" t="s">
        <v>73</v>
      </c>
      <c r="G29">
        <v>1</v>
      </c>
      <c r="H29">
        <v>5499</v>
      </c>
      <c r="I29">
        <v>0.15</v>
      </c>
      <c r="J29" t="s">
        <v>145</v>
      </c>
      <c r="K29" t="s">
        <v>49</v>
      </c>
      <c r="L29" t="s">
        <v>41</v>
      </c>
      <c r="M29" s="16">
        <f t="shared" si="0"/>
        <v>4674.1499999999996</v>
      </c>
    </row>
    <row r="30" spans="1:13" x14ac:dyDescent="0.3">
      <c r="A30">
        <v>20027</v>
      </c>
      <c r="B30" s="15">
        <v>45664</v>
      </c>
      <c r="C30" t="s">
        <v>98</v>
      </c>
      <c r="D30" t="s">
        <v>95</v>
      </c>
      <c r="E30" t="s">
        <v>75</v>
      </c>
      <c r="F30" t="s">
        <v>66</v>
      </c>
      <c r="G30">
        <v>5</v>
      </c>
      <c r="H30">
        <v>1499</v>
      </c>
      <c r="I30">
        <v>0.15</v>
      </c>
      <c r="J30" t="s">
        <v>145</v>
      </c>
      <c r="K30" t="s">
        <v>40</v>
      </c>
      <c r="L30" t="s">
        <v>46</v>
      </c>
      <c r="M30" s="16">
        <f t="shared" si="0"/>
        <v>6370.75</v>
      </c>
    </row>
    <row r="31" spans="1:13" x14ac:dyDescent="0.3">
      <c r="A31">
        <v>20028</v>
      </c>
      <c r="B31" s="15">
        <v>45450</v>
      </c>
      <c r="C31" t="s">
        <v>116</v>
      </c>
      <c r="D31" t="s">
        <v>74</v>
      </c>
      <c r="E31" t="s">
        <v>55</v>
      </c>
      <c r="F31" t="s">
        <v>73</v>
      </c>
      <c r="G31">
        <v>2</v>
      </c>
      <c r="H31">
        <v>5499</v>
      </c>
      <c r="I31">
        <v>0</v>
      </c>
      <c r="J31" t="s">
        <v>144</v>
      </c>
      <c r="K31" t="s">
        <v>49</v>
      </c>
      <c r="L31" t="s">
        <v>41</v>
      </c>
      <c r="M31" s="16">
        <f t="shared" si="0"/>
        <v>10998</v>
      </c>
    </row>
    <row r="32" spans="1:13" x14ac:dyDescent="0.3">
      <c r="A32">
        <v>20029</v>
      </c>
      <c r="B32" s="15">
        <v>45297</v>
      </c>
      <c r="C32" t="s">
        <v>77</v>
      </c>
      <c r="D32" t="s">
        <v>59</v>
      </c>
      <c r="E32" t="s">
        <v>75</v>
      </c>
      <c r="F32" t="s">
        <v>43</v>
      </c>
      <c r="G32">
        <v>8</v>
      </c>
      <c r="H32">
        <v>6499</v>
      </c>
      <c r="I32">
        <v>0.1</v>
      </c>
      <c r="J32" t="s">
        <v>141</v>
      </c>
      <c r="K32" t="s">
        <v>57</v>
      </c>
      <c r="L32" t="s">
        <v>41</v>
      </c>
      <c r="M32" s="16">
        <f t="shared" si="0"/>
        <v>46792.800000000003</v>
      </c>
    </row>
    <row r="33" spans="1:13" x14ac:dyDescent="0.3">
      <c r="A33">
        <v>20030</v>
      </c>
      <c r="B33" s="15">
        <v>45415</v>
      </c>
      <c r="C33" t="s">
        <v>98</v>
      </c>
      <c r="D33" t="s">
        <v>95</v>
      </c>
      <c r="E33" t="s">
        <v>53</v>
      </c>
      <c r="F33" t="s">
        <v>102</v>
      </c>
      <c r="G33">
        <v>8</v>
      </c>
      <c r="H33">
        <v>899</v>
      </c>
      <c r="I33">
        <v>0.15</v>
      </c>
      <c r="J33" t="s">
        <v>143</v>
      </c>
      <c r="K33" t="s">
        <v>45</v>
      </c>
      <c r="L33" t="s">
        <v>50</v>
      </c>
      <c r="M33" s="16">
        <f t="shared" si="0"/>
        <v>6113.2</v>
      </c>
    </row>
    <row r="34" spans="1:13" x14ac:dyDescent="0.3">
      <c r="A34">
        <v>20031</v>
      </c>
      <c r="B34" s="15">
        <v>45404</v>
      </c>
      <c r="C34" t="s">
        <v>115</v>
      </c>
      <c r="D34" t="s">
        <v>59</v>
      </c>
      <c r="E34" t="s">
        <v>55</v>
      </c>
      <c r="F34" t="s">
        <v>88</v>
      </c>
      <c r="G34">
        <v>4</v>
      </c>
      <c r="H34">
        <v>2499</v>
      </c>
      <c r="I34">
        <v>0.15</v>
      </c>
      <c r="J34" t="s">
        <v>141</v>
      </c>
      <c r="K34" t="s">
        <v>45</v>
      </c>
      <c r="L34" t="s">
        <v>41</v>
      </c>
      <c r="M34" s="16">
        <f t="shared" si="0"/>
        <v>8496.6</v>
      </c>
    </row>
    <row r="35" spans="1:13" x14ac:dyDescent="0.3">
      <c r="A35">
        <v>20032</v>
      </c>
      <c r="B35" s="15">
        <v>45433</v>
      </c>
      <c r="C35" t="s">
        <v>114</v>
      </c>
      <c r="D35" t="s">
        <v>52</v>
      </c>
      <c r="E35" t="s">
        <v>55</v>
      </c>
      <c r="F35" t="s">
        <v>92</v>
      </c>
      <c r="G35">
        <v>1</v>
      </c>
      <c r="H35">
        <v>799</v>
      </c>
      <c r="I35">
        <v>0</v>
      </c>
      <c r="J35" t="s">
        <v>139</v>
      </c>
      <c r="K35" t="s">
        <v>40</v>
      </c>
      <c r="L35" t="s">
        <v>46</v>
      </c>
      <c r="M35" s="16">
        <f t="shared" si="0"/>
        <v>799</v>
      </c>
    </row>
    <row r="36" spans="1:13" x14ac:dyDescent="0.3">
      <c r="A36">
        <v>20033</v>
      </c>
      <c r="B36" s="15">
        <v>45612</v>
      </c>
      <c r="C36" t="s">
        <v>111</v>
      </c>
      <c r="D36" t="s">
        <v>95</v>
      </c>
      <c r="E36" t="s">
        <v>69</v>
      </c>
      <c r="F36" t="s">
        <v>68</v>
      </c>
      <c r="G36">
        <v>7</v>
      </c>
      <c r="H36">
        <v>6999</v>
      </c>
      <c r="I36">
        <v>0.15</v>
      </c>
      <c r="J36" t="s">
        <v>143</v>
      </c>
      <c r="K36" t="s">
        <v>57</v>
      </c>
      <c r="L36" t="s">
        <v>46</v>
      </c>
      <c r="M36" s="16">
        <f t="shared" si="0"/>
        <v>41644.049999999996</v>
      </c>
    </row>
    <row r="37" spans="1:13" x14ac:dyDescent="0.3">
      <c r="A37">
        <v>20034</v>
      </c>
      <c r="B37" s="15">
        <v>45603</v>
      </c>
      <c r="C37" t="s">
        <v>106</v>
      </c>
      <c r="D37" t="s">
        <v>59</v>
      </c>
      <c r="E37" t="s">
        <v>69</v>
      </c>
      <c r="F37" t="s">
        <v>63</v>
      </c>
      <c r="G37">
        <v>1</v>
      </c>
      <c r="H37">
        <v>15999</v>
      </c>
      <c r="I37">
        <v>0.1</v>
      </c>
      <c r="J37" t="s">
        <v>145</v>
      </c>
      <c r="K37" t="s">
        <v>65</v>
      </c>
      <c r="L37" t="s">
        <v>46</v>
      </c>
      <c r="M37" s="16">
        <f t="shared" si="0"/>
        <v>14399.1</v>
      </c>
    </row>
    <row r="38" spans="1:13" x14ac:dyDescent="0.3">
      <c r="A38">
        <v>20035</v>
      </c>
      <c r="B38" s="15">
        <v>45389</v>
      </c>
      <c r="C38" t="s">
        <v>117</v>
      </c>
      <c r="D38" t="s">
        <v>59</v>
      </c>
      <c r="E38" t="s">
        <v>75</v>
      </c>
      <c r="F38" t="s">
        <v>99</v>
      </c>
      <c r="G38">
        <v>7</v>
      </c>
      <c r="H38">
        <v>12999</v>
      </c>
      <c r="I38">
        <v>0.15</v>
      </c>
      <c r="J38" t="s">
        <v>141</v>
      </c>
      <c r="K38" t="s">
        <v>45</v>
      </c>
      <c r="L38" t="s">
        <v>41</v>
      </c>
      <c r="M38" s="16">
        <f t="shared" si="0"/>
        <v>77344.05</v>
      </c>
    </row>
    <row r="39" spans="1:13" x14ac:dyDescent="0.3">
      <c r="A39">
        <v>20036</v>
      </c>
      <c r="B39" s="15">
        <v>45331</v>
      </c>
      <c r="C39" t="s">
        <v>87</v>
      </c>
      <c r="D39" t="s">
        <v>52</v>
      </c>
      <c r="E39" t="s">
        <v>75</v>
      </c>
      <c r="F39" t="s">
        <v>43</v>
      </c>
      <c r="G39">
        <v>2</v>
      </c>
      <c r="H39">
        <v>6499</v>
      </c>
      <c r="I39">
        <v>0.1</v>
      </c>
      <c r="J39" t="s">
        <v>141</v>
      </c>
      <c r="K39" t="s">
        <v>40</v>
      </c>
      <c r="L39" t="s">
        <v>46</v>
      </c>
      <c r="M39" s="16">
        <f t="shared" si="0"/>
        <v>11698.2</v>
      </c>
    </row>
    <row r="40" spans="1:13" x14ac:dyDescent="0.3">
      <c r="A40">
        <v>20037</v>
      </c>
      <c r="B40" s="15">
        <v>45383</v>
      </c>
      <c r="C40" t="s">
        <v>118</v>
      </c>
      <c r="D40" t="s">
        <v>59</v>
      </c>
      <c r="E40" t="s">
        <v>53</v>
      </c>
      <c r="F40" t="s">
        <v>91</v>
      </c>
      <c r="G40">
        <v>8</v>
      </c>
      <c r="H40">
        <v>249</v>
      </c>
      <c r="I40">
        <v>0</v>
      </c>
      <c r="J40" t="s">
        <v>143</v>
      </c>
      <c r="K40" t="s">
        <v>57</v>
      </c>
      <c r="L40" t="s">
        <v>50</v>
      </c>
      <c r="M40" s="16">
        <f t="shared" si="0"/>
        <v>1992</v>
      </c>
    </row>
    <row r="41" spans="1:13" x14ac:dyDescent="0.3">
      <c r="A41">
        <v>20038</v>
      </c>
      <c r="B41" s="15">
        <v>45502</v>
      </c>
      <c r="C41" t="s">
        <v>110</v>
      </c>
      <c r="D41" t="s">
        <v>95</v>
      </c>
      <c r="E41" t="s">
        <v>53</v>
      </c>
      <c r="F41" t="s">
        <v>58</v>
      </c>
      <c r="G41">
        <v>4</v>
      </c>
      <c r="H41">
        <v>429</v>
      </c>
      <c r="I41">
        <v>0</v>
      </c>
      <c r="J41" t="s">
        <v>141</v>
      </c>
      <c r="K41" t="s">
        <v>40</v>
      </c>
      <c r="L41" t="s">
        <v>46</v>
      </c>
      <c r="M41" s="16">
        <f t="shared" si="0"/>
        <v>1716</v>
      </c>
    </row>
    <row r="42" spans="1:13" x14ac:dyDescent="0.3">
      <c r="A42">
        <v>20039</v>
      </c>
      <c r="B42" s="15">
        <v>45529</v>
      </c>
      <c r="C42" t="s">
        <v>98</v>
      </c>
      <c r="D42" t="s">
        <v>52</v>
      </c>
      <c r="E42" t="s">
        <v>53</v>
      </c>
      <c r="F42" t="s">
        <v>91</v>
      </c>
      <c r="G42">
        <v>7</v>
      </c>
      <c r="H42">
        <v>249</v>
      </c>
      <c r="I42">
        <v>0.1</v>
      </c>
      <c r="J42" t="s">
        <v>139</v>
      </c>
      <c r="K42" t="s">
        <v>49</v>
      </c>
      <c r="L42" t="s">
        <v>41</v>
      </c>
      <c r="M42" s="16">
        <f t="shared" si="0"/>
        <v>1568.7</v>
      </c>
    </row>
    <row r="43" spans="1:13" x14ac:dyDescent="0.3">
      <c r="A43">
        <v>20040</v>
      </c>
      <c r="B43" s="15">
        <v>45566</v>
      </c>
      <c r="C43" t="s">
        <v>94</v>
      </c>
      <c r="D43" t="s">
        <v>59</v>
      </c>
      <c r="E43" t="s">
        <v>53</v>
      </c>
      <c r="F43" t="s">
        <v>58</v>
      </c>
      <c r="G43">
        <v>2</v>
      </c>
      <c r="H43">
        <v>429</v>
      </c>
      <c r="I43">
        <v>0.1</v>
      </c>
      <c r="J43" t="s">
        <v>143</v>
      </c>
      <c r="K43" t="s">
        <v>49</v>
      </c>
      <c r="L43" t="s">
        <v>46</v>
      </c>
      <c r="M43" s="16">
        <f t="shared" si="0"/>
        <v>772.2</v>
      </c>
    </row>
    <row r="44" spans="1:13" x14ac:dyDescent="0.3">
      <c r="A44">
        <v>20041</v>
      </c>
      <c r="B44" s="15">
        <v>45573</v>
      </c>
      <c r="C44" t="s">
        <v>93</v>
      </c>
      <c r="D44" t="s">
        <v>59</v>
      </c>
      <c r="E44" t="s">
        <v>75</v>
      </c>
      <c r="F44" t="s">
        <v>48</v>
      </c>
      <c r="G44">
        <v>8</v>
      </c>
      <c r="H44">
        <v>799</v>
      </c>
      <c r="I44">
        <v>0.1</v>
      </c>
      <c r="J44" t="s">
        <v>144</v>
      </c>
      <c r="K44" t="s">
        <v>49</v>
      </c>
      <c r="L44" t="s">
        <v>41</v>
      </c>
      <c r="M44" s="16">
        <f t="shared" si="0"/>
        <v>5752.8</v>
      </c>
    </row>
    <row r="45" spans="1:13" x14ac:dyDescent="0.3">
      <c r="A45">
        <v>20042</v>
      </c>
      <c r="B45" s="15">
        <v>45564</v>
      </c>
      <c r="C45" t="s">
        <v>98</v>
      </c>
      <c r="D45" t="s">
        <v>52</v>
      </c>
      <c r="E45" t="s">
        <v>75</v>
      </c>
      <c r="F45" t="s">
        <v>100</v>
      </c>
      <c r="G45">
        <v>1</v>
      </c>
      <c r="H45">
        <v>5999</v>
      </c>
      <c r="I45">
        <v>0.05</v>
      </c>
      <c r="J45" t="s">
        <v>144</v>
      </c>
      <c r="K45" t="s">
        <v>45</v>
      </c>
      <c r="L45" t="s">
        <v>50</v>
      </c>
      <c r="M45" s="16">
        <f t="shared" si="0"/>
        <v>5699.05</v>
      </c>
    </row>
    <row r="46" spans="1:13" x14ac:dyDescent="0.3">
      <c r="A46">
        <v>20043</v>
      </c>
      <c r="B46" s="15">
        <v>45516</v>
      </c>
      <c r="C46" t="s">
        <v>111</v>
      </c>
      <c r="D46" t="s">
        <v>72</v>
      </c>
      <c r="E46" t="s">
        <v>55</v>
      </c>
      <c r="F46" t="s">
        <v>56</v>
      </c>
      <c r="G46">
        <v>2</v>
      </c>
      <c r="H46">
        <v>3999</v>
      </c>
      <c r="I46">
        <v>0.05</v>
      </c>
      <c r="J46" t="s">
        <v>143</v>
      </c>
      <c r="K46" t="s">
        <v>57</v>
      </c>
      <c r="L46" t="s">
        <v>50</v>
      </c>
      <c r="M46" s="16">
        <f t="shared" si="0"/>
        <v>7598.0999999999995</v>
      </c>
    </row>
    <row r="47" spans="1:13" x14ac:dyDescent="0.3">
      <c r="A47">
        <v>20044</v>
      </c>
      <c r="B47" s="15">
        <v>45604</v>
      </c>
      <c r="C47" t="s">
        <v>36</v>
      </c>
      <c r="D47" t="s">
        <v>59</v>
      </c>
      <c r="E47" t="s">
        <v>53</v>
      </c>
      <c r="F47" t="s">
        <v>86</v>
      </c>
      <c r="G47">
        <v>5</v>
      </c>
      <c r="H47">
        <v>599</v>
      </c>
      <c r="I47">
        <v>0.15</v>
      </c>
      <c r="J47" t="s">
        <v>141</v>
      </c>
      <c r="K47" t="s">
        <v>57</v>
      </c>
      <c r="L47" t="s">
        <v>50</v>
      </c>
      <c r="M47" s="16">
        <f t="shared" si="0"/>
        <v>2545.75</v>
      </c>
    </row>
    <row r="48" spans="1:13" x14ac:dyDescent="0.3">
      <c r="A48">
        <v>20045</v>
      </c>
      <c r="B48" s="15">
        <v>45566</v>
      </c>
      <c r="C48" t="s">
        <v>80</v>
      </c>
      <c r="D48" t="s">
        <v>72</v>
      </c>
      <c r="E48" t="s">
        <v>69</v>
      </c>
      <c r="F48" t="s">
        <v>70</v>
      </c>
      <c r="G48">
        <v>4</v>
      </c>
      <c r="H48">
        <v>5499</v>
      </c>
      <c r="I48">
        <v>0.15</v>
      </c>
      <c r="J48" t="s">
        <v>139</v>
      </c>
      <c r="K48" t="s">
        <v>57</v>
      </c>
      <c r="L48" t="s">
        <v>46</v>
      </c>
      <c r="M48" s="16">
        <f t="shared" si="0"/>
        <v>18696.599999999999</v>
      </c>
    </row>
    <row r="49" spans="1:13" x14ac:dyDescent="0.3">
      <c r="A49">
        <v>20046</v>
      </c>
      <c r="B49" s="15">
        <v>45543</v>
      </c>
      <c r="C49" t="s">
        <v>51</v>
      </c>
      <c r="D49" t="s">
        <v>52</v>
      </c>
      <c r="E49" t="s">
        <v>75</v>
      </c>
      <c r="F49" t="s">
        <v>48</v>
      </c>
      <c r="G49">
        <v>7</v>
      </c>
      <c r="H49">
        <v>799</v>
      </c>
      <c r="I49">
        <v>0</v>
      </c>
      <c r="J49" t="s">
        <v>139</v>
      </c>
      <c r="K49" t="s">
        <v>57</v>
      </c>
      <c r="L49" t="s">
        <v>46</v>
      </c>
      <c r="M49" s="16">
        <f t="shared" si="0"/>
        <v>5593</v>
      </c>
    </row>
    <row r="50" spans="1:13" x14ac:dyDescent="0.3">
      <c r="A50">
        <v>20047</v>
      </c>
      <c r="B50" s="15">
        <v>45534</v>
      </c>
      <c r="C50" t="s">
        <v>89</v>
      </c>
      <c r="D50" t="s">
        <v>52</v>
      </c>
      <c r="E50" t="s">
        <v>55</v>
      </c>
      <c r="F50" t="s">
        <v>56</v>
      </c>
      <c r="G50">
        <v>5</v>
      </c>
      <c r="H50">
        <v>3999</v>
      </c>
      <c r="I50">
        <v>0.05</v>
      </c>
      <c r="J50" t="s">
        <v>143</v>
      </c>
      <c r="K50" t="s">
        <v>40</v>
      </c>
      <c r="L50" t="s">
        <v>46</v>
      </c>
      <c r="M50" s="16">
        <f t="shared" si="0"/>
        <v>18995.25</v>
      </c>
    </row>
    <row r="51" spans="1:13" x14ac:dyDescent="0.3">
      <c r="A51">
        <v>20048</v>
      </c>
      <c r="B51" s="15">
        <v>45608</v>
      </c>
      <c r="C51" t="s">
        <v>117</v>
      </c>
      <c r="D51" t="s">
        <v>59</v>
      </c>
      <c r="E51" t="s">
        <v>69</v>
      </c>
      <c r="F51" t="s">
        <v>63</v>
      </c>
      <c r="G51">
        <v>4</v>
      </c>
      <c r="H51">
        <v>15999</v>
      </c>
      <c r="I51">
        <v>0.15</v>
      </c>
      <c r="J51" t="s">
        <v>141</v>
      </c>
      <c r="K51" t="s">
        <v>49</v>
      </c>
      <c r="L51" t="s">
        <v>41</v>
      </c>
      <c r="M51" s="16">
        <f t="shared" si="0"/>
        <v>54396.6</v>
      </c>
    </row>
    <row r="52" spans="1:13" x14ac:dyDescent="0.3">
      <c r="A52">
        <v>20049</v>
      </c>
      <c r="B52" s="15">
        <v>45643</v>
      </c>
      <c r="C52" t="s">
        <v>47</v>
      </c>
      <c r="D52" t="s">
        <v>59</v>
      </c>
      <c r="E52" t="s">
        <v>53</v>
      </c>
      <c r="F52" t="s">
        <v>54</v>
      </c>
      <c r="G52">
        <v>4</v>
      </c>
      <c r="H52">
        <v>149</v>
      </c>
      <c r="I52">
        <v>0</v>
      </c>
      <c r="J52" t="s">
        <v>143</v>
      </c>
      <c r="K52" t="s">
        <v>45</v>
      </c>
      <c r="L52" t="s">
        <v>50</v>
      </c>
      <c r="M52" s="16">
        <f t="shared" si="0"/>
        <v>596</v>
      </c>
    </row>
    <row r="53" spans="1:13" x14ac:dyDescent="0.3">
      <c r="A53">
        <v>20050</v>
      </c>
      <c r="B53" s="15">
        <v>45553</v>
      </c>
      <c r="C53" t="s">
        <v>116</v>
      </c>
      <c r="D53" t="s">
        <v>59</v>
      </c>
      <c r="E53" t="s">
        <v>55</v>
      </c>
      <c r="F53" t="s">
        <v>103</v>
      </c>
      <c r="G53">
        <v>8</v>
      </c>
      <c r="H53">
        <v>999</v>
      </c>
      <c r="I53">
        <v>0</v>
      </c>
      <c r="J53" t="s">
        <v>141</v>
      </c>
      <c r="K53" t="s">
        <v>57</v>
      </c>
      <c r="L53" t="s">
        <v>46</v>
      </c>
      <c r="M53" s="16">
        <f t="shared" si="0"/>
        <v>7992</v>
      </c>
    </row>
    <row r="54" spans="1:13" x14ac:dyDescent="0.3">
      <c r="A54">
        <v>20051</v>
      </c>
      <c r="B54" s="15">
        <v>45567</v>
      </c>
      <c r="C54" t="s">
        <v>36</v>
      </c>
      <c r="D54" t="s">
        <v>72</v>
      </c>
      <c r="E54" t="s">
        <v>75</v>
      </c>
      <c r="F54" t="s">
        <v>100</v>
      </c>
      <c r="G54">
        <v>7</v>
      </c>
      <c r="H54">
        <v>5999</v>
      </c>
      <c r="I54">
        <v>0.05</v>
      </c>
      <c r="J54" t="s">
        <v>141</v>
      </c>
      <c r="K54" t="s">
        <v>57</v>
      </c>
      <c r="L54" t="s">
        <v>41</v>
      </c>
      <c r="M54" s="16">
        <f t="shared" si="0"/>
        <v>39893.35</v>
      </c>
    </row>
    <row r="55" spans="1:13" x14ac:dyDescent="0.3">
      <c r="A55">
        <v>20052</v>
      </c>
      <c r="B55" s="15">
        <v>45453</v>
      </c>
      <c r="C55" t="s">
        <v>116</v>
      </c>
      <c r="D55" t="s">
        <v>59</v>
      </c>
      <c r="E55" t="s">
        <v>53</v>
      </c>
      <c r="F55" t="s">
        <v>90</v>
      </c>
      <c r="G55">
        <v>6</v>
      </c>
      <c r="H55">
        <v>199</v>
      </c>
      <c r="I55">
        <v>0.05</v>
      </c>
      <c r="J55" t="s">
        <v>141</v>
      </c>
      <c r="K55" t="s">
        <v>45</v>
      </c>
      <c r="L55" t="s">
        <v>41</v>
      </c>
      <c r="M55" s="16">
        <f t="shared" si="0"/>
        <v>1134.3</v>
      </c>
    </row>
    <row r="56" spans="1:13" x14ac:dyDescent="0.3">
      <c r="A56">
        <v>20053</v>
      </c>
      <c r="B56" s="15">
        <v>45664</v>
      </c>
      <c r="C56" t="s">
        <v>51</v>
      </c>
      <c r="D56" t="s">
        <v>59</v>
      </c>
      <c r="E56" t="s">
        <v>75</v>
      </c>
      <c r="F56" t="s">
        <v>99</v>
      </c>
      <c r="G56">
        <v>4</v>
      </c>
      <c r="H56">
        <v>12999</v>
      </c>
      <c r="I56">
        <v>0.05</v>
      </c>
      <c r="J56" t="s">
        <v>144</v>
      </c>
      <c r="K56" t="s">
        <v>49</v>
      </c>
      <c r="L56" t="s">
        <v>46</v>
      </c>
      <c r="M56" s="16">
        <f t="shared" si="0"/>
        <v>49396.2</v>
      </c>
    </row>
    <row r="57" spans="1:13" x14ac:dyDescent="0.3">
      <c r="A57">
        <v>20054</v>
      </c>
      <c r="B57" s="15">
        <v>45498</v>
      </c>
      <c r="C57" t="s">
        <v>97</v>
      </c>
      <c r="D57" t="s">
        <v>74</v>
      </c>
      <c r="E57" t="s">
        <v>55</v>
      </c>
      <c r="F57" t="s">
        <v>73</v>
      </c>
      <c r="G57">
        <v>3</v>
      </c>
      <c r="H57">
        <v>5499</v>
      </c>
      <c r="I57">
        <v>0.05</v>
      </c>
      <c r="J57" t="s">
        <v>139</v>
      </c>
      <c r="K57" t="s">
        <v>45</v>
      </c>
      <c r="L57" t="s">
        <v>50</v>
      </c>
      <c r="M57" s="16">
        <f t="shared" si="0"/>
        <v>15672.15</v>
      </c>
    </row>
    <row r="58" spans="1:13" x14ac:dyDescent="0.3">
      <c r="A58">
        <v>20055</v>
      </c>
      <c r="B58" s="15">
        <v>45549</v>
      </c>
      <c r="C58" t="s">
        <v>87</v>
      </c>
      <c r="D58" t="s">
        <v>52</v>
      </c>
      <c r="E58" t="s">
        <v>69</v>
      </c>
      <c r="F58" t="s">
        <v>61</v>
      </c>
      <c r="G58">
        <v>2</v>
      </c>
      <c r="H58">
        <v>18999</v>
      </c>
      <c r="I58">
        <v>0.1</v>
      </c>
      <c r="J58" t="s">
        <v>139</v>
      </c>
      <c r="K58" t="s">
        <v>40</v>
      </c>
      <c r="L58" t="s">
        <v>41</v>
      </c>
      <c r="M58" s="16">
        <f t="shared" si="0"/>
        <v>34198.200000000004</v>
      </c>
    </row>
    <row r="59" spans="1:13" x14ac:dyDescent="0.3">
      <c r="A59">
        <v>20056</v>
      </c>
      <c r="B59" s="15">
        <v>45389</v>
      </c>
      <c r="C59" t="s">
        <v>81</v>
      </c>
      <c r="D59" t="s">
        <v>74</v>
      </c>
      <c r="E59" t="s">
        <v>75</v>
      </c>
      <c r="F59" t="s">
        <v>48</v>
      </c>
      <c r="G59">
        <v>8</v>
      </c>
      <c r="H59">
        <v>799</v>
      </c>
      <c r="I59">
        <v>0.05</v>
      </c>
      <c r="J59" t="s">
        <v>141</v>
      </c>
      <c r="K59" t="s">
        <v>45</v>
      </c>
      <c r="L59" t="s">
        <v>41</v>
      </c>
      <c r="M59" s="16">
        <f t="shared" si="0"/>
        <v>6072.4</v>
      </c>
    </row>
    <row r="60" spans="1:13" x14ac:dyDescent="0.3">
      <c r="A60">
        <v>20057</v>
      </c>
      <c r="B60" s="15">
        <v>45640</v>
      </c>
      <c r="C60" t="s">
        <v>71</v>
      </c>
      <c r="D60" t="s">
        <v>74</v>
      </c>
      <c r="E60" t="s">
        <v>69</v>
      </c>
      <c r="F60" t="s">
        <v>63</v>
      </c>
      <c r="G60">
        <v>1</v>
      </c>
      <c r="H60">
        <v>15999</v>
      </c>
      <c r="I60">
        <v>0.05</v>
      </c>
      <c r="J60" t="s">
        <v>139</v>
      </c>
      <c r="K60" t="s">
        <v>65</v>
      </c>
      <c r="L60" t="s">
        <v>46</v>
      </c>
      <c r="M60" s="16">
        <f t="shared" si="0"/>
        <v>15199.05</v>
      </c>
    </row>
    <row r="61" spans="1:13" x14ac:dyDescent="0.3">
      <c r="A61">
        <v>20058</v>
      </c>
      <c r="B61" s="15">
        <v>45399</v>
      </c>
      <c r="C61" t="s">
        <v>116</v>
      </c>
      <c r="D61" t="s">
        <v>59</v>
      </c>
      <c r="E61" t="s">
        <v>55</v>
      </c>
      <c r="F61" t="s">
        <v>56</v>
      </c>
      <c r="G61">
        <v>6</v>
      </c>
      <c r="H61">
        <v>3999</v>
      </c>
      <c r="I61">
        <v>0.15</v>
      </c>
      <c r="J61" t="s">
        <v>139</v>
      </c>
      <c r="K61" t="s">
        <v>49</v>
      </c>
      <c r="L61" t="s">
        <v>41</v>
      </c>
      <c r="M61" s="16">
        <f t="shared" si="0"/>
        <v>20394.899999999998</v>
      </c>
    </row>
    <row r="62" spans="1:13" x14ac:dyDescent="0.3">
      <c r="A62">
        <v>20059</v>
      </c>
      <c r="B62" s="15">
        <v>45670</v>
      </c>
      <c r="C62" t="s">
        <v>77</v>
      </c>
      <c r="D62" t="s">
        <v>95</v>
      </c>
      <c r="E62" t="s">
        <v>53</v>
      </c>
      <c r="F62" t="s">
        <v>58</v>
      </c>
      <c r="G62">
        <v>8</v>
      </c>
      <c r="H62">
        <v>429</v>
      </c>
      <c r="I62">
        <v>0.1</v>
      </c>
      <c r="J62" t="s">
        <v>141</v>
      </c>
      <c r="K62" t="s">
        <v>57</v>
      </c>
      <c r="L62" t="s">
        <v>41</v>
      </c>
      <c r="M62" s="16">
        <f t="shared" si="0"/>
        <v>3088.8</v>
      </c>
    </row>
    <row r="63" spans="1:13" x14ac:dyDescent="0.3">
      <c r="A63">
        <v>20060</v>
      </c>
      <c r="B63" s="15">
        <v>45652</v>
      </c>
      <c r="C63" t="s">
        <v>62</v>
      </c>
      <c r="D63" t="s">
        <v>95</v>
      </c>
      <c r="E63" t="s">
        <v>75</v>
      </c>
      <c r="F63" t="s">
        <v>48</v>
      </c>
      <c r="G63">
        <v>6</v>
      </c>
      <c r="H63">
        <v>799</v>
      </c>
      <c r="I63">
        <v>0</v>
      </c>
      <c r="J63" t="s">
        <v>145</v>
      </c>
      <c r="K63" t="s">
        <v>57</v>
      </c>
      <c r="L63" t="s">
        <v>41</v>
      </c>
      <c r="M63" s="16">
        <f t="shared" si="0"/>
        <v>4794</v>
      </c>
    </row>
    <row r="64" spans="1:13" x14ac:dyDescent="0.3">
      <c r="A64">
        <v>20061</v>
      </c>
      <c r="B64" s="15">
        <v>45673</v>
      </c>
      <c r="C64" t="s">
        <v>110</v>
      </c>
      <c r="D64" t="s">
        <v>52</v>
      </c>
      <c r="E64" t="s">
        <v>69</v>
      </c>
      <c r="F64" t="s">
        <v>85</v>
      </c>
      <c r="G64">
        <v>5</v>
      </c>
      <c r="H64">
        <v>24999</v>
      </c>
      <c r="I64">
        <v>0</v>
      </c>
      <c r="J64" t="s">
        <v>144</v>
      </c>
      <c r="K64" t="s">
        <v>45</v>
      </c>
      <c r="L64" t="s">
        <v>46</v>
      </c>
      <c r="M64" s="16">
        <f t="shared" si="0"/>
        <v>124995</v>
      </c>
    </row>
    <row r="65" spans="1:13" x14ac:dyDescent="0.3">
      <c r="A65">
        <v>20062</v>
      </c>
      <c r="B65" s="15">
        <v>45397</v>
      </c>
      <c r="C65" t="s">
        <v>110</v>
      </c>
      <c r="D65" t="s">
        <v>52</v>
      </c>
      <c r="E65" t="s">
        <v>69</v>
      </c>
      <c r="F65" t="s">
        <v>83</v>
      </c>
      <c r="G65">
        <v>3</v>
      </c>
      <c r="H65">
        <v>1299</v>
      </c>
      <c r="I65">
        <v>0.15</v>
      </c>
      <c r="J65" t="s">
        <v>139</v>
      </c>
      <c r="K65" t="s">
        <v>65</v>
      </c>
      <c r="L65" t="s">
        <v>46</v>
      </c>
      <c r="M65" s="16">
        <f t="shared" si="0"/>
        <v>3312.45</v>
      </c>
    </row>
    <row r="66" spans="1:13" x14ac:dyDescent="0.3">
      <c r="A66">
        <v>20063</v>
      </c>
      <c r="B66" s="15">
        <v>45619</v>
      </c>
      <c r="C66" t="s">
        <v>116</v>
      </c>
      <c r="D66" t="s">
        <v>74</v>
      </c>
      <c r="E66" t="s">
        <v>55</v>
      </c>
      <c r="F66" t="s">
        <v>103</v>
      </c>
      <c r="G66">
        <v>1</v>
      </c>
      <c r="H66">
        <v>999</v>
      </c>
      <c r="I66">
        <v>0.1</v>
      </c>
      <c r="J66" t="s">
        <v>141</v>
      </c>
      <c r="K66" t="s">
        <v>65</v>
      </c>
      <c r="L66" t="s">
        <v>50</v>
      </c>
      <c r="M66" s="16">
        <f t="shared" si="0"/>
        <v>899.1</v>
      </c>
    </row>
    <row r="67" spans="1:13" x14ac:dyDescent="0.3">
      <c r="A67">
        <v>20064</v>
      </c>
      <c r="B67" s="15">
        <v>45583</v>
      </c>
      <c r="C67" t="s">
        <v>81</v>
      </c>
      <c r="D67" t="s">
        <v>72</v>
      </c>
      <c r="E67" t="s">
        <v>69</v>
      </c>
      <c r="F67" t="s">
        <v>61</v>
      </c>
      <c r="G67">
        <v>4</v>
      </c>
      <c r="H67">
        <v>18999</v>
      </c>
      <c r="I67">
        <v>0.15</v>
      </c>
      <c r="J67" t="s">
        <v>139</v>
      </c>
      <c r="K67" t="s">
        <v>40</v>
      </c>
      <c r="L67" t="s">
        <v>50</v>
      </c>
      <c r="M67" s="16">
        <f t="shared" si="0"/>
        <v>64596.6</v>
      </c>
    </row>
    <row r="68" spans="1:13" x14ac:dyDescent="0.3">
      <c r="A68">
        <v>20065</v>
      </c>
      <c r="B68" s="15">
        <v>45682</v>
      </c>
      <c r="C68" t="s">
        <v>112</v>
      </c>
      <c r="D68" t="s">
        <v>72</v>
      </c>
      <c r="E68" t="s">
        <v>55</v>
      </c>
      <c r="F68" t="s">
        <v>79</v>
      </c>
      <c r="G68">
        <v>4</v>
      </c>
      <c r="H68">
        <v>599</v>
      </c>
      <c r="I68">
        <v>0</v>
      </c>
      <c r="J68" t="s">
        <v>139</v>
      </c>
      <c r="K68" t="s">
        <v>49</v>
      </c>
      <c r="L68" t="s">
        <v>50</v>
      </c>
      <c r="M68" s="16">
        <f t="shared" si="0"/>
        <v>2396</v>
      </c>
    </row>
    <row r="69" spans="1:13" x14ac:dyDescent="0.3">
      <c r="A69">
        <v>20066</v>
      </c>
      <c r="B69" s="15">
        <v>45497</v>
      </c>
      <c r="C69" t="s">
        <v>111</v>
      </c>
      <c r="D69" t="s">
        <v>74</v>
      </c>
      <c r="E69" t="s">
        <v>75</v>
      </c>
      <c r="F69" t="s">
        <v>105</v>
      </c>
      <c r="G69">
        <v>5</v>
      </c>
      <c r="H69">
        <v>1199</v>
      </c>
      <c r="I69">
        <v>0.15</v>
      </c>
      <c r="J69" t="s">
        <v>141</v>
      </c>
      <c r="K69" t="s">
        <v>40</v>
      </c>
      <c r="L69" t="s">
        <v>41</v>
      </c>
      <c r="M69" s="16">
        <f t="shared" ref="M69:M132" si="1">G69*H69*(1-I69)</f>
        <v>5095.75</v>
      </c>
    </row>
    <row r="70" spans="1:13" x14ac:dyDescent="0.3">
      <c r="A70">
        <v>20067</v>
      </c>
      <c r="B70" s="15">
        <v>45466</v>
      </c>
      <c r="C70" t="s">
        <v>42</v>
      </c>
      <c r="D70" t="s">
        <v>72</v>
      </c>
      <c r="E70" t="s">
        <v>75</v>
      </c>
      <c r="F70" t="s">
        <v>38</v>
      </c>
      <c r="G70">
        <v>5</v>
      </c>
      <c r="H70">
        <v>2999</v>
      </c>
      <c r="I70">
        <v>0.1</v>
      </c>
      <c r="J70" t="s">
        <v>145</v>
      </c>
      <c r="K70" t="s">
        <v>40</v>
      </c>
      <c r="L70" t="s">
        <v>50</v>
      </c>
      <c r="M70" s="16">
        <f t="shared" si="1"/>
        <v>13495.5</v>
      </c>
    </row>
    <row r="71" spans="1:13" x14ac:dyDescent="0.3">
      <c r="A71">
        <v>20068</v>
      </c>
      <c r="B71" s="15">
        <v>45489</v>
      </c>
      <c r="C71" t="s">
        <v>81</v>
      </c>
      <c r="D71" t="s">
        <v>95</v>
      </c>
      <c r="E71" t="s">
        <v>75</v>
      </c>
      <c r="F71" t="s">
        <v>43</v>
      </c>
      <c r="G71">
        <v>2</v>
      </c>
      <c r="H71">
        <v>6499</v>
      </c>
      <c r="I71">
        <v>0</v>
      </c>
      <c r="J71" t="s">
        <v>144</v>
      </c>
      <c r="K71" t="s">
        <v>45</v>
      </c>
      <c r="L71" t="s">
        <v>46</v>
      </c>
      <c r="M71" s="16">
        <f t="shared" si="1"/>
        <v>12998</v>
      </c>
    </row>
    <row r="72" spans="1:13" x14ac:dyDescent="0.3">
      <c r="A72">
        <v>20069</v>
      </c>
      <c r="B72" s="15">
        <v>45437</v>
      </c>
      <c r="C72" t="s">
        <v>111</v>
      </c>
      <c r="D72" t="s">
        <v>95</v>
      </c>
      <c r="E72" t="s">
        <v>75</v>
      </c>
      <c r="F72" t="s">
        <v>100</v>
      </c>
      <c r="G72">
        <v>8</v>
      </c>
      <c r="H72">
        <v>5999</v>
      </c>
      <c r="I72">
        <v>0.15</v>
      </c>
      <c r="J72" t="s">
        <v>145</v>
      </c>
      <c r="K72" t="s">
        <v>65</v>
      </c>
      <c r="L72" t="s">
        <v>46</v>
      </c>
      <c r="M72" s="16">
        <f t="shared" si="1"/>
        <v>40793.199999999997</v>
      </c>
    </row>
    <row r="73" spans="1:13" x14ac:dyDescent="0.3">
      <c r="A73">
        <v>20070</v>
      </c>
      <c r="B73" s="15">
        <v>45631</v>
      </c>
      <c r="C73" t="s">
        <v>113</v>
      </c>
      <c r="D73" t="s">
        <v>59</v>
      </c>
      <c r="E73" t="s">
        <v>69</v>
      </c>
      <c r="F73" t="s">
        <v>70</v>
      </c>
      <c r="G73">
        <v>5</v>
      </c>
      <c r="H73">
        <v>5499</v>
      </c>
      <c r="I73">
        <v>0.1</v>
      </c>
      <c r="J73" t="s">
        <v>139</v>
      </c>
      <c r="K73" t="s">
        <v>49</v>
      </c>
      <c r="L73" t="s">
        <v>41</v>
      </c>
      <c r="M73" s="16">
        <f t="shared" si="1"/>
        <v>24745.5</v>
      </c>
    </row>
    <row r="74" spans="1:13" x14ac:dyDescent="0.3">
      <c r="A74">
        <v>20071</v>
      </c>
      <c r="B74" s="15">
        <v>45319</v>
      </c>
      <c r="C74" t="s">
        <v>98</v>
      </c>
      <c r="D74" t="s">
        <v>95</v>
      </c>
      <c r="E74" t="s">
        <v>75</v>
      </c>
      <c r="F74" t="s">
        <v>99</v>
      </c>
      <c r="G74">
        <v>7</v>
      </c>
      <c r="H74">
        <v>12999</v>
      </c>
      <c r="I74">
        <v>0.15</v>
      </c>
      <c r="J74" t="s">
        <v>139</v>
      </c>
      <c r="K74" t="s">
        <v>57</v>
      </c>
      <c r="L74" t="s">
        <v>50</v>
      </c>
      <c r="M74" s="16">
        <f t="shared" si="1"/>
        <v>77344.05</v>
      </c>
    </row>
    <row r="75" spans="1:13" x14ac:dyDescent="0.3">
      <c r="A75">
        <v>20072</v>
      </c>
      <c r="B75" s="15">
        <v>45660</v>
      </c>
      <c r="C75" t="s">
        <v>89</v>
      </c>
      <c r="D75" t="s">
        <v>59</v>
      </c>
      <c r="E75" t="s">
        <v>69</v>
      </c>
      <c r="F75" t="s">
        <v>63</v>
      </c>
      <c r="G75">
        <v>4</v>
      </c>
      <c r="H75">
        <v>15999</v>
      </c>
      <c r="I75">
        <v>0.15</v>
      </c>
      <c r="J75" t="s">
        <v>141</v>
      </c>
      <c r="K75" t="s">
        <v>49</v>
      </c>
      <c r="L75" t="s">
        <v>50</v>
      </c>
      <c r="M75" s="16">
        <f t="shared" si="1"/>
        <v>54396.6</v>
      </c>
    </row>
    <row r="76" spans="1:13" x14ac:dyDescent="0.3">
      <c r="A76">
        <v>20073</v>
      </c>
      <c r="B76" s="15">
        <v>45601</v>
      </c>
      <c r="C76" t="s">
        <v>113</v>
      </c>
      <c r="D76" t="s">
        <v>74</v>
      </c>
      <c r="E76" t="s">
        <v>75</v>
      </c>
      <c r="F76" t="s">
        <v>43</v>
      </c>
      <c r="G76">
        <v>3</v>
      </c>
      <c r="H76">
        <v>6499</v>
      </c>
      <c r="I76">
        <v>0.05</v>
      </c>
      <c r="J76" t="s">
        <v>139</v>
      </c>
      <c r="K76" t="s">
        <v>57</v>
      </c>
      <c r="L76" t="s">
        <v>46</v>
      </c>
      <c r="M76" s="16">
        <f t="shared" si="1"/>
        <v>18522.149999999998</v>
      </c>
    </row>
    <row r="77" spans="1:13" x14ac:dyDescent="0.3">
      <c r="A77">
        <v>20074</v>
      </c>
      <c r="B77" s="15">
        <v>45474</v>
      </c>
      <c r="C77" t="s">
        <v>111</v>
      </c>
      <c r="D77" t="s">
        <v>52</v>
      </c>
      <c r="E77" t="s">
        <v>55</v>
      </c>
      <c r="F77" t="s">
        <v>103</v>
      </c>
      <c r="G77">
        <v>4</v>
      </c>
      <c r="H77">
        <v>999</v>
      </c>
      <c r="I77">
        <v>0</v>
      </c>
      <c r="J77" t="s">
        <v>139</v>
      </c>
      <c r="K77" t="s">
        <v>65</v>
      </c>
      <c r="L77" t="s">
        <v>46</v>
      </c>
      <c r="M77" s="16">
        <f t="shared" si="1"/>
        <v>3996</v>
      </c>
    </row>
    <row r="78" spans="1:13" x14ac:dyDescent="0.3">
      <c r="A78">
        <v>20075</v>
      </c>
      <c r="B78" s="15">
        <v>45619</v>
      </c>
      <c r="C78" t="s">
        <v>115</v>
      </c>
      <c r="D78" t="s">
        <v>95</v>
      </c>
      <c r="E78" t="s">
        <v>53</v>
      </c>
      <c r="F78" t="s">
        <v>58</v>
      </c>
      <c r="G78">
        <v>8</v>
      </c>
      <c r="H78">
        <v>429</v>
      </c>
      <c r="I78">
        <v>0.1</v>
      </c>
      <c r="J78" t="s">
        <v>143</v>
      </c>
      <c r="K78" t="s">
        <v>57</v>
      </c>
      <c r="L78" t="s">
        <v>41</v>
      </c>
      <c r="M78" s="16">
        <f t="shared" si="1"/>
        <v>3088.8</v>
      </c>
    </row>
    <row r="79" spans="1:13" x14ac:dyDescent="0.3">
      <c r="A79">
        <v>20076</v>
      </c>
      <c r="B79" s="15">
        <v>45350</v>
      </c>
      <c r="C79" t="s">
        <v>111</v>
      </c>
      <c r="D79" t="s">
        <v>59</v>
      </c>
      <c r="E79" t="s">
        <v>69</v>
      </c>
      <c r="F79" t="s">
        <v>104</v>
      </c>
      <c r="G79">
        <v>4</v>
      </c>
      <c r="H79">
        <v>4999</v>
      </c>
      <c r="I79">
        <v>0.15</v>
      </c>
      <c r="J79" t="s">
        <v>145</v>
      </c>
      <c r="K79" t="s">
        <v>57</v>
      </c>
      <c r="L79" t="s">
        <v>46</v>
      </c>
      <c r="M79" s="16">
        <f t="shared" si="1"/>
        <v>16996.599999999999</v>
      </c>
    </row>
    <row r="80" spans="1:13" x14ac:dyDescent="0.3">
      <c r="A80">
        <v>20077</v>
      </c>
      <c r="B80" s="15">
        <v>45677</v>
      </c>
      <c r="C80" t="s">
        <v>118</v>
      </c>
      <c r="D80" t="s">
        <v>52</v>
      </c>
      <c r="E80" t="s">
        <v>69</v>
      </c>
      <c r="F80" t="s">
        <v>85</v>
      </c>
      <c r="G80">
        <v>4</v>
      </c>
      <c r="H80">
        <v>24999</v>
      </c>
      <c r="I80">
        <v>0.1</v>
      </c>
      <c r="J80" t="s">
        <v>141</v>
      </c>
      <c r="K80" t="s">
        <v>57</v>
      </c>
      <c r="L80" t="s">
        <v>50</v>
      </c>
      <c r="M80" s="16">
        <f t="shared" si="1"/>
        <v>89996.400000000009</v>
      </c>
    </row>
    <row r="81" spans="1:13" x14ac:dyDescent="0.3">
      <c r="A81">
        <v>20078</v>
      </c>
      <c r="B81" s="15">
        <v>45430</v>
      </c>
      <c r="C81" t="s">
        <v>107</v>
      </c>
      <c r="D81" t="s">
        <v>95</v>
      </c>
      <c r="E81" t="s">
        <v>53</v>
      </c>
      <c r="F81" t="s">
        <v>91</v>
      </c>
      <c r="G81">
        <v>1</v>
      </c>
      <c r="H81">
        <v>249</v>
      </c>
      <c r="I81">
        <v>0</v>
      </c>
      <c r="J81" t="s">
        <v>139</v>
      </c>
      <c r="K81" t="s">
        <v>57</v>
      </c>
      <c r="L81" t="s">
        <v>41</v>
      </c>
      <c r="M81" s="16">
        <f t="shared" si="1"/>
        <v>249</v>
      </c>
    </row>
    <row r="82" spans="1:13" x14ac:dyDescent="0.3">
      <c r="A82">
        <v>20079</v>
      </c>
      <c r="B82" s="15">
        <v>45678</v>
      </c>
      <c r="C82" t="s">
        <v>51</v>
      </c>
      <c r="D82" t="s">
        <v>52</v>
      </c>
      <c r="E82" t="s">
        <v>75</v>
      </c>
      <c r="F82" t="s">
        <v>105</v>
      </c>
      <c r="G82">
        <v>5</v>
      </c>
      <c r="H82">
        <v>1199</v>
      </c>
      <c r="I82">
        <v>0</v>
      </c>
      <c r="J82" t="s">
        <v>145</v>
      </c>
      <c r="K82" t="s">
        <v>45</v>
      </c>
      <c r="L82" t="s">
        <v>50</v>
      </c>
      <c r="M82" s="16">
        <f t="shared" si="1"/>
        <v>5995</v>
      </c>
    </row>
    <row r="83" spans="1:13" x14ac:dyDescent="0.3">
      <c r="A83">
        <v>20080</v>
      </c>
      <c r="B83" s="15">
        <v>45399</v>
      </c>
      <c r="C83" t="s">
        <v>98</v>
      </c>
      <c r="D83" t="s">
        <v>59</v>
      </c>
      <c r="E83" t="s">
        <v>69</v>
      </c>
      <c r="F83" t="s">
        <v>70</v>
      </c>
      <c r="G83">
        <v>8</v>
      </c>
      <c r="H83">
        <v>5499</v>
      </c>
      <c r="I83">
        <v>0.1</v>
      </c>
      <c r="J83" t="s">
        <v>144</v>
      </c>
      <c r="K83" t="s">
        <v>45</v>
      </c>
      <c r="L83" t="s">
        <v>41</v>
      </c>
      <c r="M83" s="16">
        <f t="shared" si="1"/>
        <v>39592.800000000003</v>
      </c>
    </row>
    <row r="84" spans="1:13" x14ac:dyDescent="0.3">
      <c r="A84">
        <v>20081</v>
      </c>
      <c r="B84" s="15">
        <v>45509</v>
      </c>
      <c r="C84" t="s">
        <v>110</v>
      </c>
      <c r="D84" t="s">
        <v>59</v>
      </c>
      <c r="E84" t="s">
        <v>75</v>
      </c>
      <c r="F84" t="s">
        <v>43</v>
      </c>
      <c r="G84">
        <v>4</v>
      </c>
      <c r="H84">
        <v>6499</v>
      </c>
      <c r="I84">
        <v>0.15</v>
      </c>
      <c r="J84" t="s">
        <v>144</v>
      </c>
      <c r="K84" t="s">
        <v>45</v>
      </c>
      <c r="L84" t="s">
        <v>46</v>
      </c>
      <c r="M84" s="16">
        <f t="shared" si="1"/>
        <v>22096.6</v>
      </c>
    </row>
    <row r="85" spans="1:13" x14ac:dyDescent="0.3">
      <c r="A85">
        <v>20082</v>
      </c>
      <c r="B85" s="15">
        <v>45510</v>
      </c>
      <c r="C85" t="s">
        <v>97</v>
      </c>
      <c r="D85" t="s">
        <v>59</v>
      </c>
      <c r="E85" t="s">
        <v>53</v>
      </c>
      <c r="F85" t="s">
        <v>102</v>
      </c>
      <c r="G85">
        <v>5</v>
      </c>
      <c r="H85">
        <v>899</v>
      </c>
      <c r="I85">
        <v>0.05</v>
      </c>
      <c r="J85" t="s">
        <v>145</v>
      </c>
      <c r="K85" t="s">
        <v>49</v>
      </c>
      <c r="L85" t="s">
        <v>46</v>
      </c>
      <c r="M85" s="16">
        <f t="shared" si="1"/>
        <v>4270.25</v>
      </c>
    </row>
    <row r="86" spans="1:13" x14ac:dyDescent="0.3">
      <c r="A86">
        <v>20083</v>
      </c>
      <c r="B86" s="15">
        <v>45580</v>
      </c>
      <c r="C86" t="s">
        <v>115</v>
      </c>
      <c r="D86" t="s">
        <v>95</v>
      </c>
      <c r="E86" t="s">
        <v>69</v>
      </c>
      <c r="F86" t="s">
        <v>63</v>
      </c>
      <c r="G86">
        <v>2</v>
      </c>
      <c r="H86">
        <v>15999</v>
      </c>
      <c r="I86">
        <v>0.15</v>
      </c>
      <c r="J86" t="s">
        <v>144</v>
      </c>
      <c r="K86" t="s">
        <v>65</v>
      </c>
      <c r="L86" t="s">
        <v>41</v>
      </c>
      <c r="M86" s="16">
        <f t="shared" si="1"/>
        <v>27198.3</v>
      </c>
    </row>
    <row r="87" spans="1:13" x14ac:dyDescent="0.3">
      <c r="A87">
        <v>20084</v>
      </c>
      <c r="B87" s="15">
        <v>45647</v>
      </c>
      <c r="C87" t="s">
        <v>47</v>
      </c>
      <c r="D87" t="s">
        <v>95</v>
      </c>
      <c r="E87" t="s">
        <v>75</v>
      </c>
      <c r="F87" t="s">
        <v>38</v>
      </c>
      <c r="G87">
        <v>4</v>
      </c>
      <c r="H87">
        <v>2999</v>
      </c>
      <c r="I87">
        <v>0</v>
      </c>
      <c r="J87" t="s">
        <v>143</v>
      </c>
      <c r="K87" t="s">
        <v>65</v>
      </c>
      <c r="L87" t="s">
        <v>41</v>
      </c>
      <c r="M87" s="16">
        <f t="shared" si="1"/>
        <v>11996</v>
      </c>
    </row>
    <row r="88" spans="1:13" x14ac:dyDescent="0.3">
      <c r="A88">
        <v>20085</v>
      </c>
      <c r="B88" s="15">
        <v>45352</v>
      </c>
      <c r="C88" t="s">
        <v>98</v>
      </c>
      <c r="D88" t="s">
        <v>95</v>
      </c>
      <c r="E88" t="s">
        <v>53</v>
      </c>
      <c r="F88" t="s">
        <v>102</v>
      </c>
      <c r="G88">
        <v>6</v>
      </c>
      <c r="H88">
        <v>899</v>
      </c>
      <c r="I88">
        <v>0.1</v>
      </c>
      <c r="J88" t="s">
        <v>145</v>
      </c>
      <c r="K88" t="s">
        <v>57</v>
      </c>
      <c r="L88" t="s">
        <v>50</v>
      </c>
      <c r="M88" s="16">
        <f t="shared" si="1"/>
        <v>4854.6000000000004</v>
      </c>
    </row>
    <row r="89" spans="1:13" x14ac:dyDescent="0.3">
      <c r="A89">
        <v>20086</v>
      </c>
      <c r="B89" s="15">
        <v>45454</v>
      </c>
      <c r="C89" t="s">
        <v>118</v>
      </c>
      <c r="D89" t="s">
        <v>95</v>
      </c>
      <c r="E89" t="s">
        <v>69</v>
      </c>
      <c r="F89" t="s">
        <v>70</v>
      </c>
      <c r="G89">
        <v>5</v>
      </c>
      <c r="H89">
        <v>5499</v>
      </c>
      <c r="I89">
        <v>0.15</v>
      </c>
      <c r="J89" t="s">
        <v>145</v>
      </c>
      <c r="K89" t="s">
        <v>45</v>
      </c>
      <c r="L89" t="s">
        <v>41</v>
      </c>
      <c r="M89" s="16">
        <f t="shared" si="1"/>
        <v>23370.75</v>
      </c>
    </row>
    <row r="90" spans="1:13" x14ac:dyDescent="0.3">
      <c r="A90">
        <v>20087</v>
      </c>
      <c r="B90" s="15">
        <v>45638</v>
      </c>
      <c r="C90" t="s">
        <v>112</v>
      </c>
      <c r="D90" t="s">
        <v>72</v>
      </c>
      <c r="E90" t="s">
        <v>69</v>
      </c>
      <c r="F90" t="s">
        <v>61</v>
      </c>
      <c r="G90">
        <v>1</v>
      </c>
      <c r="H90">
        <v>18999</v>
      </c>
      <c r="I90">
        <v>0.1</v>
      </c>
      <c r="J90" t="s">
        <v>144</v>
      </c>
      <c r="K90" t="s">
        <v>45</v>
      </c>
      <c r="L90" t="s">
        <v>50</v>
      </c>
      <c r="M90" s="16">
        <f t="shared" si="1"/>
        <v>17099.100000000002</v>
      </c>
    </row>
    <row r="91" spans="1:13" x14ac:dyDescent="0.3">
      <c r="A91">
        <v>20088</v>
      </c>
      <c r="B91" s="15">
        <v>45382</v>
      </c>
      <c r="C91" t="s">
        <v>51</v>
      </c>
      <c r="D91" t="s">
        <v>95</v>
      </c>
      <c r="E91" t="s">
        <v>69</v>
      </c>
      <c r="F91" t="s">
        <v>83</v>
      </c>
      <c r="G91">
        <v>3</v>
      </c>
      <c r="H91">
        <v>1299</v>
      </c>
      <c r="I91">
        <v>0.05</v>
      </c>
      <c r="J91" t="s">
        <v>143</v>
      </c>
      <c r="K91" t="s">
        <v>49</v>
      </c>
      <c r="L91" t="s">
        <v>41</v>
      </c>
      <c r="M91" s="16">
        <f t="shared" si="1"/>
        <v>3702.1499999999996</v>
      </c>
    </row>
    <row r="92" spans="1:13" x14ac:dyDescent="0.3">
      <c r="A92">
        <v>20089</v>
      </c>
      <c r="B92" s="15">
        <v>45625</v>
      </c>
      <c r="C92" t="s">
        <v>114</v>
      </c>
      <c r="D92" t="s">
        <v>95</v>
      </c>
      <c r="E92" t="s">
        <v>75</v>
      </c>
      <c r="F92" t="s">
        <v>99</v>
      </c>
      <c r="G92">
        <v>5</v>
      </c>
      <c r="H92">
        <v>12999</v>
      </c>
      <c r="I92">
        <v>0</v>
      </c>
      <c r="J92" t="s">
        <v>139</v>
      </c>
      <c r="K92" t="s">
        <v>57</v>
      </c>
      <c r="L92" t="s">
        <v>50</v>
      </c>
      <c r="M92" s="16">
        <f t="shared" si="1"/>
        <v>64995</v>
      </c>
    </row>
    <row r="93" spans="1:13" x14ac:dyDescent="0.3">
      <c r="A93">
        <v>20090</v>
      </c>
      <c r="B93" s="15">
        <v>45432</v>
      </c>
      <c r="C93" t="s">
        <v>110</v>
      </c>
      <c r="D93" t="s">
        <v>74</v>
      </c>
      <c r="E93" t="s">
        <v>69</v>
      </c>
      <c r="F93" t="s">
        <v>63</v>
      </c>
      <c r="G93">
        <v>6</v>
      </c>
      <c r="H93">
        <v>15999</v>
      </c>
      <c r="I93">
        <v>0</v>
      </c>
      <c r="J93" t="s">
        <v>143</v>
      </c>
      <c r="K93" t="s">
        <v>49</v>
      </c>
      <c r="L93" t="s">
        <v>41</v>
      </c>
      <c r="M93" s="16">
        <f t="shared" si="1"/>
        <v>95994</v>
      </c>
    </row>
    <row r="94" spans="1:13" x14ac:dyDescent="0.3">
      <c r="A94">
        <v>20091</v>
      </c>
      <c r="B94" s="15">
        <v>45656</v>
      </c>
      <c r="C94" t="s">
        <v>118</v>
      </c>
      <c r="D94" t="s">
        <v>95</v>
      </c>
      <c r="E94" t="s">
        <v>53</v>
      </c>
      <c r="F94" t="s">
        <v>60</v>
      </c>
      <c r="G94">
        <v>7</v>
      </c>
      <c r="H94">
        <v>349</v>
      </c>
      <c r="I94">
        <v>0.05</v>
      </c>
      <c r="J94" t="s">
        <v>145</v>
      </c>
      <c r="K94" t="s">
        <v>65</v>
      </c>
      <c r="L94" t="s">
        <v>46</v>
      </c>
      <c r="M94" s="16">
        <f t="shared" si="1"/>
        <v>2320.85</v>
      </c>
    </row>
    <row r="95" spans="1:13" x14ac:dyDescent="0.3">
      <c r="A95">
        <v>20092</v>
      </c>
      <c r="B95" s="15">
        <v>45636</v>
      </c>
      <c r="C95" t="s">
        <v>96</v>
      </c>
      <c r="D95" t="s">
        <v>95</v>
      </c>
      <c r="E95" t="s">
        <v>55</v>
      </c>
      <c r="F95" t="s">
        <v>92</v>
      </c>
      <c r="G95">
        <v>6</v>
      </c>
      <c r="H95">
        <v>799</v>
      </c>
      <c r="I95">
        <v>0.1</v>
      </c>
      <c r="J95" t="s">
        <v>144</v>
      </c>
      <c r="K95" t="s">
        <v>57</v>
      </c>
      <c r="L95" t="s">
        <v>50</v>
      </c>
      <c r="M95" s="16">
        <f t="shared" si="1"/>
        <v>4314.6000000000004</v>
      </c>
    </row>
    <row r="96" spans="1:13" x14ac:dyDescent="0.3">
      <c r="A96">
        <v>20093</v>
      </c>
      <c r="B96" s="15">
        <v>45293</v>
      </c>
      <c r="C96" t="s">
        <v>94</v>
      </c>
      <c r="D96" t="s">
        <v>95</v>
      </c>
      <c r="E96" t="s">
        <v>75</v>
      </c>
      <c r="F96" t="s">
        <v>48</v>
      </c>
      <c r="G96">
        <v>7</v>
      </c>
      <c r="H96">
        <v>799</v>
      </c>
      <c r="I96">
        <v>0.1</v>
      </c>
      <c r="J96" t="s">
        <v>139</v>
      </c>
      <c r="K96" t="s">
        <v>40</v>
      </c>
      <c r="L96" t="s">
        <v>50</v>
      </c>
      <c r="M96" s="16">
        <f t="shared" si="1"/>
        <v>5033.7</v>
      </c>
    </row>
    <row r="97" spans="1:13" x14ac:dyDescent="0.3">
      <c r="A97">
        <v>20094</v>
      </c>
      <c r="B97" s="15">
        <v>45507</v>
      </c>
      <c r="C97" t="s">
        <v>93</v>
      </c>
      <c r="D97" t="s">
        <v>52</v>
      </c>
      <c r="E97" t="s">
        <v>75</v>
      </c>
      <c r="F97" t="s">
        <v>64</v>
      </c>
      <c r="G97">
        <v>1</v>
      </c>
      <c r="H97">
        <v>1799</v>
      </c>
      <c r="I97">
        <v>0</v>
      </c>
      <c r="J97" t="s">
        <v>141</v>
      </c>
      <c r="K97" t="s">
        <v>45</v>
      </c>
      <c r="L97" t="s">
        <v>50</v>
      </c>
      <c r="M97" s="16">
        <f t="shared" si="1"/>
        <v>1799</v>
      </c>
    </row>
    <row r="98" spans="1:13" x14ac:dyDescent="0.3">
      <c r="A98">
        <v>20095</v>
      </c>
      <c r="B98" s="15">
        <v>45396</v>
      </c>
      <c r="C98" t="s">
        <v>112</v>
      </c>
      <c r="D98" t="s">
        <v>95</v>
      </c>
      <c r="E98" t="s">
        <v>55</v>
      </c>
      <c r="F98" t="s">
        <v>79</v>
      </c>
      <c r="G98">
        <v>3</v>
      </c>
      <c r="H98">
        <v>599</v>
      </c>
      <c r="I98">
        <v>0.1</v>
      </c>
      <c r="J98" t="s">
        <v>145</v>
      </c>
      <c r="K98" t="s">
        <v>65</v>
      </c>
      <c r="L98" t="s">
        <v>46</v>
      </c>
      <c r="M98" s="16">
        <f t="shared" si="1"/>
        <v>1617.3</v>
      </c>
    </row>
    <row r="99" spans="1:13" x14ac:dyDescent="0.3">
      <c r="A99">
        <v>20096</v>
      </c>
      <c r="B99" s="15">
        <v>45447</v>
      </c>
      <c r="C99" t="s">
        <v>97</v>
      </c>
      <c r="D99" t="s">
        <v>52</v>
      </c>
      <c r="E99" t="s">
        <v>75</v>
      </c>
      <c r="F99" t="s">
        <v>43</v>
      </c>
      <c r="G99">
        <v>5</v>
      </c>
      <c r="H99">
        <v>6499</v>
      </c>
      <c r="I99">
        <v>0</v>
      </c>
      <c r="J99" t="s">
        <v>141</v>
      </c>
      <c r="K99" t="s">
        <v>49</v>
      </c>
      <c r="L99" t="s">
        <v>46</v>
      </c>
      <c r="M99" s="16">
        <f t="shared" si="1"/>
        <v>32495</v>
      </c>
    </row>
    <row r="100" spans="1:13" x14ac:dyDescent="0.3">
      <c r="A100">
        <v>20097</v>
      </c>
      <c r="B100" s="15">
        <v>45347</v>
      </c>
      <c r="C100" t="s">
        <v>36</v>
      </c>
      <c r="D100" t="s">
        <v>52</v>
      </c>
      <c r="E100" t="s">
        <v>75</v>
      </c>
      <c r="F100" t="s">
        <v>43</v>
      </c>
      <c r="G100">
        <v>1</v>
      </c>
      <c r="H100">
        <v>6499</v>
      </c>
      <c r="I100">
        <v>0.1</v>
      </c>
      <c r="J100" t="s">
        <v>143</v>
      </c>
      <c r="K100" t="s">
        <v>45</v>
      </c>
      <c r="L100" t="s">
        <v>50</v>
      </c>
      <c r="M100" s="16">
        <f t="shared" si="1"/>
        <v>5849.1</v>
      </c>
    </row>
    <row r="101" spans="1:13" x14ac:dyDescent="0.3">
      <c r="A101">
        <v>20098</v>
      </c>
      <c r="B101" s="15">
        <v>45386</v>
      </c>
      <c r="C101" t="s">
        <v>107</v>
      </c>
      <c r="D101" t="s">
        <v>95</v>
      </c>
      <c r="E101" t="s">
        <v>53</v>
      </c>
      <c r="F101" t="s">
        <v>101</v>
      </c>
      <c r="G101">
        <v>4</v>
      </c>
      <c r="H101">
        <v>99</v>
      </c>
      <c r="I101">
        <v>0.15</v>
      </c>
      <c r="J101" t="s">
        <v>141</v>
      </c>
      <c r="K101" t="s">
        <v>65</v>
      </c>
      <c r="L101" t="s">
        <v>50</v>
      </c>
      <c r="M101" s="16">
        <f t="shared" si="1"/>
        <v>336.59999999999997</v>
      </c>
    </row>
    <row r="102" spans="1:13" x14ac:dyDescent="0.3">
      <c r="A102">
        <v>20099</v>
      </c>
      <c r="B102" s="15">
        <v>45467</v>
      </c>
      <c r="C102" t="s">
        <v>87</v>
      </c>
      <c r="D102" t="s">
        <v>72</v>
      </c>
      <c r="E102" t="s">
        <v>55</v>
      </c>
      <c r="F102" t="s">
        <v>92</v>
      </c>
      <c r="G102">
        <v>8</v>
      </c>
      <c r="H102">
        <v>799</v>
      </c>
      <c r="I102">
        <v>0.15</v>
      </c>
      <c r="J102" t="s">
        <v>139</v>
      </c>
      <c r="K102" t="s">
        <v>40</v>
      </c>
      <c r="L102" t="s">
        <v>41</v>
      </c>
      <c r="M102" s="16">
        <f t="shared" si="1"/>
        <v>5433.2</v>
      </c>
    </row>
    <row r="103" spans="1:13" x14ac:dyDescent="0.3">
      <c r="A103">
        <v>20100</v>
      </c>
      <c r="B103" s="15">
        <v>45489</v>
      </c>
      <c r="C103" t="s">
        <v>111</v>
      </c>
      <c r="D103" t="s">
        <v>72</v>
      </c>
      <c r="E103" t="s">
        <v>55</v>
      </c>
      <c r="F103" t="s">
        <v>103</v>
      </c>
      <c r="G103">
        <v>4</v>
      </c>
      <c r="H103">
        <v>999</v>
      </c>
      <c r="I103">
        <v>0.05</v>
      </c>
      <c r="J103" t="s">
        <v>143</v>
      </c>
      <c r="K103" t="s">
        <v>49</v>
      </c>
      <c r="L103" t="s">
        <v>50</v>
      </c>
      <c r="M103" s="16">
        <f t="shared" si="1"/>
        <v>3796.2</v>
      </c>
    </row>
    <row r="104" spans="1:13" x14ac:dyDescent="0.3">
      <c r="A104">
        <v>20101</v>
      </c>
      <c r="B104" s="15">
        <v>45522</v>
      </c>
      <c r="C104" t="s">
        <v>94</v>
      </c>
      <c r="D104" t="s">
        <v>52</v>
      </c>
      <c r="E104" t="s">
        <v>53</v>
      </c>
      <c r="F104" t="s">
        <v>91</v>
      </c>
      <c r="G104">
        <v>8</v>
      </c>
      <c r="H104">
        <v>249</v>
      </c>
      <c r="I104">
        <v>0.1</v>
      </c>
      <c r="J104" t="s">
        <v>144</v>
      </c>
      <c r="K104" t="s">
        <v>57</v>
      </c>
      <c r="L104" t="s">
        <v>41</v>
      </c>
      <c r="M104" s="16">
        <f t="shared" si="1"/>
        <v>1792.8</v>
      </c>
    </row>
    <row r="105" spans="1:13" x14ac:dyDescent="0.3">
      <c r="A105">
        <v>20102</v>
      </c>
      <c r="B105" s="15">
        <v>45424</v>
      </c>
      <c r="C105" t="s">
        <v>62</v>
      </c>
      <c r="D105" t="s">
        <v>72</v>
      </c>
      <c r="E105" t="s">
        <v>55</v>
      </c>
      <c r="F105" t="s">
        <v>88</v>
      </c>
      <c r="G105">
        <v>6</v>
      </c>
      <c r="H105">
        <v>2499</v>
      </c>
      <c r="I105">
        <v>0.05</v>
      </c>
      <c r="J105" t="s">
        <v>141</v>
      </c>
      <c r="K105" t="s">
        <v>57</v>
      </c>
      <c r="L105" t="s">
        <v>46</v>
      </c>
      <c r="M105" s="16">
        <f t="shared" si="1"/>
        <v>14244.3</v>
      </c>
    </row>
    <row r="106" spans="1:13" x14ac:dyDescent="0.3">
      <c r="A106">
        <v>20103</v>
      </c>
      <c r="B106" s="15">
        <v>45396</v>
      </c>
      <c r="C106" t="s">
        <v>114</v>
      </c>
      <c r="D106" t="s">
        <v>52</v>
      </c>
      <c r="E106" t="s">
        <v>75</v>
      </c>
      <c r="F106" t="s">
        <v>99</v>
      </c>
      <c r="G106">
        <v>3</v>
      </c>
      <c r="H106">
        <v>12999</v>
      </c>
      <c r="I106">
        <v>0</v>
      </c>
      <c r="J106" t="s">
        <v>141</v>
      </c>
      <c r="K106" t="s">
        <v>49</v>
      </c>
      <c r="L106" t="s">
        <v>46</v>
      </c>
      <c r="M106" s="16">
        <f t="shared" si="1"/>
        <v>38997</v>
      </c>
    </row>
    <row r="107" spans="1:13" x14ac:dyDescent="0.3">
      <c r="A107">
        <v>20104</v>
      </c>
      <c r="B107" s="15">
        <v>45334</v>
      </c>
      <c r="C107" t="s">
        <v>110</v>
      </c>
      <c r="D107" t="s">
        <v>72</v>
      </c>
      <c r="E107" t="s">
        <v>69</v>
      </c>
      <c r="F107" t="s">
        <v>63</v>
      </c>
      <c r="G107">
        <v>8</v>
      </c>
      <c r="H107">
        <v>15999</v>
      </c>
      <c r="I107">
        <v>0.15</v>
      </c>
      <c r="J107" t="s">
        <v>145</v>
      </c>
      <c r="K107" t="s">
        <v>57</v>
      </c>
      <c r="L107" t="s">
        <v>46</v>
      </c>
      <c r="M107" s="16">
        <f t="shared" si="1"/>
        <v>108793.2</v>
      </c>
    </row>
    <row r="108" spans="1:13" x14ac:dyDescent="0.3">
      <c r="A108">
        <v>20105</v>
      </c>
      <c r="B108" s="15">
        <v>45641</v>
      </c>
      <c r="C108" t="s">
        <v>51</v>
      </c>
      <c r="D108" t="s">
        <v>95</v>
      </c>
      <c r="E108" t="s">
        <v>75</v>
      </c>
      <c r="F108" t="s">
        <v>105</v>
      </c>
      <c r="G108">
        <v>7</v>
      </c>
      <c r="H108">
        <v>1199</v>
      </c>
      <c r="I108">
        <v>0.05</v>
      </c>
      <c r="J108" t="s">
        <v>141</v>
      </c>
      <c r="K108" t="s">
        <v>49</v>
      </c>
      <c r="L108" t="s">
        <v>50</v>
      </c>
      <c r="M108" s="16">
        <f t="shared" si="1"/>
        <v>7973.3499999999995</v>
      </c>
    </row>
    <row r="109" spans="1:13" x14ac:dyDescent="0.3">
      <c r="A109">
        <v>20106</v>
      </c>
      <c r="B109" s="15">
        <v>45451</v>
      </c>
      <c r="C109" t="s">
        <v>98</v>
      </c>
      <c r="D109" t="s">
        <v>59</v>
      </c>
      <c r="E109" t="s">
        <v>55</v>
      </c>
      <c r="F109" t="s">
        <v>73</v>
      </c>
      <c r="G109">
        <v>8</v>
      </c>
      <c r="H109">
        <v>5499</v>
      </c>
      <c r="I109">
        <v>0.05</v>
      </c>
      <c r="J109" t="s">
        <v>144</v>
      </c>
      <c r="K109" t="s">
        <v>49</v>
      </c>
      <c r="L109" t="s">
        <v>50</v>
      </c>
      <c r="M109" s="16">
        <f t="shared" si="1"/>
        <v>41792.400000000001</v>
      </c>
    </row>
    <row r="110" spans="1:13" x14ac:dyDescent="0.3">
      <c r="A110">
        <v>20107</v>
      </c>
      <c r="B110" s="15">
        <v>45330</v>
      </c>
      <c r="C110" t="s">
        <v>87</v>
      </c>
      <c r="D110" t="s">
        <v>52</v>
      </c>
      <c r="E110" t="s">
        <v>69</v>
      </c>
      <c r="F110" t="s">
        <v>70</v>
      </c>
      <c r="G110">
        <v>2</v>
      </c>
      <c r="H110">
        <v>5499</v>
      </c>
      <c r="I110">
        <v>0.1</v>
      </c>
      <c r="J110" t="s">
        <v>139</v>
      </c>
      <c r="K110" t="s">
        <v>40</v>
      </c>
      <c r="L110" t="s">
        <v>50</v>
      </c>
      <c r="M110" s="16">
        <f t="shared" si="1"/>
        <v>9898.2000000000007</v>
      </c>
    </row>
    <row r="111" spans="1:13" x14ac:dyDescent="0.3">
      <c r="A111">
        <v>20108</v>
      </c>
      <c r="B111" s="15">
        <v>45298</v>
      </c>
      <c r="C111" t="s">
        <v>62</v>
      </c>
      <c r="D111" t="s">
        <v>95</v>
      </c>
      <c r="E111" t="s">
        <v>55</v>
      </c>
      <c r="F111" t="s">
        <v>79</v>
      </c>
      <c r="G111">
        <v>2</v>
      </c>
      <c r="H111">
        <v>599</v>
      </c>
      <c r="I111">
        <v>0.15</v>
      </c>
      <c r="J111" t="s">
        <v>144</v>
      </c>
      <c r="K111" t="s">
        <v>45</v>
      </c>
      <c r="L111" t="s">
        <v>46</v>
      </c>
      <c r="M111" s="16">
        <f t="shared" si="1"/>
        <v>1018.3</v>
      </c>
    </row>
    <row r="112" spans="1:13" x14ac:dyDescent="0.3">
      <c r="A112">
        <v>20109</v>
      </c>
      <c r="B112" s="15">
        <v>45607</v>
      </c>
      <c r="C112" t="s">
        <v>96</v>
      </c>
      <c r="D112" t="s">
        <v>59</v>
      </c>
      <c r="E112" t="s">
        <v>75</v>
      </c>
      <c r="F112" t="s">
        <v>43</v>
      </c>
      <c r="G112">
        <v>1</v>
      </c>
      <c r="H112">
        <v>6499</v>
      </c>
      <c r="I112">
        <v>0.05</v>
      </c>
      <c r="J112" t="s">
        <v>144</v>
      </c>
      <c r="K112" t="s">
        <v>57</v>
      </c>
      <c r="L112" t="s">
        <v>50</v>
      </c>
      <c r="M112" s="16">
        <f t="shared" si="1"/>
        <v>6174.0499999999993</v>
      </c>
    </row>
    <row r="113" spans="1:13" x14ac:dyDescent="0.3">
      <c r="A113">
        <v>20110</v>
      </c>
      <c r="B113" s="15">
        <v>45423</v>
      </c>
      <c r="C113" t="s">
        <v>36</v>
      </c>
      <c r="D113" t="s">
        <v>52</v>
      </c>
      <c r="E113" t="s">
        <v>69</v>
      </c>
      <c r="F113" t="s">
        <v>61</v>
      </c>
      <c r="G113">
        <v>7</v>
      </c>
      <c r="H113">
        <v>18999</v>
      </c>
      <c r="I113">
        <v>0</v>
      </c>
      <c r="J113" t="s">
        <v>144</v>
      </c>
      <c r="K113" t="s">
        <v>49</v>
      </c>
      <c r="L113" t="s">
        <v>46</v>
      </c>
      <c r="M113" s="16">
        <f t="shared" si="1"/>
        <v>132993</v>
      </c>
    </row>
    <row r="114" spans="1:13" x14ac:dyDescent="0.3">
      <c r="A114">
        <v>20111</v>
      </c>
      <c r="B114" s="15">
        <v>45520</v>
      </c>
      <c r="C114" t="s">
        <v>114</v>
      </c>
      <c r="D114" t="s">
        <v>95</v>
      </c>
      <c r="E114" t="s">
        <v>69</v>
      </c>
      <c r="F114" t="s">
        <v>85</v>
      </c>
      <c r="G114">
        <v>8</v>
      </c>
      <c r="H114">
        <v>24999</v>
      </c>
      <c r="I114">
        <v>0.1</v>
      </c>
      <c r="J114" t="s">
        <v>139</v>
      </c>
      <c r="K114" t="s">
        <v>49</v>
      </c>
      <c r="L114" t="s">
        <v>41</v>
      </c>
      <c r="M114" s="16">
        <f t="shared" si="1"/>
        <v>179992.80000000002</v>
      </c>
    </row>
    <row r="115" spans="1:13" x14ac:dyDescent="0.3">
      <c r="A115">
        <v>20112</v>
      </c>
      <c r="B115" s="15">
        <v>45390</v>
      </c>
      <c r="C115" t="s">
        <v>112</v>
      </c>
      <c r="D115" t="s">
        <v>74</v>
      </c>
      <c r="E115" t="s">
        <v>75</v>
      </c>
      <c r="F115" t="s">
        <v>99</v>
      </c>
      <c r="G115">
        <v>3</v>
      </c>
      <c r="H115">
        <v>12999</v>
      </c>
      <c r="I115">
        <v>0.05</v>
      </c>
      <c r="J115" t="s">
        <v>144</v>
      </c>
      <c r="K115" t="s">
        <v>57</v>
      </c>
      <c r="L115" t="s">
        <v>50</v>
      </c>
      <c r="M115" s="16">
        <f t="shared" si="1"/>
        <v>37047.15</v>
      </c>
    </row>
    <row r="116" spans="1:13" x14ac:dyDescent="0.3">
      <c r="A116">
        <v>20113</v>
      </c>
      <c r="B116" s="15">
        <v>45372</v>
      </c>
      <c r="C116" t="s">
        <v>80</v>
      </c>
      <c r="D116" t="s">
        <v>95</v>
      </c>
      <c r="E116" t="s">
        <v>75</v>
      </c>
      <c r="F116" t="s">
        <v>66</v>
      </c>
      <c r="G116">
        <v>4</v>
      </c>
      <c r="H116">
        <v>1499</v>
      </c>
      <c r="I116">
        <v>0</v>
      </c>
      <c r="J116" t="s">
        <v>144</v>
      </c>
      <c r="K116" t="s">
        <v>49</v>
      </c>
      <c r="L116" t="s">
        <v>46</v>
      </c>
      <c r="M116" s="16">
        <f t="shared" si="1"/>
        <v>5996</v>
      </c>
    </row>
    <row r="117" spans="1:13" x14ac:dyDescent="0.3">
      <c r="A117">
        <v>20114</v>
      </c>
      <c r="B117" s="15">
        <v>45684</v>
      </c>
      <c r="C117" t="s">
        <v>96</v>
      </c>
      <c r="D117" t="s">
        <v>95</v>
      </c>
      <c r="E117" t="s">
        <v>55</v>
      </c>
      <c r="F117" t="s">
        <v>73</v>
      </c>
      <c r="G117">
        <v>3</v>
      </c>
      <c r="H117">
        <v>5499</v>
      </c>
      <c r="I117">
        <v>0.05</v>
      </c>
      <c r="J117" t="s">
        <v>144</v>
      </c>
      <c r="K117" t="s">
        <v>65</v>
      </c>
      <c r="L117" t="s">
        <v>46</v>
      </c>
      <c r="M117" s="16">
        <f t="shared" si="1"/>
        <v>15672.15</v>
      </c>
    </row>
    <row r="118" spans="1:13" x14ac:dyDescent="0.3">
      <c r="A118">
        <v>20115</v>
      </c>
      <c r="B118" s="15">
        <v>45630</v>
      </c>
      <c r="C118" t="s">
        <v>116</v>
      </c>
      <c r="D118" t="s">
        <v>72</v>
      </c>
      <c r="E118" t="s">
        <v>75</v>
      </c>
      <c r="F118" t="s">
        <v>100</v>
      </c>
      <c r="G118">
        <v>6</v>
      </c>
      <c r="H118">
        <v>5999</v>
      </c>
      <c r="I118">
        <v>0.05</v>
      </c>
      <c r="J118" t="s">
        <v>139</v>
      </c>
      <c r="K118" t="s">
        <v>65</v>
      </c>
      <c r="L118" t="s">
        <v>46</v>
      </c>
      <c r="M118" s="16">
        <f t="shared" si="1"/>
        <v>34194.299999999996</v>
      </c>
    </row>
    <row r="119" spans="1:13" x14ac:dyDescent="0.3">
      <c r="A119">
        <v>20116</v>
      </c>
      <c r="B119" s="15">
        <v>45346</v>
      </c>
      <c r="C119" t="s">
        <v>42</v>
      </c>
      <c r="D119" t="s">
        <v>95</v>
      </c>
      <c r="E119" t="s">
        <v>53</v>
      </c>
      <c r="F119" t="s">
        <v>102</v>
      </c>
      <c r="G119">
        <v>5</v>
      </c>
      <c r="H119">
        <v>899</v>
      </c>
      <c r="I119">
        <v>0.15</v>
      </c>
      <c r="J119" t="s">
        <v>141</v>
      </c>
      <c r="K119" t="s">
        <v>57</v>
      </c>
      <c r="L119" t="s">
        <v>46</v>
      </c>
      <c r="M119" s="16">
        <f t="shared" si="1"/>
        <v>3820.75</v>
      </c>
    </row>
    <row r="120" spans="1:13" x14ac:dyDescent="0.3">
      <c r="A120">
        <v>20117</v>
      </c>
      <c r="B120" s="15">
        <v>45684</v>
      </c>
      <c r="C120" t="s">
        <v>42</v>
      </c>
      <c r="D120" t="s">
        <v>59</v>
      </c>
      <c r="E120" t="s">
        <v>69</v>
      </c>
      <c r="F120" t="s">
        <v>63</v>
      </c>
      <c r="G120">
        <v>3</v>
      </c>
      <c r="H120">
        <v>15999</v>
      </c>
      <c r="I120">
        <v>0.1</v>
      </c>
      <c r="J120" t="s">
        <v>145</v>
      </c>
      <c r="K120" t="s">
        <v>45</v>
      </c>
      <c r="L120" t="s">
        <v>46</v>
      </c>
      <c r="M120" s="16">
        <f t="shared" si="1"/>
        <v>43197.3</v>
      </c>
    </row>
    <row r="121" spans="1:13" x14ac:dyDescent="0.3">
      <c r="A121">
        <v>20118</v>
      </c>
      <c r="B121" s="15">
        <v>45613</v>
      </c>
      <c r="C121" t="s">
        <v>87</v>
      </c>
      <c r="D121" t="s">
        <v>52</v>
      </c>
      <c r="E121" t="s">
        <v>53</v>
      </c>
      <c r="F121" t="s">
        <v>90</v>
      </c>
      <c r="G121">
        <v>4</v>
      </c>
      <c r="H121">
        <v>199</v>
      </c>
      <c r="I121">
        <v>0</v>
      </c>
      <c r="J121" t="s">
        <v>139</v>
      </c>
      <c r="K121" t="s">
        <v>45</v>
      </c>
      <c r="L121" t="s">
        <v>41</v>
      </c>
      <c r="M121" s="16">
        <f t="shared" si="1"/>
        <v>796</v>
      </c>
    </row>
    <row r="122" spans="1:13" x14ac:dyDescent="0.3">
      <c r="A122">
        <v>20119</v>
      </c>
      <c r="B122" s="15">
        <v>45460</v>
      </c>
      <c r="C122" t="s">
        <v>51</v>
      </c>
      <c r="D122" t="s">
        <v>59</v>
      </c>
      <c r="E122" t="s">
        <v>55</v>
      </c>
      <c r="F122" t="s">
        <v>73</v>
      </c>
      <c r="G122">
        <v>7</v>
      </c>
      <c r="H122">
        <v>5499</v>
      </c>
      <c r="I122">
        <v>0.1</v>
      </c>
      <c r="J122" t="s">
        <v>143</v>
      </c>
      <c r="K122" t="s">
        <v>40</v>
      </c>
      <c r="L122" t="s">
        <v>41</v>
      </c>
      <c r="M122" s="16">
        <f t="shared" si="1"/>
        <v>34643.700000000004</v>
      </c>
    </row>
    <row r="123" spans="1:13" x14ac:dyDescent="0.3">
      <c r="A123">
        <v>20120</v>
      </c>
      <c r="B123" s="15">
        <v>45583</v>
      </c>
      <c r="C123" t="s">
        <v>42</v>
      </c>
      <c r="D123" t="s">
        <v>72</v>
      </c>
      <c r="E123" t="s">
        <v>55</v>
      </c>
      <c r="F123" t="s">
        <v>79</v>
      </c>
      <c r="G123">
        <v>3</v>
      </c>
      <c r="H123">
        <v>599</v>
      </c>
      <c r="I123">
        <v>0.05</v>
      </c>
      <c r="J123" t="s">
        <v>145</v>
      </c>
      <c r="K123" t="s">
        <v>49</v>
      </c>
      <c r="L123" t="s">
        <v>50</v>
      </c>
      <c r="M123" s="16">
        <f t="shared" si="1"/>
        <v>1707.1499999999999</v>
      </c>
    </row>
    <row r="124" spans="1:13" x14ac:dyDescent="0.3">
      <c r="A124">
        <v>20121</v>
      </c>
      <c r="B124" s="15">
        <v>45354</v>
      </c>
      <c r="C124" t="s">
        <v>114</v>
      </c>
      <c r="D124" t="s">
        <v>74</v>
      </c>
      <c r="E124" t="s">
        <v>69</v>
      </c>
      <c r="F124" t="s">
        <v>104</v>
      </c>
      <c r="G124">
        <v>6</v>
      </c>
      <c r="H124">
        <v>4999</v>
      </c>
      <c r="I124">
        <v>0.05</v>
      </c>
      <c r="J124" t="s">
        <v>143</v>
      </c>
      <c r="K124" t="s">
        <v>65</v>
      </c>
      <c r="L124" t="s">
        <v>41</v>
      </c>
      <c r="M124" s="16">
        <f t="shared" si="1"/>
        <v>28494.3</v>
      </c>
    </row>
    <row r="125" spans="1:13" x14ac:dyDescent="0.3">
      <c r="A125">
        <v>20122</v>
      </c>
      <c r="B125" s="15">
        <v>45524</v>
      </c>
      <c r="C125" t="s">
        <v>106</v>
      </c>
      <c r="D125" t="s">
        <v>95</v>
      </c>
      <c r="E125" t="s">
        <v>69</v>
      </c>
      <c r="F125" t="s">
        <v>104</v>
      </c>
      <c r="G125">
        <v>3</v>
      </c>
      <c r="H125">
        <v>4999</v>
      </c>
      <c r="I125">
        <v>0</v>
      </c>
      <c r="J125" t="s">
        <v>141</v>
      </c>
      <c r="K125" t="s">
        <v>45</v>
      </c>
      <c r="L125" t="s">
        <v>46</v>
      </c>
      <c r="M125" s="16">
        <f t="shared" si="1"/>
        <v>14997</v>
      </c>
    </row>
    <row r="126" spans="1:13" x14ac:dyDescent="0.3">
      <c r="A126">
        <v>20123</v>
      </c>
      <c r="B126" s="15">
        <v>45394</v>
      </c>
      <c r="C126" t="s">
        <v>93</v>
      </c>
      <c r="D126" t="s">
        <v>95</v>
      </c>
      <c r="E126" t="s">
        <v>55</v>
      </c>
      <c r="F126" t="s">
        <v>73</v>
      </c>
      <c r="G126">
        <v>1</v>
      </c>
      <c r="H126">
        <v>5499</v>
      </c>
      <c r="I126">
        <v>0.05</v>
      </c>
      <c r="J126" t="s">
        <v>139</v>
      </c>
      <c r="K126" t="s">
        <v>45</v>
      </c>
      <c r="L126" t="s">
        <v>50</v>
      </c>
      <c r="M126" s="16">
        <f t="shared" si="1"/>
        <v>5224.05</v>
      </c>
    </row>
    <row r="127" spans="1:13" x14ac:dyDescent="0.3">
      <c r="A127">
        <v>20124</v>
      </c>
      <c r="B127" s="15">
        <v>45464</v>
      </c>
      <c r="C127" t="s">
        <v>111</v>
      </c>
      <c r="D127" t="s">
        <v>52</v>
      </c>
      <c r="E127" t="s">
        <v>55</v>
      </c>
      <c r="F127" t="s">
        <v>103</v>
      </c>
      <c r="G127">
        <v>7</v>
      </c>
      <c r="H127">
        <v>999</v>
      </c>
      <c r="I127">
        <v>0.05</v>
      </c>
      <c r="J127" t="s">
        <v>143</v>
      </c>
      <c r="K127" t="s">
        <v>45</v>
      </c>
      <c r="L127" t="s">
        <v>50</v>
      </c>
      <c r="M127" s="16">
        <f t="shared" si="1"/>
        <v>6643.3499999999995</v>
      </c>
    </row>
    <row r="128" spans="1:13" x14ac:dyDescent="0.3">
      <c r="A128">
        <v>20125</v>
      </c>
      <c r="B128" s="15">
        <v>45498</v>
      </c>
      <c r="C128" t="s">
        <v>89</v>
      </c>
      <c r="D128" t="s">
        <v>72</v>
      </c>
      <c r="E128" t="s">
        <v>69</v>
      </c>
      <c r="F128" t="s">
        <v>82</v>
      </c>
      <c r="G128">
        <v>1</v>
      </c>
      <c r="H128">
        <v>8999</v>
      </c>
      <c r="I128">
        <v>0.05</v>
      </c>
      <c r="J128" t="s">
        <v>139</v>
      </c>
      <c r="K128" t="s">
        <v>40</v>
      </c>
      <c r="L128" t="s">
        <v>46</v>
      </c>
      <c r="M128" s="16">
        <f t="shared" si="1"/>
        <v>8549.0499999999993</v>
      </c>
    </row>
    <row r="129" spans="1:13" x14ac:dyDescent="0.3">
      <c r="A129">
        <v>20126</v>
      </c>
      <c r="B129" s="15">
        <v>45540</v>
      </c>
      <c r="C129" t="s">
        <v>71</v>
      </c>
      <c r="D129" t="s">
        <v>95</v>
      </c>
      <c r="E129" t="s">
        <v>55</v>
      </c>
      <c r="F129" t="s">
        <v>73</v>
      </c>
      <c r="G129">
        <v>7</v>
      </c>
      <c r="H129">
        <v>5499</v>
      </c>
      <c r="I129">
        <v>0.1</v>
      </c>
      <c r="J129" t="s">
        <v>144</v>
      </c>
      <c r="K129" t="s">
        <v>49</v>
      </c>
      <c r="L129" t="s">
        <v>50</v>
      </c>
      <c r="M129" s="16">
        <f t="shared" si="1"/>
        <v>34643.700000000004</v>
      </c>
    </row>
    <row r="130" spans="1:13" x14ac:dyDescent="0.3">
      <c r="A130">
        <v>20127</v>
      </c>
      <c r="B130" s="15">
        <v>45304</v>
      </c>
      <c r="C130" t="s">
        <v>98</v>
      </c>
      <c r="D130" t="s">
        <v>74</v>
      </c>
      <c r="E130" t="s">
        <v>75</v>
      </c>
      <c r="F130" t="s">
        <v>64</v>
      </c>
      <c r="G130">
        <v>7</v>
      </c>
      <c r="H130">
        <v>1799</v>
      </c>
      <c r="I130">
        <v>0.15</v>
      </c>
      <c r="J130" t="s">
        <v>143</v>
      </c>
      <c r="K130" t="s">
        <v>57</v>
      </c>
      <c r="L130" t="s">
        <v>46</v>
      </c>
      <c r="M130" s="16">
        <f t="shared" si="1"/>
        <v>10704.05</v>
      </c>
    </row>
    <row r="131" spans="1:13" x14ac:dyDescent="0.3">
      <c r="A131">
        <v>20128</v>
      </c>
      <c r="B131" s="15">
        <v>45595</v>
      </c>
      <c r="C131" t="s">
        <v>51</v>
      </c>
      <c r="D131" t="s">
        <v>52</v>
      </c>
      <c r="E131" t="s">
        <v>55</v>
      </c>
      <c r="F131" t="s">
        <v>73</v>
      </c>
      <c r="G131">
        <v>6</v>
      </c>
      <c r="H131">
        <v>5499</v>
      </c>
      <c r="I131">
        <v>0.1</v>
      </c>
      <c r="J131" t="s">
        <v>139</v>
      </c>
      <c r="K131" t="s">
        <v>40</v>
      </c>
      <c r="L131" t="s">
        <v>41</v>
      </c>
      <c r="M131" s="16">
        <f t="shared" si="1"/>
        <v>29694.600000000002</v>
      </c>
    </row>
    <row r="132" spans="1:13" x14ac:dyDescent="0.3">
      <c r="A132">
        <v>20129</v>
      </c>
      <c r="B132" s="15">
        <v>45561</v>
      </c>
      <c r="C132" t="s">
        <v>118</v>
      </c>
      <c r="D132" t="s">
        <v>72</v>
      </c>
      <c r="E132" t="s">
        <v>55</v>
      </c>
      <c r="F132" t="s">
        <v>103</v>
      </c>
      <c r="G132">
        <v>8</v>
      </c>
      <c r="H132">
        <v>999</v>
      </c>
      <c r="I132">
        <v>0</v>
      </c>
      <c r="J132" t="s">
        <v>143</v>
      </c>
      <c r="K132" t="s">
        <v>40</v>
      </c>
      <c r="L132" t="s">
        <v>41</v>
      </c>
      <c r="M132" s="16">
        <f t="shared" si="1"/>
        <v>7992</v>
      </c>
    </row>
    <row r="133" spans="1:13" x14ac:dyDescent="0.3">
      <c r="A133">
        <v>20130</v>
      </c>
      <c r="B133" s="15">
        <v>45405</v>
      </c>
      <c r="C133" t="s">
        <v>97</v>
      </c>
      <c r="D133" t="s">
        <v>95</v>
      </c>
      <c r="E133" t="s">
        <v>75</v>
      </c>
      <c r="F133" t="s">
        <v>64</v>
      </c>
      <c r="G133">
        <v>7</v>
      </c>
      <c r="H133">
        <v>1799</v>
      </c>
      <c r="I133">
        <v>0.05</v>
      </c>
      <c r="J133" t="s">
        <v>145</v>
      </c>
      <c r="K133" t="s">
        <v>49</v>
      </c>
      <c r="L133" t="s">
        <v>41</v>
      </c>
      <c r="M133" s="16">
        <f t="shared" ref="M133:M196" si="2">G133*H133*(1-I133)</f>
        <v>11963.349999999999</v>
      </c>
    </row>
    <row r="134" spans="1:13" x14ac:dyDescent="0.3">
      <c r="A134">
        <v>20131</v>
      </c>
      <c r="B134" s="15">
        <v>45292</v>
      </c>
      <c r="C134" t="s">
        <v>47</v>
      </c>
      <c r="D134" t="s">
        <v>52</v>
      </c>
      <c r="E134" t="s">
        <v>75</v>
      </c>
      <c r="F134" t="s">
        <v>99</v>
      </c>
      <c r="G134">
        <v>2</v>
      </c>
      <c r="H134">
        <v>12999</v>
      </c>
      <c r="I134">
        <v>0.15</v>
      </c>
      <c r="J134" t="s">
        <v>143</v>
      </c>
      <c r="K134" t="s">
        <v>49</v>
      </c>
      <c r="L134" t="s">
        <v>46</v>
      </c>
      <c r="M134" s="16">
        <f t="shared" si="2"/>
        <v>22098.3</v>
      </c>
    </row>
    <row r="135" spans="1:13" x14ac:dyDescent="0.3">
      <c r="A135">
        <v>20132</v>
      </c>
      <c r="B135" s="15">
        <v>45563</v>
      </c>
      <c r="C135" t="s">
        <v>112</v>
      </c>
      <c r="D135" t="s">
        <v>52</v>
      </c>
      <c r="E135" t="s">
        <v>53</v>
      </c>
      <c r="F135" t="s">
        <v>60</v>
      </c>
      <c r="G135">
        <v>8</v>
      </c>
      <c r="H135">
        <v>349</v>
      </c>
      <c r="I135">
        <v>0.15</v>
      </c>
      <c r="J135" t="s">
        <v>143</v>
      </c>
      <c r="K135" t="s">
        <v>57</v>
      </c>
      <c r="L135" t="s">
        <v>41</v>
      </c>
      <c r="M135" s="16">
        <f t="shared" si="2"/>
        <v>2373.1999999999998</v>
      </c>
    </row>
    <row r="136" spans="1:13" x14ac:dyDescent="0.3">
      <c r="A136">
        <v>20133</v>
      </c>
      <c r="B136" s="15">
        <v>45452</v>
      </c>
      <c r="C136" t="s">
        <v>47</v>
      </c>
      <c r="D136" t="s">
        <v>59</v>
      </c>
      <c r="E136" t="s">
        <v>75</v>
      </c>
      <c r="F136" t="s">
        <v>38</v>
      </c>
      <c r="G136">
        <v>1</v>
      </c>
      <c r="H136">
        <v>2999</v>
      </c>
      <c r="I136">
        <v>0.15</v>
      </c>
      <c r="J136" t="s">
        <v>144</v>
      </c>
      <c r="K136" t="s">
        <v>45</v>
      </c>
      <c r="L136" t="s">
        <v>46</v>
      </c>
      <c r="M136" s="16">
        <f t="shared" si="2"/>
        <v>2549.15</v>
      </c>
    </row>
    <row r="137" spans="1:13" x14ac:dyDescent="0.3">
      <c r="A137">
        <v>20134</v>
      </c>
      <c r="B137" s="15">
        <v>45392</v>
      </c>
      <c r="C137" t="s">
        <v>98</v>
      </c>
      <c r="D137" t="s">
        <v>59</v>
      </c>
      <c r="E137" t="s">
        <v>53</v>
      </c>
      <c r="F137" t="s">
        <v>90</v>
      </c>
      <c r="G137">
        <v>5</v>
      </c>
      <c r="H137">
        <v>199</v>
      </c>
      <c r="I137">
        <v>0</v>
      </c>
      <c r="J137" t="s">
        <v>144</v>
      </c>
      <c r="K137" t="s">
        <v>49</v>
      </c>
      <c r="L137" t="s">
        <v>41</v>
      </c>
      <c r="M137" s="16">
        <f t="shared" si="2"/>
        <v>995</v>
      </c>
    </row>
    <row r="138" spans="1:13" x14ac:dyDescent="0.3">
      <c r="A138">
        <v>20135</v>
      </c>
      <c r="B138" s="15">
        <v>45624</v>
      </c>
      <c r="C138" t="s">
        <v>80</v>
      </c>
      <c r="D138" t="s">
        <v>59</v>
      </c>
      <c r="E138" t="s">
        <v>53</v>
      </c>
      <c r="F138" t="s">
        <v>90</v>
      </c>
      <c r="G138">
        <v>4</v>
      </c>
      <c r="H138">
        <v>199</v>
      </c>
      <c r="I138">
        <v>0</v>
      </c>
      <c r="J138" t="s">
        <v>143</v>
      </c>
      <c r="K138" t="s">
        <v>65</v>
      </c>
      <c r="L138" t="s">
        <v>46</v>
      </c>
      <c r="M138" s="16">
        <f t="shared" si="2"/>
        <v>796</v>
      </c>
    </row>
    <row r="139" spans="1:13" x14ac:dyDescent="0.3">
      <c r="A139">
        <v>20136</v>
      </c>
      <c r="B139" s="15">
        <v>45332</v>
      </c>
      <c r="C139" t="s">
        <v>81</v>
      </c>
      <c r="D139" t="s">
        <v>52</v>
      </c>
      <c r="E139" t="s">
        <v>53</v>
      </c>
      <c r="F139" t="s">
        <v>102</v>
      </c>
      <c r="G139">
        <v>8</v>
      </c>
      <c r="H139">
        <v>899</v>
      </c>
      <c r="I139">
        <v>0.15</v>
      </c>
      <c r="J139" t="s">
        <v>143</v>
      </c>
      <c r="K139" t="s">
        <v>49</v>
      </c>
      <c r="L139" t="s">
        <v>50</v>
      </c>
      <c r="M139" s="16">
        <f t="shared" si="2"/>
        <v>6113.2</v>
      </c>
    </row>
    <row r="140" spans="1:13" x14ac:dyDescent="0.3">
      <c r="A140">
        <v>20137</v>
      </c>
      <c r="B140" s="15">
        <v>45548</v>
      </c>
      <c r="C140" t="s">
        <v>87</v>
      </c>
      <c r="D140" t="s">
        <v>59</v>
      </c>
      <c r="E140" t="s">
        <v>53</v>
      </c>
      <c r="F140" t="s">
        <v>86</v>
      </c>
      <c r="G140">
        <v>3</v>
      </c>
      <c r="H140">
        <v>599</v>
      </c>
      <c r="I140">
        <v>0.05</v>
      </c>
      <c r="J140" t="s">
        <v>143</v>
      </c>
      <c r="K140" t="s">
        <v>65</v>
      </c>
      <c r="L140" t="s">
        <v>50</v>
      </c>
      <c r="M140" s="16">
        <f t="shared" si="2"/>
        <v>1707.1499999999999</v>
      </c>
    </row>
    <row r="141" spans="1:13" x14ac:dyDescent="0.3">
      <c r="A141">
        <v>20138</v>
      </c>
      <c r="B141" s="15">
        <v>45633</v>
      </c>
      <c r="C141" t="s">
        <v>118</v>
      </c>
      <c r="D141" t="s">
        <v>59</v>
      </c>
      <c r="E141" t="s">
        <v>75</v>
      </c>
      <c r="F141" t="s">
        <v>105</v>
      </c>
      <c r="G141">
        <v>5</v>
      </c>
      <c r="H141">
        <v>1199</v>
      </c>
      <c r="I141">
        <v>0.05</v>
      </c>
      <c r="J141" t="s">
        <v>141</v>
      </c>
      <c r="K141" t="s">
        <v>49</v>
      </c>
      <c r="L141" t="s">
        <v>46</v>
      </c>
      <c r="M141" s="16">
        <f t="shared" si="2"/>
        <v>5695.25</v>
      </c>
    </row>
    <row r="142" spans="1:13" x14ac:dyDescent="0.3">
      <c r="A142">
        <v>20139</v>
      </c>
      <c r="B142" s="15">
        <v>45295</v>
      </c>
      <c r="C142" t="s">
        <v>116</v>
      </c>
      <c r="D142" t="s">
        <v>72</v>
      </c>
      <c r="E142" t="s">
        <v>75</v>
      </c>
      <c r="F142" t="s">
        <v>43</v>
      </c>
      <c r="G142">
        <v>2</v>
      </c>
      <c r="H142">
        <v>6499</v>
      </c>
      <c r="I142">
        <v>0</v>
      </c>
      <c r="J142" t="s">
        <v>143</v>
      </c>
      <c r="K142" t="s">
        <v>57</v>
      </c>
      <c r="L142" t="s">
        <v>46</v>
      </c>
      <c r="M142" s="16">
        <f t="shared" si="2"/>
        <v>12998</v>
      </c>
    </row>
    <row r="143" spans="1:13" x14ac:dyDescent="0.3">
      <c r="A143">
        <v>20140</v>
      </c>
      <c r="B143" s="15">
        <v>45437</v>
      </c>
      <c r="C143" t="s">
        <v>84</v>
      </c>
      <c r="D143" t="s">
        <v>52</v>
      </c>
      <c r="E143" t="s">
        <v>55</v>
      </c>
      <c r="F143" t="s">
        <v>73</v>
      </c>
      <c r="G143">
        <v>2</v>
      </c>
      <c r="H143">
        <v>5499</v>
      </c>
      <c r="I143">
        <v>0.05</v>
      </c>
      <c r="J143" t="s">
        <v>141</v>
      </c>
      <c r="K143" t="s">
        <v>45</v>
      </c>
      <c r="L143" t="s">
        <v>46</v>
      </c>
      <c r="M143" s="16">
        <f t="shared" si="2"/>
        <v>10448.1</v>
      </c>
    </row>
    <row r="144" spans="1:13" x14ac:dyDescent="0.3">
      <c r="A144">
        <v>20141</v>
      </c>
      <c r="B144" s="15">
        <v>45610</v>
      </c>
      <c r="C144" t="s">
        <v>71</v>
      </c>
      <c r="D144" t="s">
        <v>72</v>
      </c>
      <c r="E144" t="s">
        <v>75</v>
      </c>
      <c r="F144" t="s">
        <v>99</v>
      </c>
      <c r="G144">
        <v>3</v>
      </c>
      <c r="H144">
        <v>12999</v>
      </c>
      <c r="I144">
        <v>0</v>
      </c>
      <c r="J144" t="s">
        <v>144</v>
      </c>
      <c r="K144" t="s">
        <v>49</v>
      </c>
      <c r="L144" t="s">
        <v>46</v>
      </c>
      <c r="M144" s="16">
        <f t="shared" si="2"/>
        <v>38997</v>
      </c>
    </row>
    <row r="145" spans="1:13" x14ac:dyDescent="0.3">
      <c r="A145">
        <v>20142</v>
      </c>
      <c r="B145" s="15">
        <v>45456</v>
      </c>
      <c r="C145" t="s">
        <v>87</v>
      </c>
      <c r="D145" t="s">
        <v>95</v>
      </c>
      <c r="E145" t="s">
        <v>75</v>
      </c>
      <c r="F145" t="s">
        <v>99</v>
      </c>
      <c r="G145">
        <v>2</v>
      </c>
      <c r="H145">
        <v>12999</v>
      </c>
      <c r="I145">
        <v>0.1</v>
      </c>
      <c r="J145" t="s">
        <v>139</v>
      </c>
      <c r="K145" t="s">
        <v>57</v>
      </c>
      <c r="L145" t="s">
        <v>46</v>
      </c>
      <c r="M145" s="16">
        <f t="shared" si="2"/>
        <v>23398.2</v>
      </c>
    </row>
    <row r="146" spans="1:13" x14ac:dyDescent="0.3">
      <c r="A146">
        <v>20143</v>
      </c>
      <c r="B146" s="15">
        <v>45412</v>
      </c>
      <c r="C146" t="s">
        <v>87</v>
      </c>
      <c r="D146" t="s">
        <v>95</v>
      </c>
      <c r="E146" t="s">
        <v>53</v>
      </c>
      <c r="F146" t="s">
        <v>54</v>
      </c>
      <c r="G146">
        <v>2</v>
      </c>
      <c r="H146">
        <v>149</v>
      </c>
      <c r="I146">
        <v>0.15</v>
      </c>
      <c r="J146" t="s">
        <v>145</v>
      </c>
      <c r="K146" t="s">
        <v>65</v>
      </c>
      <c r="L146" t="s">
        <v>50</v>
      </c>
      <c r="M146" s="16">
        <f t="shared" si="2"/>
        <v>253.29999999999998</v>
      </c>
    </row>
    <row r="147" spans="1:13" x14ac:dyDescent="0.3">
      <c r="A147">
        <v>20144</v>
      </c>
      <c r="B147" s="15">
        <v>45589</v>
      </c>
      <c r="C147" t="s">
        <v>116</v>
      </c>
      <c r="D147" t="s">
        <v>95</v>
      </c>
      <c r="E147" t="s">
        <v>53</v>
      </c>
      <c r="F147" t="s">
        <v>86</v>
      </c>
      <c r="G147">
        <v>8</v>
      </c>
      <c r="H147">
        <v>599</v>
      </c>
      <c r="I147">
        <v>0.05</v>
      </c>
      <c r="J147" t="s">
        <v>143</v>
      </c>
      <c r="K147" t="s">
        <v>49</v>
      </c>
      <c r="L147" t="s">
        <v>41</v>
      </c>
      <c r="M147" s="16">
        <f t="shared" si="2"/>
        <v>4552.3999999999996</v>
      </c>
    </row>
    <row r="148" spans="1:13" x14ac:dyDescent="0.3">
      <c r="A148">
        <v>20145</v>
      </c>
      <c r="B148" s="15">
        <v>45369</v>
      </c>
      <c r="C148" t="s">
        <v>116</v>
      </c>
      <c r="D148" t="s">
        <v>74</v>
      </c>
      <c r="E148" t="s">
        <v>75</v>
      </c>
      <c r="F148" t="s">
        <v>43</v>
      </c>
      <c r="G148">
        <v>3</v>
      </c>
      <c r="H148">
        <v>6499</v>
      </c>
      <c r="I148">
        <v>0.1</v>
      </c>
      <c r="J148" t="s">
        <v>145</v>
      </c>
      <c r="K148" t="s">
        <v>40</v>
      </c>
      <c r="L148" t="s">
        <v>46</v>
      </c>
      <c r="M148" s="16">
        <f t="shared" si="2"/>
        <v>17547.3</v>
      </c>
    </row>
    <row r="149" spans="1:13" x14ac:dyDescent="0.3">
      <c r="A149">
        <v>20146</v>
      </c>
      <c r="B149" s="15">
        <v>45329</v>
      </c>
      <c r="C149" t="s">
        <v>80</v>
      </c>
      <c r="D149" t="s">
        <v>52</v>
      </c>
      <c r="E149" t="s">
        <v>55</v>
      </c>
      <c r="F149" t="s">
        <v>79</v>
      </c>
      <c r="G149">
        <v>5</v>
      </c>
      <c r="H149">
        <v>599</v>
      </c>
      <c r="I149">
        <v>0</v>
      </c>
      <c r="J149" t="s">
        <v>145</v>
      </c>
      <c r="K149" t="s">
        <v>57</v>
      </c>
      <c r="L149" t="s">
        <v>50</v>
      </c>
      <c r="M149" s="16">
        <f t="shared" si="2"/>
        <v>2995</v>
      </c>
    </row>
    <row r="150" spans="1:13" x14ac:dyDescent="0.3">
      <c r="A150">
        <v>20147</v>
      </c>
      <c r="B150" s="15">
        <v>45509</v>
      </c>
      <c r="C150" t="s">
        <v>106</v>
      </c>
      <c r="D150" t="s">
        <v>59</v>
      </c>
      <c r="E150" t="s">
        <v>53</v>
      </c>
      <c r="F150" t="s">
        <v>54</v>
      </c>
      <c r="G150">
        <v>1</v>
      </c>
      <c r="H150">
        <v>149</v>
      </c>
      <c r="I150">
        <v>0.1</v>
      </c>
      <c r="J150" t="s">
        <v>145</v>
      </c>
      <c r="K150" t="s">
        <v>57</v>
      </c>
      <c r="L150" t="s">
        <v>46</v>
      </c>
      <c r="M150" s="16">
        <f t="shared" si="2"/>
        <v>134.1</v>
      </c>
    </row>
    <row r="151" spans="1:13" x14ac:dyDescent="0.3">
      <c r="A151">
        <v>20148</v>
      </c>
      <c r="B151" s="15">
        <v>45422</v>
      </c>
      <c r="C151" t="s">
        <v>118</v>
      </c>
      <c r="D151" t="s">
        <v>52</v>
      </c>
      <c r="E151" t="s">
        <v>55</v>
      </c>
      <c r="F151" t="s">
        <v>103</v>
      </c>
      <c r="G151">
        <v>3</v>
      </c>
      <c r="H151">
        <v>999</v>
      </c>
      <c r="I151">
        <v>0.15</v>
      </c>
      <c r="J151" t="s">
        <v>144</v>
      </c>
      <c r="K151" t="s">
        <v>57</v>
      </c>
      <c r="L151" t="s">
        <v>46</v>
      </c>
      <c r="M151" s="16">
        <f t="shared" si="2"/>
        <v>2547.4499999999998</v>
      </c>
    </row>
    <row r="152" spans="1:13" x14ac:dyDescent="0.3">
      <c r="A152">
        <v>20149</v>
      </c>
      <c r="B152" s="15">
        <v>45478</v>
      </c>
      <c r="C152" t="s">
        <v>113</v>
      </c>
      <c r="D152" t="s">
        <v>52</v>
      </c>
      <c r="E152" t="s">
        <v>75</v>
      </c>
      <c r="F152" t="s">
        <v>64</v>
      </c>
      <c r="G152">
        <v>7</v>
      </c>
      <c r="H152">
        <v>1799</v>
      </c>
      <c r="I152">
        <v>0.15</v>
      </c>
      <c r="J152" t="s">
        <v>139</v>
      </c>
      <c r="K152" t="s">
        <v>45</v>
      </c>
      <c r="L152" t="s">
        <v>46</v>
      </c>
      <c r="M152" s="16">
        <f t="shared" si="2"/>
        <v>10704.05</v>
      </c>
    </row>
    <row r="153" spans="1:13" x14ac:dyDescent="0.3">
      <c r="A153">
        <v>20150</v>
      </c>
      <c r="B153" s="15">
        <v>45293</v>
      </c>
      <c r="C153" t="s">
        <v>118</v>
      </c>
      <c r="D153" t="s">
        <v>95</v>
      </c>
      <c r="E153" t="s">
        <v>53</v>
      </c>
      <c r="F153" t="s">
        <v>54</v>
      </c>
      <c r="G153">
        <v>8</v>
      </c>
      <c r="H153">
        <v>149</v>
      </c>
      <c r="I153">
        <v>0</v>
      </c>
      <c r="J153" t="s">
        <v>145</v>
      </c>
      <c r="K153" t="s">
        <v>45</v>
      </c>
      <c r="L153" t="s">
        <v>41</v>
      </c>
      <c r="M153" s="16">
        <f t="shared" si="2"/>
        <v>1192</v>
      </c>
    </row>
    <row r="154" spans="1:13" x14ac:dyDescent="0.3">
      <c r="A154">
        <v>20151</v>
      </c>
      <c r="B154" s="15">
        <v>45509</v>
      </c>
      <c r="C154" t="s">
        <v>51</v>
      </c>
      <c r="D154" t="s">
        <v>74</v>
      </c>
      <c r="E154" t="s">
        <v>55</v>
      </c>
      <c r="F154" t="s">
        <v>73</v>
      </c>
      <c r="G154">
        <v>5</v>
      </c>
      <c r="H154">
        <v>5499</v>
      </c>
      <c r="I154">
        <v>0.15</v>
      </c>
      <c r="J154" t="s">
        <v>145</v>
      </c>
      <c r="K154" t="s">
        <v>45</v>
      </c>
      <c r="L154" t="s">
        <v>46</v>
      </c>
      <c r="M154" s="16">
        <f t="shared" si="2"/>
        <v>23370.75</v>
      </c>
    </row>
    <row r="155" spans="1:13" x14ac:dyDescent="0.3">
      <c r="A155">
        <v>20152</v>
      </c>
      <c r="B155" s="15">
        <v>45528</v>
      </c>
      <c r="C155" t="s">
        <v>51</v>
      </c>
      <c r="D155" t="s">
        <v>52</v>
      </c>
      <c r="E155" t="s">
        <v>69</v>
      </c>
      <c r="F155" t="s">
        <v>63</v>
      </c>
      <c r="G155">
        <v>4</v>
      </c>
      <c r="H155">
        <v>15999</v>
      </c>
      <c r="I155">
        <v>0.15</v>
      </c>
      <c r="J155" t="s">
        <v>143</v>
      </c>
      <c r="K155" t="s">
        <v>65</v>
      </c>
      <c r="L155" t="s">
        <v>46</v>
      </c>
      <c r="M155" s="16">
        <f t="shared" si="2"/>
        <v>54396.6</v>
      </c>
    </row>
    <row r="156" spans="1:13" x14ac:dyDescent="0.3">
      <c r="A156">
        <v>20153</v>
      </c>
      <c r="B156" s="15">
        <v>45591</v>
      </c>
      <c r="C156" t="s">
        <v>97</v>
      </c>
      <c r="D156" t="s">
        <v>74</v>
      </c>
      <c r="E156" t="s">
        <v>53</v>
      </c>
      <c r="F156" t="s">
        <v>91</v>
      </c>
      <c r="G156">
        <v>3</v>
      </c>
      <c r="H156">
        <v>249</v>
      </c>
      <c r="I156">
        <v>0.15</v>
      </c>
      <c r="J156" t="s">
        <v>143</v>
      </c>
      <c r="K156" t="s">
        <v>57</v>
      </c>
      <c r="L156" t="s">
        <v>50</v>
      </c>
      <c r="M156" s="16">
        <f t="shared" si="2"/>
        <v>634.94999999999993</v>
      </c>
    </row>
    <row r="157" spans="1:13" x14ac:dyDescent="0.3">
      <c r="A157">
        <v>20154</v>
      </c>
      <c r="B157" s="15">
        <v>45487</v>
      </c>
      <c r="C157" t="s">
        <v>112</v>
      </c>
      <c r="D157" t="s">
        <v>74</v>
      </c>
      <c r="E157" t="s">
        <v>53</v>
      </c>
      <c r="F157" t="s">
        <v>101</v>
      </c>
      <c r="G157">
        <v>7</v>
      </c>
      <c r="H157">
        <v>99</v>
      </c>
      <c r="I157">
        <v>0.05</v>
      </c>
      <c r="J157" t="s">
        <v>141</v>
      </c>
      <c r="K157" t="s">
        <v>40</v>
      </c>
      <c r="L157" t="s">
        <v>46</v>
      </c>
      <c r="M157" s="16">
        <f t="shared" si="2"/>
        <v>658.35</v>
      </c>
    </row>
    <row r="158" spans="1:13" x14ac:dyDescent="0.3">
      <c r="A158">
        <v>20155</v>
      </c>
      <c r="B158" s="15">
        <v>45396</v>
      </c>
      <c r="C158" t="s">
        <v>112</v>
      </c>
      <c r="D158" t="s">
        <v>52</v>
      </c>
      <c r="E158" t="s">
        <v>53</v>
      </c>
      <c r="F158" t="s">
        <v>54</v>
      </c>
      <c r="G158">
        <v>3</v>
      </c>
      <c r="H158">
        <v>149</v>
      </c>
      <c r="I158">
        <v>0.15</v>
      </c>
      <c r="J158" t="s">
        <v>145</v>
      </c>
      <c r="K158" t="s">
        <v>40</v>
      </c>
      <c r="L158" t="s">
        <v>46</v>
      </c>
      <c r="M158" s="16">
        <f t="shared" si="2"/>
        <v>379.95</v>
      </c>
    </row>
    <row r="159" spans="1:13" x14ac:dyDescent="0.3">
      <c r="A159">
        <v>20156</v>
      </c>
      <c r="B159" s="15">
        <v>45541</v>
      </c>
      <c r="C159" t="s">
        <v>36</v>
      </c>
      <c r="D159" t="s">
        <v>72</v>
      </c>
      <c r="E159" t="s">
        <v>55</v>
      </c>
      <c r="F159" t="s">
        <v>56</v>
      </c>
      <c r="G159">
        <v>8</v>
      </c>
      <c r="H159">
        <v>3999</v>
      </c>
      <c r="I159">
        <v>0.05</v>
      </c>
      <c r="J159" t="s">
        <v>144</v>
      </c>
      <c r="K159" t="s">
        <v>40</v>
      </c>
      <c r="L159" t="s">
        <v>41</v>
      </c>
      <c r="M159" s="16">
        <f t="shared" si="2"/>
        <v>30392.399999999998</v>
      </c>
    </row>
    <row r="160" spans="1:13" x14ac:dyDescent="0.3">
      <c r="A160">
        <v>20157</v>
      </c>
      <c r="B160" s="15">
        <v>45609</v>
      </c>
      <c r="C160" t="s">
        <v>117</v>
      </c>
      <c r="D160" t="s">
        <v>72</v>
      </c>
      <c r="E160" t="s">
        <v>75</v>
      </c>
      <c r="F160" t="s">
        <v>38</v>
      </c>
      <c r="G160">
        <v>6</v>
      </c>
      <c r="H160">
        <v>2999</v>
      </c>
      <c r="I160">
        <v>0.1</v>
      </c>
      <c r="J160" t="s">
        <v>141</v>
      </c>
      <c r="K160" t="s">
        <v>65</v>
      </c>
      <c r="L160" t="s">
        <v>50</v>
      </c>
      <c r="M160" s="16">
        <f t="shared" si="2"/>
        <v>16194.6</v>
      </c>
    </row>
    <row r="161" spans="1:13" x14ac:dyDescent="0.3">
      <c r="A161">
        <v>20158</v>
      </c>
      <c r="B161" s="15">
        <v>45344</v>
      </c>
      <c r="C161" t="s">
        <v>77</v>
      </c>
      <c r="D161" t="s">
        <v>74</v>
      </c>
      <c r="E161" t="s">
        <v>55</v>
      </c>
      <c r="F161" t="s">
        <v>73</v>
      </c>
      <c r="G161">
        <v>4</v>
      </c>
      <c r="H161">
        <v>5499</v>
      </c>
      <c r="I161">
        <v>0.1</v>
      </c>
      <c r="J161" t="s">
        <v>141</v>
      </c>
      <c r="K161" t="s">
        <v>65</v>
      </c>
      <c r="L161" t="s">
        <v>41</v>
      </c>
      <c r="M161" s="16">
        <f t="shared" si="2"/>
        <v>19796.400000000001</v>
      </c>
    </row>
    <row r="162" spans="1:13" x14ac:dyDescent="0.3">
      <c r="A162">
        <v>20159</v>
      </c>
      <c r="B162" s="15">
        <v>45488</v>
      </c>
      <c r="C162" t="s">
        <v>71</v>
      </c>
      <c r="D162" t="s">
        <v>74</v>
      </c>
      <c r="E162" t="s">
        <v>53</v>
      </c>
      <c r="F162" t="s">
        <v>60</v>
      </c>
      <c r="G162">
        <v>1</v>
      </c>
      <c r="H162">
        <v>349</v>
      </c>
      <c r="I162">
        <v>0.1</v>
      </c>
      <c r="J162" t="s">
        <v>144</v>
      </c>
      <c r="K162" t="s">
        <v>65</v>
      </c>
      <c r="L162" t="s">
        <v>46</v>
      </c>
      <c r="M162" s="16">
        <f t="shared" si="2"/>
        <v>314.10000000000002</v>
      </c>
    </row>
    <row r="163" spans="1:13" x14ac:dyDescent="0.3">
      <c r="A163">
        <v>20160</v>
      </c>
      <c r="B163" s="15">
        <v>45542</v>
      </c>
      <c r="C163" t="s">
        <v>106</v>
      </c>
      <c r="D163" t="s">
        <v>52</v>
      </c>
      <c r="E163" t="s">
        <v>75</v>
      </c>
      <c r="F163" t="s">
        <v>38</v>
      </c>
      <c r="G163">
        <v>7</v>
      </c>
      <c r="H163">
        <v>2999</v>
      </c>
      <c r="I163">
        <v>0.05</v>
      </c>
      <c r="J163" t="s">
        <v>141</v>
      </c>
      <c r="K163" t="s">
        <v>57</v>
      </c>
      <c r="L163" t="s">
        <v>50</v>
      </c>
      <c r="M163" s="16">
        <f t="shared" si="2"/>
        <v>19943.349999999999</v>
      </c>
    </row>
    <row r="164" spans="1:13" x14ac:dyDescent="0.3">
      <c r="A164">
        <v>20161</v>
      </c>
      <c r="B164" s="15">
        <v>45502</v>
      </c>
      <c r="C164" t="s">
        <v>93</v>
      </c>
      <c r="D164" t="s">
        <v>95</v>
      </c>
      <c r="E164" t="s">
        <v>53</v>
      </c>
      <c r="F164" t="s">
        <v>91</v>
      </c>
      <c r="G164">
        <v>4</v>
      </c>
      <c r="H164">
        <v>249</v>
      </c>
      <c r="I164">
        <v>0.1</v>
      </c>
      <c r="J164" t="s">
        <v>145</v>
      </c>
      <c r="K164" t="s">
        <v>45</v>
      </c>
      <c r="L164" t="s">
        <v>50</v>
      </c>
      <c r="M164" s="16">
        <f t="shared" si="2"/>
        <v>896.4</v>
      </c>
    </row>
    <row r="165" spans="1:13" x14ac:dyDescent="0.3">
      <c r="A165">
        <v>20162</v>
      </c>
      <c r="B165" s="15">
        <v>45367</v>
      </c>
      <c r="C165" t="s">
        <v>36</v>
      </c>
      <c r="D165" t="s">
        <v>59</v>
      </c>
      <c r="E165" t="s">
        <v>69</v>
      </c>
      <c r="F165" t="s">
        <v>61</v>
      </c>
      <c r="G165">
        <v>8</v>
      </c>
      <c r="H165">
        <v>18999</v>
      </c>
      <c r="I165">
        <v>0.15</v>
      </c>
      <c r="J165" t="s">
        <v>145</v>
      </c>
      <c r="K165" t="s">
        <v>40</v>
      </c>
      <c r="L165" t="s">
        <v>46</v>
      </c>
      <c r="M165" s="16">
        <f t="shared" si="2"/>
        <v>129193.2</v>
      </c>
    </row>
    <row r="166" spans="1:13" x14ac:dyDescent="0.3">
      <c r="A166">
        <v>20163</v>
      </c>
      <c r="B166" s="15">
        <v>45344</v>
      </c>
      <c r="C166" t="s">
        <v>47</v>
      </c>
      <c r="D166" t="s">
        <v>59</v>
      </c>
      <c r="E166" t="s">
        <v>53</v>
      </c>
      <c r="F166" t="s">
        <v>58</v>
      </c>
      <c r="G166">
        <v>6</v>
      </c>
      <c r="H166">
        <v>429</v>
      </c>
      <c r="I166">
        <v>0.05</v>
      </c>
      <c r="J166" t="s">
        <v>143</v>
      </c>
      <c r="K166" t="s">
        <v>57</v>
      </c>
      <c r="L166" t="s">
        <v>41</v>
      </c>
      <c r="M166" s="16">
        <f t="shared" si="2"/>
        <v>2445.2999999999997</v>
      </c>
    </row>
    <row r="167" spans="1:13" x14ac:dyDescent="0.3">
      <c r="A167">
        <v>20164</v>
      </c>
      <c r="B167" s="15">
        <v>45581</v>
      </c>
      <c r="C167" t="s">
        <v>117</v>
      </c>
      <c r="D167" t="s">
        <v>59</v>
      </c>
      <c r="E167" t="s">
        <v>53</v>
      </c>
      <c r="F167" t="s">
        <v>91</v>
      </c>
      <c r="G167">
        <v>1</v>
      </c>
      <c r="H167">
        <v>249</v>
      </c>
      <c r="I167">
        <v>0.15</v>
      </c>
      <c r="J167" t="s">
        <v>139</v>
      </c>
      <c r="K167" t="s">
        <v>45</v>
      </c>
      <c r="L167" t="s">
        <v>50</v>
      </c>
      <c r="M167" s="16">
        <f t="shared" si="2"/>
        <v>211.65</v>
      </c>
    </row>
    <row r="168" spans="1:13" x14ac:dyDescent="0.3">
      <c r="A168">
        <v>20165</v>
      </c>
      <c r="B168" s="15">
        <v>45615</v>
      </c>
      <c r="C168" t="s">
        <v>107</v>
      </c>
      <c r="D168" t="s">
        <v>74</v>
      </c>
      <c r="E168" t="s">
        <v>69</v>
      </c>
      <c r="F168" t="s">
        <v>63</v>
      </c>
      <c r="G168">
        <v>6</v>
      </c>
      <c r="H168">
        <v>15999</v>
      </c>
      <c r="I168">
        <v>0.05</v>
      </c>
      <c r="J168" t="s">
        <v>144</v>
      </c>
      <c r="K168" t="s">
        <v>49</v>
      </c>
      <c r="L168" t="s">
        <v>46</v>
      </c>
      <c r="M168" s="16">
        <f t="shared" si="2"/>
        <v>91194.3</v>
      </c>
    </row>
    <row r="169" spans="1:13" x14ac:dyDescent="0.3">
      <c r="A169">
        <v>20166</v>
      </c>
      <c r="B169" s="15">
        <v>45460</v>
      </c>
      <c r="C169" t="s">
        <v>47</v>
      </c>
      <c r="D169" t="s">
        <v>95</v>
      </c>
      <c r="E169" t="s">
        <v>55</v>
      </c>
      <c r="F169" t="s">
        <v>103</v>
      </c>
      <c r="G169">
        <v>8</v>
      </c>
      <c r="H169">
        <v>999</v>
      </c>
      <c r="I169">
        <v>0.15</v>
      </c>
      <c r="J169" t="s">
        <v>143</v>
      </c>
      <c r="K169" t="s">
        <v>45</v>
      </c>
      <c r="L169" t="s">
        <v>41</v>
      </c>
      <c r="M169" s="16">
        <f t="shared" si="2"/>
        <v>6793.2</v>
      </c>
    </row>
    <row r="170" spans="1:13" x14ac:dyDescent="0.3">
      <c r="A170">
        <v>20167</v>
      </c>
      <c r="B170" s="15">
        <v>45471</v>
      </c>
      <c r="C170" t="s">
        <v>87</v>
      </c>
      <c r="D170" t="s">
        <v>52</v>
      </c>
      <c r="E170" t="s">
        <v>55</v>
      </c>
      <c r="F170" t="s">
        <v>88</v>
      </c>
      <c r="G170">
        <v>8</v>
      </c>
      <c r="H170">
        <v>2499</v>
      </c>
      <c r="I170">
        <v>0.05</v>
      </c>
      <c r="J170" t="s">
        <v>145</v>
      </c>
      <c r="K170" t="s">
        <v>49</v>
      </c>
      <c r="L170" t="s">
        <v>50</v>
      </c>
      <c r="M170" s="16">
        <f t="shared" si="2"/>
        <v>18992.399999999998</v>
      </c>
    </row>
    <row r="171" spans="1:13" x14ac:dyDescent="0.3">
      <c r="A171">
        <v>20168</v>
      </c>
      <c r="B171" s="15">
        <v>45590</v>
      </c>
      <c r="C171" t="s">
        <v>107</v>
      </c>
      <c r="D171" t="s">
        <v>72</v>
      </c>
      <c r="E171" t="s">
        <v>69</v>
      </c>
      <c r="F171" t="s">
        <v>83</v>
      </c>
      <c r="G171">
        <v>3</v>
      </c>
      <c r="H171">
        <v>1299</v>
      </c>
      <c r="I171">
        <v>0.15</v>
      </c>
      <c r="J171" t="s">
        <v>143</v>
      </c>
      <c r="K171" t="s">
        <v>49</v>
      </c>
      <c r="L171" t="s">
        <v>46</v>
      </c>
      <c r="M171" s="16">
        <f t="shared" si="2"/>
        <v>3312.45</v>
      </c>
    </row>
    <row r="172" spans="1:13" x14ac:dyDescent="0.3">
      <c r="A172">
        <v>20169</v>
      </c>
      <c r="B172" s="15">
        <v>45431</v>
      </c>
      <c r="C172" t="s">
        <v>106</v>
      </c>
      <c r="D172" t="s">
        <v>95</v>
      </c>
      <c r="E172" t="s">
        <v>75</v>
      </c>
      <c r="F172" t="s">
        <v>64</v>
      </c>
      <c r="G172">
        <v>2</v>
      </c>
      <c r="H172">
        <v>1799</v>
      </c>
      <c r="I172">
        <v>0.15</v>
      </c>
      <c r="J172" t="s">
        <v>144</v>
      </c>
      <c r="K172" t="s">
        <v>57</v>
      </c>
      <c r="L172" t="s">
        <v>46</v>
      </c>
      <c r="M172" s="16">
        <f t="shared" si="2"/>
        <v>3058.2999999999997</v>
      </c>
    </row>
    <row r="173" spans="1:13" x14ac:dyDescent="0.3">
      <c r="A173">
        <v>20170</v>
      </c>
      <c r="B173" s="15">
        <v>45329</v>
      </c>
      <c r="C173" t="s">
        <v>117</v>
      </c>
      <c r="D173" t="s">
        <v>74</v>
      </c>
      <c r="E173" t="s">
        <v>55</v>
      </c>
      <c r="F173" t="s">
        <v>79</v>
      </c>
      <c r="G173">
        <v>6</v>
      </c>
      <c r="H173">
        <v>599</v>
      </c>
      <c r="I173">
        <v>0.1</v>
      </c>
      <c r="J173" t="s">
        <v>143</v>
      </c>
      <c r="K173" t="s">
        <v>65</v>
      </c>
      <c r="L173" t="s">
        <v>46</v>
      </c>
      <c r="M173" s="16">
        <f t="shared" si="2"/>
        <v>3234.6</v>
      </c>
    </row>
    <row r="174" spans="1:13" x14ac:dyDescent="0.3">
      <c r="A174">
        <v>20171</v>
      </c>
      <c r="B174" s="15">
        <v>45488</v>
      </c>
      <c r="C174" t="s">
        <v>116</v>
      </c>
      <c r="D174" t="s">
        <v>59</v>
      </c>
      <c r="E174" t="s">
        <v>69</v>
      </c>
      <c r="F174" t="s">
        <v>85</v>
      </c>
      <c r="G174">
        <v>3</v>
      </c>
      <c r="H174">
        <v>24999</v>
      </c>
      <c r="I174">
        <v>0.15</v>
      </c>
      <c r="J174" t="s">
        <v>143</v>
      </c>
      <c r="K174" t="s">
        <v>49</v>
      </c>
      <c r="L174" t="s">
        <v>50</v>
      </c>
      <c r="M174" s="16">
        <f t="shared" si="2"/>
        <v>63747.45</v>
      </c>
    </row>
    <row r="175" spans="1:13" x14ac:dyDescent="0.3">
      <c r="A175">
        <v>20172</v>
      </c>
      <c r="B175" s="15">
        <v>45605</v>
      </c>
      <c r="C175" t="s">
        <v>93</v>
      </c>
      <c r="D175" t="s">
        <v>74</v>
      </c>
      <c r="E175" t="s">
        <v>53</v>
      </c>
      <c r="F175" t="s">
        <v>60</v>
      </c>
      <c r="G175">
        <v>1</v>
      </c>
      <c r="H175">
        <v>349</v>
      </c>
      <c r="I175">
        <v>0.15</v>
      </c>
      <c r="J175" t="s">
        <v>143</v>
      </c>
      <c r="K175" t="s">
        <v>49</v>
      </c>
      <c r="L175" t="s">
        <v>46</v>
      </c>
      <c r="M175" s="16">
        <f t="shared" si="2"/>
        <v>296.64999999999998</v>
      </c>
    </row>
    <row r="176" spans="1:13" x14ac:dyDescent="0.3">
      <c r="A176">
        <v>20173</v>
      </c>
      <c r="B176" s="15">
        <v>45361</v>
      </c>
      <c r="C176" t="s">
        <v>87</v>
      </c>
      <c r="D176" t="s">
        <v>72</v>
      </c>
      <c r="E176" t="s">
        <v>55</v>
      </c>
      <c r="F176" t="s">
        <v>56</v>
      </c>
      <c r="G176">
        <v>7</v>
      </c>
      <c r="H176">
        <v>3999</v>
      </c>
      <c r="I176">
        <v>0</v>
      </c>
      <c r="J176" t="s">
        <v>143</v>
      </c>
      <c r="K176" t="s">
        <v>65</v>
      </c>
      <c r="L176" t="s">
        <v>46</v>
      </c>
      <c r="M176" s="16">
        <f t="shared" si="2"/>
        <v>27993</v>
      </c>
    </row>
    <row r="177" spans="1:13" x14ac:dyDescent="0.3">
      <c r="A177">
        <v>20174</v>
      </c>
      <c r="B177" s="15">
        <v>45601</v>
      </c>
      <c r="C177" t="s">
        <v>36</v>
      </c>
      <c r="D177" t="s">
        <v>59</v>
      </c>
      <c r="E177" t="s">
        <v>69</v>
      </c>
      <c r="F177" t="s">
        <v>70</v>
      </c>
      <c r="G177">
        <v>1</v>
      </c>
      <c r="H177">
        <v>5499</v>
      </c>
      <c r="I177">
        <v>0.05</v>
      </c>
      <c r="J177" t="s">
        <v>141</v>
      </c>
      <c r="K177" t="s">
        <v>65</v>
      </c>
      <c r="L177" t="s">
        <v>50</v>
      </c>
      <c r="M177" s="16">
        <f t="shared" si="2"/>
        <v>5224.05</v>
      </c>
    </row>
    <row r="178" spans="1:13" x14ac:dyDescent="0.3">
      <c r="A178">
        <v>20175</v>
      </c>
      <c r="B178" s="15">
        <v>45293</v>
      </c>
      <c r="C178" t="s">
        <v>118</v>
      </c>
      <c r="D178" t="s">
        <v>72</v>
      </c>
      <c r="E178" t="s">
        <v>53</v>
      </c>
      <c r="F178" t="s">
        <v>90</v>
      </c>
      <c r="G178">
        <v>1</v>
      </c>
      <c r="H178">
        <v>199</v>
      </c>
      <c r="I178">
        <v>0.15</v>
      </c>
      <c r="J178" t="s">
        <v>144</v>
      </c>
      <c r="K178" t="s">
        <v>57</v>
      </c>
      <c r="L178" t="s">
        <v>41</v>
      </c>
      <c r="M178" s="16">
        <f t="shared" si="2"/>
        <v>169.15</v>
      </c>
    </row>
    <row r="179" spans="1:13" x14ac:dyDescent="0.3">
      <c r="A179">
        <v>20176</v>
      </c>
      <c r="B179" s="15">
        <v>45301</v>
      </c>
      <c r="C179" t="s">
        <v>98</v>
      </c>
      <c r="D179" t="s">
        <v>52</v>
      </c>
      <c r="E179" t="s">
        <v>69</v>
      </c>
      <c r="F179" t="s">
        <v>85</v>
      </c>
      <c r="G179">
        <v>6</v>
      </c>
      <c r="H179">
        <v>24999</v>
      </c>
      <c r="I179">
        <v>0</v>
      </c>
      <c r="J179" t="s">
        <v>144</v>
      </c>
      <c r="K179" t="s">
        <v>45</v>
      </c>
      <c r="L179" t="s">
        <v>41</v>
      </c>
      <c r="M179" s="16">
        <f t="shared" si="2"/>
        <v>149994</v>
      </c>
    </row>
    <row r="180" spans="1:13" x14ac:dyDescent="0.3">
      <c r="A180">
        <v>20177</v>
      </c>
      <c r="B180" s="15">
        <v>45580</v>
      </c>
      <c r="C180" t="s">
        <v>47</v>
      </c>
      <c r="D180" t="s">
        <v>59</v>
      </c>
      <c r="E180" t="s">
        <v>53</v>
      </c>
      <c r="F180" t="s">
        <v>54</v>
      </c>
      <c r="G180">
        <v>6</v>
      </c>
      <c r="H180">
        <v>149</v>
      </c>
      <c r="I180">
        <v>0.15</v>
      </c>
      <c r="J180" t="s">
        <v>144</v>
      </c>
      <c r="K180" t="s">
        <v>65</v>
      </c>
      <c r="L180" t="s">
        <v>46</v>
      </c>
      <c r="M180" s="16">
        <f t="shared" si="2"/>
        <v>759.9</v>
      </c>
    </row>
    <row r="181" spans="1:13" x14ac:dyDescent="0.3">
      <c r="A181">
        <v>20178</v>
      </c>
      <c r="B181" s="15">
        <v>45458</v>
      </c>
      <c r="C181" t="s">
        <v>113</v>
      </c>
      <c r="D181" t="s">
        <v>52</v>
      </c>
      <c r="E181" t="s">
        <v>55</v>
      </c>
      <c r="F181" t="s">
        <v>88</v>
      </c>
      <c r="G181">
        <v>4</v>
      </c>
      <c r="H181">
        <v>2499</v>
      </c>
      <c r="I181">
        <v>0.1</v>
      </c>
      <c r="J181" t="s">
        <v>145</v>
      </c>
      <c r="K181" t="s">
        <v>45</v>
      </c>
      <c r="L181" t="s">
        <v>41</v>
      </c>
      <c r="M181" s="16">
        <f t="shared" si="2"/>
        <v>8996.4</v>
      </c>
    </row>
    <row r="182" spans="1:13" x14ac:dyDescent="0.3">
      <c r="A182">
        <v>20179</v>
      </c>
      <c r="B182" s="15">
        <v>45523</v>
      </c>
      <c r="C182" t="s">
        <v>111</v>
      </c>
      <c r="D182" t="s">
        <v>95</v>
      </c>
      <c r="E182" t="s">
        <v>75</v>
      </c>
      <c r="F182" t="s">
        <v>66</v>
      </c>
      <c r="G182">
        <v>5</v>
      </c>
      <c r="H182">
        <v>1499</v>
      </c>
      <c r="I182">
        <v>0</v>
      </c>
      <c r="J182" t="s">
        <v>139</v>
      </c>
      <c r="K182" t="s">
        <v>45</v>
      </c>
      <c r="L182" t="s">
        <v>50</v>
      </c>
      <c r="M182" s="16">
        <f t="shared" si="2"/>
        <v>7495</v>
      </c>
    </row>
    <row r="183" spans="1:13" x14ac:dyDescent="0.3">
      <c r="A183">
        <v>20180</v>
      </c>
      <c r="B183" s="15">
        <v>45421</v>
      </c>
      <c r="C183" t="s">
        <v>112</v>
      </c>
      <c r="D183" t="s">
        <v>72</v>
      </c>
      <c r="E183" t="s">
        <v>55</v>
      </c>
      <c r="F183" t="s">
        <v>56</v>
      </c>
      <c r="G183">
        <v>1</v>
      </c>
      <c r="H183">
        <v>3999</v>
      </c>
      <c r="I183">
        <v>0.1</v>
      </c>
      <c r="J183" t="s">
        <v>144</v>
      </c>
      <c r="K183" t="s">
        <v>65</v>
      </c>
      <c r="L183" t="s">
        <v>50</v>
      </c>
      <c r="M183" s="16">
        <f t="shared" si="2"/>
        <v>3599.1</v>
      </c>
    </row>
    <row r="184" spans="1:13" x14ac:dyDescent="0.3">
      <c r="A184">
        <v>20181</v>
      </c>
      <c r="B184" s="15">
        <v>45462</v>
      </c>
      <c r="C184" t="s">
        <v>62</v>
      </c>
      <c r="D184" t="s">
        <v>52</v>
      </c>
      <c r="E184" t="s">
        <v>69</v>
      </c>
      <c r="F184" t="s">
        <v>61</v>
      </c>
      <c r="G184">
        <v>6</v>
      </c>
      <c r="H184">
        <v>18999</v>
      </c>
      <c r="I184">
        <v>0.05</v>
      </c>
      <c r="J184" t="s">
        <v>145</v>
      </c>
      <c r="K184" t="s">
        <v>45</v>
      </c>
      <c r="L184" t="s">
        <v>50</v>
      </c>
      <c r="M184" s="16">
        <f t="shared" si="2"/>
        <v>108294.29999999999</v>
      </c>
    </row>
    <row r="185" spans="1:13" x14ac:dyDescent="0.3">
      <c r="A185">
        <v>20182</v>
      </c>
      <c r="B185" s="15">
        <v>45374</v>
      </c>
      <c r="C185" t="s">
        <v>96</v>
      </c>
      <c r="D185" t="s">
        <v>52</v>
      </c>
      <c r="E185" t="s">
        <v>55</v>
      </c>
      <c r="F185" t="s">
        <v>79</v>
      </c>
      <c r="G185">
        <v>3</v>
      </c>
      <c r="H185">
        <v>599</v>
      </c>
      <c r="I185">
        <v>0.1</v>
      </c>
      <c r="J185" t="s">
        <v>144</v>
      </c>
      <c r="K185" t="s">
        <v>57</v>
      </c>
      <c r="L185" t="s">
        <v>50</v>
      </c>
      <c r="M185" s="16">
        <f t="shared" si="2"/>
        <v>1617.3</v>
      </c>
    </row>
    <row r="186" spans="1:13" x14ac:dyDescent="0.3">
      <c r="A186">
        <v>20183</v>
      </c>
      <c r="B186" s="15">
        <v>45533</v>
      </c>
      <c r="C186" t="s">
        <v>115</v>
      </c>
      <c r="D186" t="s">
        <v>52</v>
      </c>
      <c r="E186" t="s">
        <v>69</v>
      </c>
      <c r="F186" t="s">
        <v>68</v>
      </c>
      <c r="G186">
        <v>3</v>
      </c>
      <c r="H186">
        <v>6999</v>
      </c>
      <c r="I186">
        <v>0</v>
      </c>
      <c r="J186" t="s">
        <v>143</v>
      </c>
      <c r="K186" t="s">
        <v>65</v>
      </c>
      <c r="L186" t="s">
        <v>46</v>
      </c>
      <c r="M186" s="16">
        <f t="shared" si="2"/>
        <v>20997</v>
      </c>
    </row>
    <row r="187" spans="1:13" x14ac:dyDescent="0.3">
      <c r="A187">
        <v>20184</v>
      </c>
      <c r="B187" s="15">
        <v>45316</v>
      </c>
      <c r="C187" t="s">
        <v>81</v>
      </c>
      <c r="D187" t="s">
        <v>74</v>
      </c>
      <c r="E187" t="s">
        <v>69</v>
      </c>
      <c r="F187" t="s">
        <v>83</v>
      </c>
      <c r="G187">
        <v>7</v>
      </c>
      <c r="H187">
        <v>1299</v>
      </c>
      <c r="I187">
        <v>0.05</v>
      </c>
      <c r="J187" t="s">
        <v>139</v>
      </c>
      <c r="K187" t="s">
        <v>45</v>
      </c>
      <c r="L187" t="s">
        <v>46</v>
      </c>
      <c r="M187" s="16">
        <f t="shared" si="2"/>
        <v>8638.35</v>
      </c>
    </row>
    <row r="188" spans="1:13" x14ac:dyDescent="0.3">
      <c r="A188">
        <v>20185</v>
      </c>
      <c r="B188" s="15">
        <v>45305</v>
      </c>
      <c r="C188" t="s">
        <v>114</v>
      </c>
      <c r="D188" t="s">
        <v>72</v>
      </c>
      <c r="E188" t="s">
        <v>69</v>
      </c>
      <c r="F188" t="s">
        <v>63</v>
      </c>
      <c r="G188">
        <v>7</v>
      </c>
      <c r="H188">
        <v>15999</v>
      </c>
      <c r="I188">
        <v>0.1</v>
      </c>
      <c r="J188" t="s">
        <v>144</v>
      </c>
      <c r="K188" t="s">
        <v>45</v>
      </c>
      <c r="L188" t="s">
        <v>46</v>
      </c>
      <c r="M188" s="16">
        <f t="shared" si="2"/>
        <v>100793.7</v>
      </c>
    </row>
    <row r="189" spans="1:13" x14ac:dyDescent="0.3">
      <c r="A189">
        <v>20186</v>
      </c>
      <c r="B189" s="15">
        <v>45406</v>
      </c>
      <c r="C189" t="s">
        <v>112</v>
      </c>
      <c r="D189" t="s">
        <v>72</v>
      </c>
      <c r="E189" t="s">
        <v>75</v>
      </c>
      <c r="F189" t="s">
        <v>38</v>
      </c>
      <c r="G189">
        <v>8</v>
      </c>
      <c r="H189">
        <v>2999</v>
      </c>
      <c r="I189">
        <v>0.1</v>
      </c>
      <c r="J189" t="s">
        <v>144</v>
      </c>
      <c r="K189" t="s">
        <v>45</v>
      </c>
      <c r="L189" t="s">
        <v>50</v>
      </c>
      <c r="M189" s="16">
        <f t="shared" si="2"/>
        <v>21592.799999999999</v>
      </c>
    </row>
    <row r="190" spans="1:13" x14ac:dyDescent="0.3">
      <c r="A190">
        <v>20187</v>
      </c>
      <c r="B190" s="15">
        <v>45367</v>
      </c>
      <c r="C190" t="s">
        <v>71</v>
      </c>
      <c r="D190" t="s">
        <v>52</v>
      </c>
      <c r="E190" t="s">
        <v>55</v>
      </c>
      <c r="F190" t="s">
        <v>79</v>
      </c>
      <c r="G190">
        <v>4</v>
      </c>
      <c r="H190">
        <v>599</v>
      </c>
      <c r="I190">
        <v>0.1</v>
      </c>
      <c r="J190" t="s">
        <v>139</v>
      </c>
      <c r="K190" t="s">
        <v>57</v>
      </c>
      <c r="L190" t="s">
        <v>46</v>
      </c>
      <c r="M190" s="16">
        <f t="shared" si="2"/>
        <v>2156.4</v>
      </c>
    </row>
    <row r="191" spans="1:13" x14ac:dyDescent="0.3">
      <c r="A191">
        <v>20188</v>
      </c>
      <c r="B191" s="15">
        <v>45457</v>
      </c>
      <c r="C191" t="s">
        <v>117</v>
      </c>
      <c r="D191" t="s">
        <v>59</v>
      </c>
      <c r="E191" t="s">
        <v>55</v>
      </c>
      <c r="F191" t="s">
        <v>56</v>
      </c>
      <c r="G191">
        <v>2</v>
      </c>
      <c r="H191">
        <v>3999</v>
      </c>
      <c r="I191">
        <v>0.05</v>
      </c>
      <c r="J191" t="s">
        <v>145</v>
      </c>
      <c r="K191" t="s">
        <v>57</v>
      </c>
      <c r="L191" t="s">
        <v>41</v>
      </c>
      <c r="M191" s="16">
        <f t="shared" si="2"/>
        <v>7598.0999999999995</v>
      </c>
    </row>
    <row r="192" spans="1:13" x14ac:dyDescent="0.3">
      <c r="A192">
        <v>20189</v>
      </c>
      <c r="B192" s="15">
        <v>45408</v>
      </c>
      <c r="C192" t="s">
        <v>51</v>
      </c>
      <c r="D192" t="s">
        <v>95</v>
      </c>
      <c r="E192" t="s">
        <v>69</v>
      </c>
      <c r="F192" t="s">
        <v>83</v>
      </c>
      <c r="G192">
        <v>5</v>
      </c>
      <c r="H192">
        <v>1299</v>
      </c>
      <c r="I192">
        <v>0.1</v>
      </c>
      <c r="J192" t="s">
        <v>141</v>
      </c>
      <c r="K192" t="s">
        <v>65</v>
      </c>
      <c r="L192" t="s">
        <v>50</v>
      </c>
      <c r="M192" s="16">
        <f t="shared" si="2"/>
        <v>5845.5</v>
      </c>
    </row>
    <row r="193" spans="1:13" x14ac:dyDescent="0.3">
      <c r="A193">
        <v>20190</v>
      </c>
      <c r="B193" s="15">
        <v>45295</v>
      </c>
      <c r="C193" t="s">
        <v>84</v>
      </c>
      <c r="D193" t="s">
        <v>59</v>
      </c>
      <c r="E193" t="s">
        <v>69</v>
      </c>
      <c r="F193" t="s">
        <v>82</v>
      </c>
      <c r="G193">
        <v>3</v>
      </c>
      <c r="H193">
        <v>8999</v>
      </c>
      <c r="I193">
        <v>0</v>
      </c>
      <c r="J193" t="s">
        <v>139</v>
      </c>
      <c r="K193" t="s">
        <v>49</v>
      </c>
      <c r="L193" t="s">
        <v>41</v>
      </c>
      <c r="M193" s="16">
        <f t="shared" si="2"/>
        <v>26997</v>
      </c>
    </row>
    <row r="194" spans="1:13" x14ac:dyDescent="0.3">
      <c r="A194">
        <v>20191</v>
      </c>
      <c r="B194" s="15">
        <v>45501</v>
      </c>
      <c r="C194" t="s">
        <v>89</v>
      </c>
      <c r="D194" t="s">
        <v>74</v>
      </c>
      <c r="E194" t="s">
        <v>69</v>
      </c>
      <c r="F194" t="s">
        <v>70</v>
      </c>
      <c r="G194">
        <v>3</v>
      </c>
      <c r="H194">
        <v>5499</v>
      </c>
      <c r="I194">
        <v>0.05</v>
      </c>
      <c r="J194" t="s">
        <v>144</v>
      </c>
      <c r="K194" t="s">
        <v>65</v>
      </c>
      <c r="L194" t="s">
        <v>50</v>
      </c>
      <c r="M194" s="16">
        <f t="shared" si="2"/>
        <v>15672.15</v>
      </c>
    </row>
    <row r="195" spans="1:13" x14ac:dyDescent="0.3">
      <c r="A195">
        <v>20192</v>
      </c>
      <c r="B195" s="15">
        <v>45573</v>
      </c>
      <c r="C195" t="s">
        <v>116</v>
      </c>
      <c r="D195" t="s">
        <v>72</v>
      </c>
      <c r="E195" t="s">
        <v>55</v>
      </c>
      <c r="F195" t="s">
        <v>73</v>
      </c>
      <c r="G195">
        <v>1</v>
      </c>
      <c r="H195">
        <v>5499</v>
      </c>
      <c r="I195">
        <v>0.05</v>
      </c>
      <c r="J195" t="s">
        <v>143</v>
      </c>
      <c r="K195" t="s">
        <v>65</v>
      </c>
      <c r="L195" t="s">
        <v>41</v>
      </c>
      <c r="M195" s="16">
        <f t="shared" si="2"/>
        <v>5224.05</v>
      </c>
    </row>
    <row r="196" spans="1:13" x14ac:dyDescent="0.3">
      <c r="A196">
        <v>20193</v>
      </c>
      <c r="B196" s="15">
        <v>45382</v>
      </c>
      <c r="C196" t="s">
        <v>62</v>
      </c>
      <c r="D196" t="s">
        <v>74</v>
      </c>
      <c r="E196" t="s">
        <v>69</v>
      </c>
      <c r="F196" t="s">
        <v>68</v>
      </c>
      <c r="G196">
        <v>8</v>
      </c>
      <c r="H196">
        <v>6999</v>
      </c>
      <c r="I196">
        <v>0</v>
      </c>
      <c r="J196" t="s">
        <v>141</v>
      </c>
      <c r="K196" t="s">
        <v>57</v>
      </c>
      <c r="L196" t="s">
        <v>41</v>
      </c>
      <c r="M196" s="16">
        <f t="shared" si="2"/>
        <v>55992</v>
      </c>
    </row>
    <row r="197" spans="1:13" x14ac:dyDescent="0.3">
      <c r="A197">
        <v>20194</v>
      </c>
      <c r="B197" s="15">
        <v>45677</v>
      </c>
      <c r="C197" t="s">
        <v>42</v>
      </c>
      <c r="D197" t="s">
        <v>59</v>
      </c>
      <c r="E197" t="s">
        <v>75</v>
      </c>
      <c r="F197" t="s">
        <v>38</v>
      </c>
      <c r="G197">
        <v>6</v>
      </c>
      <c r="H197">
        <v>2999</v>
      </c>
      <c r="I197">
        <v>0</v>
      </c>
      <c r="J197" t="s">
        <v>139</v>
      </c>
      <c r="K197" t="s">
        <v>57</v>
      </c>
      <c r="L197" t="s">
        <v>46</v>
      </c>
      <c r="M197" s="16">
        <f t="shared" ref="M197:M264" si="3">G197*H197*(1-I197)</f>
        <v>17994</v>
      </c>
    </row>
    <row r="198" spans="1:13" x14ac:dyDescent="0.3">
      <c r="A198">
        <v>20195</v>
      </c>
      <c r="B198" s="15">
        <v>45297</v>
      </c>
      <c r="C198" t="s">
        <v>84</v>
      </c>
      <c r="D198" t="s">
        <v>72</v>
      </c>
      <c r="E198" t="s">
        <v>75</v>
      </c>
      <c r="F198" t="s">
        <v>105</v>
      </c>
      <c r="G198">
        <v>2</v>
      </c>
      <c r="H198">
        <v>1199</v>
      </c>
      <c r="I198">
        <v>0.1</v>
      </c>
      <c r="J198" t="s">
        <v>143</v>
      </c>
      <c r="K198" t="s">
        <v>45</v>
      </c>
      <c r="L198" t="s">
        <v>50</v>
      </c>
      <c r="M198" s="16">
        <f t="shared" si="3"/>
        <v>2158.2000000000003</v>
      </c>
    </row>
    <row r="199" spans="1:13" x14ac:dyDescent="0.3">
      <c r="A199">
        <v>20196</v>
      </c>
      <c r="B199" s="15">
        <v>45538</v>
      </c>
      <c r="C199" t="s">
        <v>112</v>
      </c>
      <c r="D199" t="s">
        <v>95</v>
      </c>
      <c r="E199" t="s">
        <v>55</v>
      </c>
      <c r="F199" t="s">
        <v>56</v>
      </c>
      <c r="G199">
        <v>5</v>
      </c>
      <c r="H199">
        <v>3999</v>
      </c>
      <c r="I199">
        <v>0</v>
      </c>
      <c r="J199" t="s">
        <v>143</v>
      </c>
      <c r="K199" t="s">
        <v>57</v>
      </c>
      <c r="L199" t="s">
        <v>41</v>
      </c>
      <c r="M199" s="16">
        <f t="shared" si="3"/>
        <v>19995</v>
      </c>
    </row>
    <row r="200" spans="1:13" x14ac:dyDescent="0.3">
      <c r="A200">
        <v>20197</v>
      </c>
      <c r="B200" s="15">
        <v>45490</v>
      </c>
      <c r="C200" t="s">
        <v>110</v>
      </c>
      <c r="D200" t="s">
        <v>59</v>
      </c>
      <c r="E200" t="s">
        <v>75</v>
      </c>
      <c r="F200" t="s">
        <v>99</v>
      </c>
      <c r="G200">
        <v>4</v>
      </c>
      <c r="H200">
        <v>12999</v>
      </c>
      <c r="I200">
        <v>0.1</v>
      </c>
      <c r="J200" t="s">
        <v>145</v>
      </c>
      <c r="K200" t="s">
        <v>65</v>
      </c>
      <c r="L200" t="s">
        <v>46</v>
      </c>
      <c r="M200" s="16">
        <f t="shared" si="3"/>
        <v>46796.4</v>
      </c>
    </row>
    <row r="201" spans="1:13" x14ac:dyDescent="0.3">
      <c r="A201">
        <v>20198</v>
      </c>
      <c r="B201" s="15">
        <v>45326</v>
      </c>
      <c r="C201" t="s">
        <v>97</v>
      </c>
      <c r="D201" t="s">
        <v>59</v>
      </c>
      <c r="E201" t="s">
        <v>55</v>
      </c>
      <c r="F201" t="s">
        <v>92</v>
      </c>
      <c r="G201">
        <v>5</v>
      </c>
      <c r="H201">
        <v>799</v>
      </c>
      <c r="I201">
        <v>0.1</v>
      </c>
      <c r="J201" t="s">
        <v>145</v>
      </c>
      <c r="K201" t="s">
        <v>49</v>
      </c>
      <c r="L201" t="s">
        <v>46</v>
      </c>
      <c r="M201" s="16">
        <f t="shared" si="3"/>
        <v>3595.5</v>
      </c>
    </row>
    <row r="202" spans="1:13" x14ac:dyDescent="0.3">
      <c r="A202">
        <v>20199</v>
      </c>
      <c r="B202" s="15">
        <v>45316</v>
      </c>
      <c r="C202" t="s">
        <v>110</v>
      </c>
      <c r="D202" t="s">
        <v>52</v>
      </c>
      <c r="E202" t="s">
        <v>69</v>
      </c>
      <c r="F202" t="s">
        <v>68</v>
      </c>
      <c r="G202">
        <v>3</v>
      </c>
      <c r="H202">
        <v>6999</v>
      </c>
      <c r="I202">
        <v>0.05</v>
      </c>
      <c r="J202" t="s">
        <v>145</v>
      </c>
      <c r="K202" t="s">
        <v>65</v>
      </c>
      <c r="L202" t="s">
        <v>50</v>
      </c>
      <c r="M202" s="16">
        <f t="shared" si="3"/>
        <v>19947.149999999998</v>
      </c>
    </row>
    <row r="203" spans="1:13" x14ac:dyDescent="0.3">
      <c r="A203">
        <v>20200</v>
      </c>
      <c r="B203" s="15">
        <v>45371</v>
      </c>
      <c r="C203" t="s">
        <v>96</v>
      </c>
      <c r="D203" t="s">
        <v>59</v>
      </c>
      <c r="E203" t="s">
        <v>53</v>
      </c>
      <c r="F203" t="s">
        <v>54</v>
      </c>
      <c r="G203">
        <v>6</v>
      </c>
      <c r="H203">
        <v>149</v>
      </c>
      <c r="I203">
        <v>0</v>
      </c>
      <c r="J203" t="s">
        <v>143</v>
      </c>
      <c r="K203" t="s">
        <v>45</v>
      </c>
      <c r="L203" t="s">
        <v>46</v>
      </c>
      <c r="M203" s="16">
        <f t="shared" si="3"/>
        <v>894</v>
      </c>
    </row>
    <row r="204" spans="1:13" x14ac:dyDescent="0.3">
      <c r="A204">
        <v>20201</v>
      </c>
      <c r="B204" s="15">
        <v>45498</v>
      </c>
      <c r="C204" t="s">
        <v>80</v>
      </c>
      <c r="D204" t="s">
        <v>59</v>
      </c>
      <c r="E204" t="s">
        <v>75</v>
      </c>
      <c r="F204" t="s">
        <v>48</v>
      </c>
      <c r="G204">
        <v>7</v>
      </c>
      <c r="H204">
        <v>799</v>
      </c>
      <c r="I204">
        <v>0</v>
      </c>
      <c r="J204" t="s">
        <v>145</v>
      </c>
      <c r="K204" t="s">
        <v>45</v>
      </c>
      <c r="L204" t="s">
        <v>41</v>
      </c>
      <c r="M204" s="16">
        <f t="shared" si="3"/>
        <v>5593</v>
      </c>
    </row>
    <row r="205" spans="1:13" x14ac:dyDescent="0.3">
      <c r="A205">
        <v>20202</v>
      </c>
      <c r="B205" s="15">
        <v>45588</v>
      </c>
      <c r="C205" t="s">
        <v>98</v>
      </c>
      <c r="D205" t="s">
        <v>95</v>
      </c>
      <c r="E205" t="s">
        <v>53</v>
      </c>
      <c r="F205" t="s">
        <v>102</v>
      </c>
      <c r="G205">
        <v>2</v>
      </c>
      <c r="H205">
        <v>899</v>
      </c>
      <c r="I205">
        <v>0</v>
      </c>
      <c r="J205" t="s">
        <v>144</v>
      </c>
      <c r="K205" t="s">
        <v>45</v>
      </c>
      <c r="L205" t="s">
        <v>46</v>
      </c>
      <c r="M205" s="16">
        <f t="shared" si="3"/>
        <v>1798</v>
      </c>
    </row>
    <row r="206" spans="1:13" x14ac:dyDescent="0.3">
      <c r="A206">
        <v>20203</v>
      </c>
      <c r="B206" s="15">
        <v>45327</v>
      </c>
      <c r="C206" t="s">
        <v>87</v>
      </c>
      <c r="D206" t="s">
        <v>95</v>
      </c>
      <c r="E206" t="s">
        <v>55</v>
      </c>
      <c r="F206" t="s">
        <v>79</v>
      </c>
      <c r="G206">
        <v>3</v>
      </c>
      <c r="H206">
        <v>599</v>
      </c>
      <c r="I206">
        <v>0.1</v>
      </c>
      <c r="J206" t="s">
        <v>143</v>
      </c>
      <c r="K206" t="s">
        <v>45</v>
      </c>
      <c r="L206" t="s">
        <v>46</v>
      </c>
      <c r="M206" s="16">
        <f t="shared" si="3"/>
        <v>1617.3</v>
      </c>
    </row>
    <row r="207" spans="1:13" x14ac:dyDescent="0.3">
      <c r="A207">
        <v>20204</v>
      </c>
      <c r="B207" s="15">
        <v>45400</v>
      </c>
      <c r="C207" t="s">
        <v>116</v>
      </c>
      <c r="D207" t="s">
        <v>72</v>
      </c>
      <c r="E207" t="s">
        <v>75</v>
      </c>
      <c r="F207" t="s">
        <v>99</v>
      </c>
      <c r="G207">
        <v>7</v>
      </c>
      <c r="H207">
        <v>12999</v>
      </c>
      <c r="I207">
        <v>0</v>
      </c>
      <c r="J207" t="s">
        <v>143</v>
      </c>
      <c r="K207" t="s">
        <v>40</v>
      </c>
      <c r="L207" t="s">
        <v>50</v>
      </c>
      <c r="M207" s="16">
        <f t="shared" si="3"/>
        <v>90993</v>
      </c>
    </row>
    <row r="208" spans="1:13" x14ac:dyDescent="0.3">
      <c r="A208">
        <v>20205</v>
      </c>
      <c r="B208" s="15">
        <v>45670</v>
      </c>
      <c r="C208" t="s">
        <v>113</v>
      </c>
      <c r="D208" t="s">
        <v>95</v>
      </c>
      <c r="E208" t="s">
        <v>55</v>
      </c>
      <c r="F208" t="s">
        <v>73</v>
      </c>
      <c r="G208">
        <v>2</v>
      </c>
      <c r="H208">
        <v>5499</v>
      </c>
      <c r="I208">
        <v>0</v>
      </c>
      <c r="J208" t="s">
        <v>144</v>
      </c>
      <c r="K208" t="s">
        <v>40</v>
      </c>
      <c r="L208" t="s">
        <v>46</v>
      </c>
      <c r="M208" s="16">
        <f t="shared" si="3"/>
        <v>10998</v>
      </c>
    </row>
    <row r="209" spans="1:13" x14ac:dyDescent="0.3">
      <c r="A209">
        <v>20206</v>
      </c>
      <c r="B209" s="15">
        <v>45599</v>
      </c>
      <c r="C209" t="s">
        <v>42</v>
      </c>
      <c r="D209" t="s">
        <v>72</v>
      </c>
      <c r="E209" t="s">
        <v>55</v>
      </c>
      <c r="F209" t="s">
        <v>73</v>
      </c>
      <c r="G209">
        <v>4</v>
      </c>
      <c r="H209">
        <v>5499</v>
      </c>
      <c r="I209">
        <v>0.15</v>
      </c>
      <c r="J209" t="s">
        <v>139</v>
      </c>
      <c r="K209" t="s">
        <v>57</v>
      </c>
      <c r="L209" t="s">
        <v>41</v>
      </c>
      <c r="M209" s="16">
        <f t="shared" si="3"/>
        <v>18696.599999999999</v>
      </c>
    </row>
    <row r="210" spans="1:13" x14ac:dyDescent="0.3">
      <c r="A210">
        <v>20207</v>
      </c>
      <c r="B210" s="15">
        <v>45596</v>
      </c>
      <c r="C210" t="s">
        <v>106</v>
      </c>
      <c r="D210" t="s">
        <v>59</v>
      </c>
      <c r="E210" t="s">
        <v>55</v>
      </c>
      <c r="F210" t="s">
        <v>56</v>
      </c>
      <c r="G210">
        <v>5</v>
      </c>
      <c r="H210">
        <v>3999</v>
      </c>
      <c r="I210">
        <v>0</v>
      </c>
      <c r="J210" t="s">
        <v>141</v>
      </c>
      <c r="K210" t="s">
        <v>57</v>
      </c>
      <c r="L210" t="s">
        <v>46</v>
      </c>
      <c r="M210" s="16">
        <f t="shared" si="3"/>
        <v>19995</v>
      </c>
    </row>
    <row r="211" spans="1:13" x14ac:dyDescent="0.3">
      <c r="A211">
        <v>20208</v>
      </c>
      <c r="B211" s="15">
        <v>45669</v>
      </c>
      <c r="C211" t="s">
        <v>89</v>
      </c>
      <c r="D211" t="s">
        <v>72</v>
      </c>
      <c r="E211" t="s">
        <v>69</v>
      </c>
      <c r="F211" t="s">
        <v>85</v>
      </c>
      <c r="G211">
        <v>6</v>
      </c>
      <c r="H211">
        <v>24999</v>
      </c>
      <c r="I211">
        <v>0.05</v>
      </c>
      <c r="J211" t="s">
        <v>144</v>
      </c>
      <c r="K211" t="s">
        <v>49</v>
      </c>
      <c r="L211" t="s">
        <v>41</v>
      </c>
      <c r="M211" s="16">
        <f t="shared" si="3"/>
        <v>142494.29999999999</v>
      </c>
    </row>
    <row r="212" spans="1:13" x14ac:dyDescent="0.3">
      <c r="A212">
        <v>20209</v>
      </c>
      <c r="B212" s="15">
        <v>45624</v>
      </c>
      <c r="C212" t="s">
        <v>94</v>
      </c>
      <c r="D212" t="s">
        <v>52</v>
      </c>
      <c r="E212" t="s">
        <v>55</v>
      </c>
      <c r="F212" t="s">
        <v>103</v>
      </c>
      <c r="G212">
        <v>4</v>
      </c>
      <c r="H212">
        <v>999</v>
      </c>
      <c r="I212">
        <v>0.05</v>
      </c>
      <c r="J212" t="s">
        <v>139</v>
      </c>
      <c r="K212" t="s">
        <v>49</v>
      </c>
      <c r="L212" t="s">
        <v>50</v>
      </c>
      <c r="M212" s="16">
        <f t="shared" si="3"/>
        <v>3796.2</v>
      </c>
    </row>
    <row r="213" spans="1:13" x14ac:dyDescent="0.3">
      <c r="A213">
        <v>20210</v>
      </c>
      <c r="B213" s="15">
        <v>45311</v>
      </c>
      <c r="C213" t="s">
        <v>113</v>
      </c>
      <c r="D213" t="s">
        <v>59</v>
      </c>
      <c r="E213" t="s">
        <v>69</v>
      </c>
      <c r="F213" t="s">
        <v>85</v>
      </c>
      <c r="G213">
        <v>2</v>
      </c>
      <c r="H213">
        <v>24999</v>
      </c>
      <c r="I213">
        <v>0.05</v>
      </c>
      <c r="J213" t="s">
        <v>143</v>
      </c>
      <c r="K213" t="s">
        <v>57</v>
      </c>
      <c r="L213" t="s">
        <v>46</v>
      </c>
      <c r="M213" s="16">
        <f t="shared" si="3"/>
        <v>47498.1</v>
      </c>
    </row>
    <row r="214" spans="1:13" x14ac:dyDescent="0.3">
      <c r="A214">
        <v>20211</v>
      </c>
      <c r="B214" s="15">
        <v>45392</v>
      </c>
      <c r="C214" t="s">
        <v>89</v>
      </c>
      <c r="D214" t="s">
        <v>59</v>
      </c>
      <c r="E214" t="s">
        <v>55</v>
      </c>
      <c r="F214" t="s">
        <v>88</v>
      </c>
      <c r="G214">
        <v>1</v>
      </c>
      <c r="H214">
        <v>2499</v>
      </c>
      <c r="I214">
        <v>0.15</v>
      </c>
      <c r="J214" t="s">
        <v>141</v>
      </c>
      <c r="K214" t="s">
        <v>49</v>
      </c>
      <c r="L214" t="s">
        <v>41</v>
      </c>
      <c r="M214" s="16">
        <f t="shared" si="3"/>
        <v>2124.15</v>
      </c>
    </row>
    <row r="215" spans="1:13" x14ac:dyDescent="0.3">
      <c r="A215">
        <v>20212</v>
      </c>
      <c r="B215" s="15">
        <v>45546</v>
      </c>
      <c r="C215" t="s">
        <v>62</v>
      </c>
      <c r="D215" t="s">
        <v>74</v>
      </c>
      <c r="E215" t="s">
        <v>55</v>
      </c>
      <c r="F215" t="s">
        <v>56</v>
      </c>
      <c r="G215">
        <v>4</v>
      </c>
      <c r="H215">
        <v>3999</v>
      </c>
      <c r="I215">
        <v>0</v>
      </c>
      <c r="J215" t="s">
        <v>145</v>
      </c>
      <c r="K215" t="s">
        <v>49</v>
      </c>
      <c r="L215" t="s">
        <v>41</v>
      </c>
      <c r="M215" s="16">
        <f t="shared" si="3"/>
        <v>15996</v>
      </c>
    </row>
    <row r="216" spans="1:13" x14ac:dyDescent="0.3">
      <c r="A216">
        <v>20213</v>
      </c>
      <c r="B216" s="15">
        <v>45310</v>
      </c>
      <c r="C216" t="s">
        <v>77</v>
      </c>
      <c r="D216" t="s">
        <v>52</v>
      </c>
      <c r="E216" t="s">
        <v>69</v>
      </c>
      <c r="F216" t="s">
        <v>104</v>
      </c>
      <c r="G216">
        <v>2</v>
      </c>
      <c r="H216">
        <v>4999</v>
      </c>
      <c r="I216">
        <v>0.1</v>
      </c>
      <c r="J216" t="s">
        <v>143</v>
      </c>
      <c r="K216" t="s">
        <v>49</v>
      </c>
      <c r="L216" t="s">
        <v>46</v>
      </c>
      <c r="M216" s="16">
        <f t="shared" si="3"/>
        <v>8998.2000000000007</v>
      </c>
    </row>
    <row r="217" spans="1:13" x14ac:dyDescent="0.3">
      <c r="A217">
        <v>20214</v>
      </c>
      <c r="B217" s="15">
        <v>45542</v>
      </c>
      <c r="C217" t="s">
        <v>51</v>
      </c>
      <c r="D217" t="s">
        <v>74</v>
      </c>
      <c r="E217" t="s">
        <v>53</v>
      </c>
      <c r="F217" t="s">
        <v>58</v>
      </c>
      <c r="G217">
        <v>1</v>
      </c>
      <c r="H217">
        <v>429</v>
      </c>
      <c r="I217">
        <v>0.15</v>
      </c>
      <c r="J217" t="s">
        <v>141</v>
      </c>
      <c r="K217" t="s">
        <v>57</v>
      </c>
      <c r="L217" t="s">
        <v>50</v>
      </c>
      <c r="M217" s="16">
        <f t="shared" si="3"/>
        <v>364.65</v>
      </c>
    </row>
    <row r="218" spans="1:13" x14ac:dyDescent="0.3">
      <c r="A218">
        <v>20215</v>
      </c>
      <c r="B218" s="15">
        <v>45299</v>
      </c>
      <c r="C218" t="s">
        <v>114</v>
      </c>
      <c r="D218" t="s">
        <v>59</v>
      </c>
      <c r="E218" t="s">
        <v>69</v>
      </c>
      <c r="F218" t="s">
        <v>68</v>
      </c>
      <c r="G218">
        <v>7</v>
      </c>
      <c r="H218">
        <v>6999</v>
      </c>
      <c r="I218">
        <v>0.15</v>
      </c>
      <c r="J218" t="s">
        <v>143</v>
      </c>
      <c r="K218" t="s">
        <v>65</v>
      </c>
      <c r="L218" t="s">
        <v>50</v>
      </c>
      <c r="M218" s="16">
        <f t="shared" si="3"/>
        <v>41644.049999999996</v>
      </c>
    </row>
    <row r="219" spans="1:13" x14ac:dyDescent="0.3">
      <c r="A219">
        <v>20216</v>
      </c>
      <c r="B219" s="15">
        <v>45379</v>
      </c>
      <c r="C219" t="s">
        <v>113</v>
      </c>
      <c r="D219" t="s">
        <v>72</v>
      </c>
      <c r="E219" t="s">
        <v>53</v>
      </c>
      <c r="F219" t="s">
        <v>90</v>
      </c>
      <c r="G219">
        <v>3</v>
      </c>
      <c r="H219">
        <v>199</v>
      </c>
      <c r="I219">
        <v>0.05</v>
      </c>
      <c r="J219" t="s">
        <v>144</v>
      </c>
      <c r="K219" t="s">
        <v>49</v>
      </c>
      <c r="L219" t="s">
        <v>41</v>
      </c>
      <c r="M219" s="16">
        <f t="shared" si="3"/>
        <v>567.15</v>
      </c>
    </row>
    <row r="220" spans="1:13" x14ac:dyDescent="0.3">
      <c r="A220">
        <v>20217</v>
      </c>
      <c r="B220" s="15">
        <v>45604</v>
      </c>
      <c r="C220" t="s">
        <v>116</v>
      </c>
      <c r="D220" t="s">
        <v>59</v>
      </c>
      <c r="E220" t="s">
        <v>69</v>
      </c>
      <c r="F220" t="s">
        <v>63</v>
      </c>
      <c r="G220">
        <v>5</v>
      </c>
      <c r="H220">
        <v>15999</v>
      </c>
      <c r="I220">
        <v>0.1</v>
      </c>
      <c r="J220" t="s">
        <v>143</v>
      </c>
      <c r="K220" t="s">
        <v>45</v>
      </c>
      <c r="L220" t="s">
        <v>41</v>
      </c>
      <c r="M220" s="16">
        <f t="shared" si="3"/>
        <v>71995.5</v>
      </c>
    </row>
    <row r="221" spans="1:13" x14ac:dyDescent="0.3">
      <c r="A221">
        <v>20218</v>
      </c>
      <c r="B221" s="15">
        <v>45686</v>
      </c>
      <c r="C221" t="s">
        <v>93</v>
      </c>
      <c r="D221" t="s">
        <v>52</v>
      </c>
      <c r="E221" t="s">
        <v>75</v>
      </c>
      <c r="F221" t="s">
        <v>105</v>
      </c>
      <c r="G221">
        <v>6</v>
      </c>
      <c r="H221">
        <v>1199</v>
      </c>
      <c r="I221">
        <v>0.1</v>
      </c>
      <c r="J221" t="s">
        <v>141</v>
      </c>
      <c r="K221" t="s">
        <v>49</v>
      </c>
      <c r="L221" t="s">
        <v>50</v>
      </c>
      <c r="M221" s="16">
        <f t="shared" si="3"/>
        <v>6474.6</v>
      </c>
    </row>
    <row r="222" spans="1:13" x14ac:dyDescent="0.3">
      <c r="A222">
        <v>20219</v>
      </c>
      <c r="B222" s="15">
        <v>45434</v>
      </c>
      <c r="C222" t="s">
        <v>71</v>
      </c>
      <c r="D222" t="s">
        <v>52</v>
      </c>
      <c r="E222" t="s">
        <v>69</v>
      </c>
      <c r="F222" t="s">
        <v>83</v>
      </c>
      <c r="G222">
        <v>6</v>
      </c>
      <c r="H222">
        <v>1299</v>
      </c>
      <c r="I222">
        <v>0.15</v>
      </c>
      <c r="J222" t="s">
        <v>145</v>
      </c>
      <c r="K222" t="s">
        <v>49</v>
      </c>
      <c r="L222" t="s">
        <v>41</v>
      </c>
      <c r="M222" s="16">
        <f t="shared" si="3"/>
        <v>6624.9</v>
      </c>
    </row>
    <row r="223" spans="1:13" x14ac:dyDescent="0.3">
      <c r="A223">
        <v>20220</v>
      </c>
      <c r="B223" s="15">
        <v>45588</v>
      </c>
      <c r="C223" t="s">
        <v>80</v>
      </c>
      <c r="D223" t="s">
        <v>59</v>
      </c>
      <c r="E223" t="s">
        <v>69</v>
      </c>
      <c r="F223" t="s">
        <v>83</v>
      </c>
      <c r="G223">
        <v>4</v>
      </c>
      <c r="H223">
        <v>1299</v>
      </c>
      <c r="I223">
        <v>0.15</v>
      </c>
      <c r="J223" t="s">
        <v>139</v>
      </c>
      <c r="K223" t="s">
        <v>65</v>
      </c>
      <c r="L223" t="s">
        <v>41</v>
      </c>
      <c r="M223" s="16">
        <f t="shared" si="3"/>
        <v>4416.5999999999995</v>
      </c>
    </row>
    <row r="224" spans="1:13" x14ac:dyDescent="0.3">
      <c r="A224">
        <v>20221</v>
      </c>
      <c r="B224" s="15">
        <v>45393</v>
      </c>
      <c r="C224" t="s">
        <v>110</v>
      </c>
      <c r="D224" t="s">
        <v>95</v>
      </c>
      <c r="E224" t="s">
        <v>55</v>
      </c>
      <c r="F224" t="s">
        <v>88</v>
      </c>
      <c r="G224">
        <v>8</v>
      </c>
      <c r="H224">
        <v>2499</v>
      </c>
      <c r="I224">
        <v>0.15</v>
      </c>
      <c r="J224" t="s">
        <v>145</v>
      </c>
      <c r="K224" t="s">
        <v>45</v>
      </c>
      <c r="L224" t="s">
        <v>46</v>
      </c>
      <c r="M224" s="16">
        <f t="shared" si="3"/>
        <v>16993.2</v>
      </c>
    </row>
    <row r="225" spans="1:13" x14ac:dyDescent="0.3">
      <c r="A225">
        <v>20222</v>
      </c>
      <c r="B225" s="15">
        <v>45436</v>
      </c>
      <c r="C225" t="s">
        <v>115</v>
      </c>
      <c r="D225" t="s">
        <v>95</v>
      </c>
      <c r="E225" t="s">
        <v>75</v>
      </c>
      <c r="F225" t="s">
        <v>64</v>
      </c>
      <c r="G225">
        <v>7</v>
      </c>
      <c r="H225">
        <v>1799</v>
      </c>
      <c r="I225">
        <v>0.1</v>
      </c>
      <c r="J225" t="s">
        <v>143</v>
      </c>
      <c r="K225" t="s">
        <v>65</v>
      </c>
      <c r="L225" t="s">
        <v>50</v>
      </c>
      <c r="M225" s="16">
        <f t="shared" si="3"/>
        <v>11333.7</v>
      </c>
    </row>
    <row r="226" spans="1:13" x14ac:dyDescent="0.3">
      <c r="A226">
        <v>20223</v>
      </c>
      <c r="B226" s="15">
        <v>45483</v>
      </c>
      <c r="C226" t="s">
        <v>96</v>
      </c>
      <c r="D226" t="s">
        <v>72</v>
      </c>
      <c r="E226" t="s">
        <v>75</v>
      </c>
      <c r="F226" t="s">
        <v>105</v>
      </c>
      <c r="G226">
        <v>1</v>
      </c>
      <c r="H226">
        <v>1199</v>
      </c>
      <c r="I226">
        <v>0.15</v>
      </c>
      <c r="J226" t="s">
        <v>143</v>
      </c>
      <c r="K226" t="s">
        <v>40</v>
      </c>
      <c r="L226" t="s">
        <v>46</v>
      </c>
      <c r="M226" s="16">
        <f t="shared" si="3"/>
        <v>1019.15</v>
      </c>
    </row>
    <row r="227" spans="1:13" x14ac:dyDescent="0.3">
      <c r="A227">
        <v>20224</v>
      </c>
      <c r="B227" s="15">
        <v>45571</v>
      </c>
      <c r="C227" t="s">
        <v>87</v>
      </c>
      <c r="D227" t="s">
        <v>74</v>
      </c>
      <c r="E227" t="s">
        <v>69</v>
      </c>
      <c r="F227" t="s">
        <v>61</v>
      </c>
      <c r="G227">
        <v>2</v>
      </c>
      <c r="H227">
        <v>18999</v>
      </c>
      <c r="I227">
        <v>0</v>
      </c>
      <c r="J227" t="s">
        <v>144</v>
      </c>
      <c r="K227" t="s">
        <v>45</v>
      </c>
      <c r="L227" t="s">
        <v>41</v>
      </c>
      <c r="M227" s="16">
        <f t="shared" si="3"/>
        <v>37998</v>
      </c>
    </row>
    <row r="228" spans="1:13" x14ac:dyDescent="0.3">
      <c r="A228">
        <v>20225</v>
      </c>
      <c r="B228" s="15">
        <v>45662</v>
      </c>
      <c r="C228" t="s">
        <v>115</v>
      </c>
      <c r="D228" t="s">
        <v>59</v>
      </c>
      <c r="E228" t="s">
        <v>69</v>
      </c>
      <c r="F228" t="s">
        <v>82</v>
      </c>
      <c r="G228">
        <v>6</v>
      </c>
      <c r="H228">
        <v>8999</v>
      </c>
      <c r="I228">
        <v>0</v>
      </c>
      <c r="J228" t="s">
        <v>139</v>
      </c>
      <c r="K228" t="s">
        <v>45</v>
      </c>
      <c r="L228" t="s">
        <v>46</v>
      </c>
      <c r="M228" s="16">
        <f t="shared" si="3"/>
        <v>53994</v>
      </c>
    </row>
    <row r="229" spans="1:13" x14ac:dyDescent="0.3">
      <c r="A229">
        <v>20226</v>
      </c>
      <c r="B229" s="15">
        <v>45550</v>
      </c>
      <c r="C229" t="s">
        <v>98</v>
      </c>
      <c r="D229" t="s">
        <v>95</v>
      </c>
      <c r="E229" t="s">
        <v>75</v>
      </c>
      <c r="F229" t="s">
        <v>64</v>
      </c>
      <c r="G229">
        <v>3</v>
      </c>
      <c r="H229">
        <v>1799</v>
      </c>
      <c r="I229">
        <v>0.15</v>
      </c>
      <c r="J229" t="s">
        <v>145</v>
      </c>
      <c r="K229" t="s">
        <v>49</v>
      </c>
      <c r="L229" t="s">
        <v>41</v>
      </c>
      <c r="M229" s="16">
        <f t="shared" si="3"/>
        <v>4587.45</v>
      </c>
    </row>
    <row r="230" spans="1:13" x14ac:dyDescent="0.3">
      <c r="A230">
        <v>20227</v>
      </c>
      <c r="B230" s="15">
        <v>45624</v>
      </c>
      <c r="C230" t="s">
        <v>42</v>
      </c>
      <c r="D230" t="s">
        <v>74</v>
      </c>
      <c r="E230" t="s">
        <v>75</v>
      </c>
      <c r="F230" t="s">
        <v>100</v>
      </c>
      <c r="G230">
        <v>7</v>
      </c>
      <c r="H230">
        <v>5999</v>
      </c>
      <c r="I230">
        <v>0.05</v>
      </c>
      <c r="J230" t="s">
        <v>139</v>
      </c>
      <c r="K230" t="s">
        <v>49</v>
      </c>
      <c r="L230" t="s">
        <v>46</v>
      </c>
      <c r="M230" s="16">
        <f t="shared" si="3"/>
        <v>39893.35</v>
      </c>
    </row>
    <row r="231" spans="1:13" x14ac:dyDescent="0.3">
      <c r="A231">
        <v>20228</v>
      </c>
      <c r="B231" s="15">
        <v>45546</v>
      </c>
      <c r="C231" t="s">
        <v>77</v>
      </c>
      <c r="D231" t="s">
        <v>52</v>
      </c>
      <c r="E231" t="s">
        <v>55</v>
      </c>
      <c r="F231" t="s">
        <v>79</v>
      </c>
      <c r="G231">
        <v>4</v>
      </c>
      <c r="H231">
        <v>599</v>
      </c>
      <c r="I231">
        <v>0.05</v>
      </c>
      <c r="J231" t="s">
        <v>145</v>
      </c>
      <c r="K231" t="s">
        <v>40</v>
      </c>
      <c r="L231" t="s">
        <v>41</v>
      </c>
      <c r="M231" s="16">
        <f t="shared" si="3"/>
        <v>2276.1999999999998</v>
      </c>
    </row>
    <row r="232" spans="1:13" x14ac:dyDescent="0.3">
      <c r="A232">
        <v>20229</v>
      </c>
      <c r="B232" s="15">
        <v>45631</v>
      </c>
      <c r="C232" t="s">
        <v>94</v>
      </c>
      <c r="D232" t="s">
        <v>95</v>
      </c>
      <c r="E232" t="s">
        <v>75</v>
      </c>
      <c r="F232" t="s">
        <v>48</v>
      </c>
      <c r="G232">
        <v>3</v>
      </c>
      <c r="H232">
        <v>799</v>
      </c>
      <c r="I232">
        <v>0.1</v>
      </c>
      <c r="J232" t="s">
        <v>139</v>
      </c>
      <c r="K232" t="s">
        <v>40</v>
      </c>
      <c r="L232" t="s">
        <v>46</v>
      </c>
      <c r="M232" s="16">
        <f t="shared" si="3"/>
        <v>2157.3000000000002</v>
      </c>
    </row>
    <row r="233" spans="1:13" x14ac:dyDescent="0.3">
      <c r="A233">
        <v>20230</v>
      </c>
      <c r="B233" s="15">
        <v>45304</v>
      </c>
      <c r="C233" t="s">
        <v>80</v>
      </c>
      <c r="D233" t="s">
        <v>59</v>
      </c>
      <c r="E233" t="s">
        <v>53</v>
      </c>
      <c r="F233" t="s">
        <v>91</v>
      </c>
      <c r="G233">
        <v>6</v>
      </c>
      <c r="H233">
        <v>249</v>
      </c>
      <c r="I233">
        <v>0.1</v>
      </c>
      <c r="J233" t="s">
        <v>144</v>
      </c>
      <c r="K233" t="s">
        <v>57</v>
      </c>
      <c r="L233" t="s">
        <v>50</v>
      </c>
      <c r="M233" s="16">
        <f t="shared" si="3"/>
        <v>1344.6000000000001</v>
      </c>
    </row>
    <row r="234" spans="1:13" x14ac:dyDescent="0.3">
      <c r="A234">
        <v>20231</v>
      </c>
      <c r="B234" s="15">
        <v>45326</v>
      </c>
      <c r="C234" t="s">
        <v>115</v>
      </c>
      <c r="D234" t="s">
        <v>52</v>
      </c>
      <c r="E234" t="s">
        <v>75</v>
      </c>
      <c r="F234" t="s">
        <v>66</v>
      </c>
      <c r="G234">
        <v>5</v>
      </c>
      <c r="H234">
        <v>1499</v>
      </c>
      <c r="I234">
        <v>0</v>
      </c>
      <c r="J234" t="s">
        <v>141</v>
      </c>
      <c r="K234" t="s">
        <v>49</v>
      </c>
      <c r="L234" t="s">
        <v>50</v>
      </c>
      <c r="M234" s="16">
        <f t="shared" si="3"/>
        <v>7495</v>
      </c>
    </row>
    <row r="235" spans="1:13" x14ac:dyDescent="0.3">
      <c r="A235">
        <v>20232</v>
      </c>
      <c r="B235" s="15">
        <v>45418</v>
      </c>
      <c r="C235" t="s">
        <v>115</v>
      </c>
      <c r="D235" t="s">
        <v>95</v>
      </c>
      <c r="E235" t="s">
        <v>69</v>
      </c>
      <c r="F235" t="s">
        <v>85</v>
      </c>
      <c r="G235">
        <v>6</v>
      </c>
      <c r="H235">
        <v>24999</v>
      </c>
      <c r="I235">
        <v>0.05</v>
      </c>
      <c r="J235" t="s">
        <v>144</v>
      </c>
      <c r="K235" t="s">
        <v>49</v>
      </c>
      <c r="L235" t="s">
        <v>41</v>
      </c>
      <c r="M235" s="16">
        <f t="shared" si="3"/>
        <v>142494.29999999999</v>
      </c>
    </row>
    <row r="236" spans="1:13" x14ac:dyDescent="0.3">
      <c r="A236">
        <v>20233</v>
      </c>
      <c r="B236" s="15">
        <v>45362</v>
      </c>
      <c r="C236" t="s">
        <v>62</v>
      </c>
      <c r="D236" t="s">
        <v>74</v>
      </c>
      <c r="E236" t="s">
        <v>55</v>
      </c>
      <c r="F236" t="s">
        <v>88</v>
      </c>
      <c r="G236">
        <v>2</v>
      </c>
      <c r="H236">
        <v>2499</v>
      </c>
      <c r="I236">
        <v>0.15</v>
      </c>
      <c r="J236" t="s">
        <v>145</v>
      </c>
      <c r="K236" t="s">
        <v>45</v>
      </c>
      <c r="L236" t="s">
        <v>41</v>
      </c>
      <c r="M236" s="16">
        <f t="shared" si="3"/>
        <v>4248.3</v>
      </c>
    </row>
    <row r="237" spans="1:13" x14ac:dyDescent="0.3">
      <c r="A237">
        <v>20234</v>
      </c>
      <c r="B237" s="15">
        <v>45297</v>
      </c>
      <c r="C237" t="s">
        <v>118</v>
      </c>
      <c r="D237" t="s">
        <v>52</v>
      </c>
      <c r="E237" t="s">
        <v>53</v>
      </c>
      <c r="F237" t="s">
        <v>58</v>
      </c>
      <c r="G237">
        <v>2</v>
      </c>
      <c r="H237">
        <v>429</v>
      </c>
      <c r="I237">
        <v>0.15</v>
      </c>
      <c r="J237" t="s">
        <v>139</v>
      </c>
      <c r="K237" t="s">
        <v>40</v>
      </c>
      <c r="L237" t="s">
        <v>41</v>
      </c>
      <c r="M237" s="16">
        <f t="shared" si="3"/>
        <v>729.3</v>
      </c>
    </row>
    <row r="238" spans="1:13" x14ac:dyDescent="0.3">
      <c r="A238">
        <v>20235</v>
      </c>
      <c r="B238" s="15">
        <v>45544</v>
      </c>
      <c r="C238" t="s">
        <v>47</v>
      </c>
      <c r="D238" t="s">
        <v>72</v>
      </c>
      <c r="E238" t="s">
        <v>69</v>
      </c>
      <c r="F238" t="s">
        <v>82</v>
      </c>
      <c r="G238">
        <v>7</v>
      </c>
      <c r="H238">
        <v>8999</v>
      </c>
      <c r="I238">
        <v>0</v>
      </c>
      <c r="J238" t="s">
        <v>139</v>
      </c>
      <c r="K238" t="s">
        <v>40</v>
      </c>
      <c r="L238" t="s">
        <v>46</v>
      </c>
      <c r="M238" s="16">
        <f t="shared" si="3"/>
        <v>62993</v>
      </c>
    </row>
    <row r="239" spans="1:13" x14ac:dyDescent="0.3">
      <c r="A239">
        <v>20236</v>
      </c>
      <c r="B239" s="15">
        <v>45566</v>
      </c>
      <c r="C239" t="s">
        <v>80</v>
      </c>
      <c r="D239" t="s">
        <v>95</v>
      </c>
      <c r="E239" t="s">
        <v>69</v>
      </c>
      <c r="F239" t="s">
        <v>63</v>
      </c>
      <c r="G239">
        <v>4</v>
      </c>
      <c r="H239">
        <v>15999</v>
      </c>
      <c r="I239">
        <v>0.1</v>
      </c>
      <c r="J239" t="s">
        <v>143</v>
      </c>
      <c r="K239" t="s">
        <v>40</v>
      </c>
      <c r="L239" t="s">
        <v>41</v>
      </c>
      <c r="M239" s="16">
        <f t="shared" si="3"/>
        <v>57596.4</v>
      </c>
    </row>
    <row r="240" spans="1:13" x14ac:dyDescent="0.3">
      <c r="A240">
        <v>20237</v>
      </c>
      <c r="B240" s="15">
        <v>45428</v>
      </c>
      <c r="C240" t="s">
        <v>110</v>
      </c>
      <c r="D240" t="s">
        <v>72</v>
      </c>
      <c r="E240" t="s">
        <v>53</v>
      </c>
      <c r="F240" t="s">
        <v>60</v>
      </c>
      <c r="G240">
        <v>7</v>
      </c>
      <c r="H240">
        <v>349</v>
      </c>
      <c r="I240">
        <v>0.1</v>
      </c>
      <c r="J240" t="s">
        <v>143</v>
      </c>
      <c r="K240" t="s">
        <v>45</v>
      </c>
      <c r="L240" t="s">
        <v>46</v>
      </c>
      <c r="M240" s="16">
        <f t="shared" si="3"/>
        <v>2198.7000000000003</v>
      </c>
    </row>
    <row r="241" spans="1:16" x14ac:dyDescent="0.3">
      <c r="A241">
        <v>20238</v>
      </c>
      <c r="B241" s="15">
        <v>45475</v>
      </c>
      <c r="C241" t="s">
        <v>97</v>
      </c>
      <c r="D241" t="s">
        <v>95</v>
      </c>
      <c r="E241" t="s">
        <v>75</v>
      </c>
      <c r="F241" t="s">
        <v>100</v>
      </c>
      <c r="G241">
        <v>8</v>
      </c>
      <c r="H241">
        <v>5999</v>
      </c>
      <c r="I241">
        <v>0.15</v>
      </c>
      <c r="J241" t="s">
        <v>143</v>
      </c>
      <c r="K241" t="s">
        <v>40</v>
      </c>
      <c r="L241" t="s">
        <v>41</v>
      </c>
      <c r="M241" s="16">
        <f t="shared" si="3"/>
        <v>40793.199999999997</v>
      </c>
    </row>
    <row r="242" spans="1:16" x14ac:dyDescent="0.3">
      <c r="A242">
        <v>20239</v>
      </c>
      <c r="B242" s="15">
        <v>45562</v>
      </c>
      <c r="C242" t="s">
        <v>112</v>
      </c>
      <c r="D242" t="s">
        <v>72</v>
      </c>
      <c r="E242" t="s">
        <v>75</v>
      </c>
      <c r="F242" t="s">
        <v>38</v>
      </c>
      <c r="G242">
        <v>1</v>
      </c>
      <c r="H242">
        <v>2999</v>
      </c>
      <c r="I242">
        <v>0.05</v>
      </c>
      <c r="J242" t="s">
        <v>143</v>
      </c>
      <c r="K242" t="s">
        <v>40</v>
      </c>
      <c r="L242" t="s">
        <v>41</v>
      </c>
      <c r="M242" s="16">
        <f t="shared" si="3"/>
        <v>2849.0499999999997</v>
      </c>
    </row>
    <row r="243" spans="1:16" x14ac:dyDescent="0.3">
      <c r="A243">
        <v>20240</v>
      </c>
      <c r="B243" s="15">
        <v>45476</v>
      </c>
      <c r="C243" t="s">
        <v>89</v>
      </c>
      <c r="D243" t="s">
        <v>52</v>
      </c>
      <c r="E243" t="s">
        <v>75</v>
      </c>
      <c r="F243" t="s">
        <v>64</v>
      </c>
      <c r="G243">
        <v>1</v>
      </c>
      <c r="H243">
        <v>1799</v>
      </c>
      <c r="I243">
        <v>0.1</v>
      </c>
      <c r="J243" t="s">
        <v>145</v>
      </c>
      <c r="K243" t="s">
        <v>57</v>
      </c>
      <c r="L243" t="s">
        <v>46</v>
      </c>
      <c r="M243" s="16">
        <f t="shared" si="3"/>
        <v>1619.1000000000001</v>
      </c>
    </row>
    <row r="244" spans="1:16" x14ac:dyDescent="0.3">
      <c r="A244">
        <v>20241</v>
      </c>
      <c r="B244" s="15">
        <v>45295</v>
      </c>
      <c r="C244" t="s">
        <v>113</v>
      </c>
      <c r="D244" t="s">
        <v>72</v>
      </c>
      <c r="E244" t="s">
        <v>75</v>
      </c>
      <c r="F244" t="s">
        <v>64</v>
      </c>
      <c r="G244">
        <v>7</v>
      </c>
      <c r="H244">
        <v>1799</v>
      </c>
      <c r="I244">
        <v>0</v>
      </c>
      <c r="J244" t="s">
        <v>143</v>
      </c>
      <c r="K244" t="s">
        <v>45</v>
      </c>
      <c r="L244" t="s">
        <v>46</v>
      </c>
      <c r="M244" s="16">
        <f t="shared" si="3"/>
        <v>12593</v>
      </c>
    </row>
    <row r="245" spans="1:16" x14ac:dyDescent="0.3">
      <c r="A245">
        <v>20242</v>
      </c>
      <c r="B245" s="15">
        <v>45453</v>
      </c>
      <c r="C245" t="s">
        <v>81</v>
      </c>
      <c r="D245" t="s">
        <v>95</v>
      </c>
      <c r="E245" t="s">
        <v>69</v>
      </c>
      <c r="F245" t="s">
        <v>85</v>
      </c>
      <c r="G245">
        <v>4</v>
      </c>
      <c r="H245">
        <v>24999</v>
      </c>
      <c r="I245">
        <v>0</v>
      </c>
      <c r="J245" t="s">
        <v>139</v>
      </c>
      <c r="K245" t="s">
        <v>57</v>
      </c>
      <c r="L245" t="s">
        <v>46</v>
      </c>
      <c r="M245" s="16">
        <f t="shared" si="3"/>
        <v>99996</v>
      </c>
    </row>
    <row r="246" spans="1:16" x14ac:dyDescent="0.3">
      <c r="A246">
        <v>20243</v>
      </c>
      <c r="B246" s="15">
        <v>45593</v>
      </c>
      <c r="C246" t="s">
        <v>107</v>
      </c>
      <c r="D246" t="s">
        <v>95</v>
      </c>
      <c r="E246" t="s">
        <v>75</v>
      </c>
      <c r="F246" t="s">
        <v>66</v>
      </c>
      <c r="G246">
        <v>4</v>
      </c>
      <c r="H246">
        <v>1499</v>
      </c>
      <c r="I246">
        <v>0.1</v>
      </c>
      <c r="J246" t="s">
        <v>143</v>
      </c>
      <c r="K246" t="s">
        <v>40</v>
      </c>
      <c r="L246" t="s">
        <v>41</v>
      </c>
      <c r="M246" s="16">
        <f t="shared" si="3"/>
        <v>5396.4000000000005</v>
      </c>
    </row>
    <row r="247" spans="1:16" x14ac:dyDescent="0.3">
      <c r="A247">
        <v>20244</v>
      </c>
      <c r="B247" s="15">
        <v>45407</v>
      </c>
      <c r="C247" t="s">
        <v>114</v>
      </c>
      <c r="D247" t="s">
        <v>59</v>
      </c>
      <c r="E247" t="s">
        <v>69</v>
      </c>
      <c r="F247" t="s">
        <v>63</v>
      </c>
      <c r="G247">
        <v>2</v>
      </c>
      <c r="H247">
        <v>15999</v>
      </c>
      <c r="I247">
        <v>0.15</v>
      </c>
      <c r="J247" t="s">
        <v>143</v>
      </c>
      <c r="K247" t="s">
        <v>49</v>
      </c>
      <c r="L247" t="s">
        <v>46</v>
      </c>
      <c r="M247" s="16">
        <f t="shared" si="3"/>
        <v>27198.3</v>
      </c>
    </row>
    <row r="248" spans="1:16" x14ac:dyDescent="0.3">
      <c r="A248">
        <v>20245</v>
      </c>
      <c r="B248" s="15">
        <v>45321</v>
      </c>
      <c r="C248" t="s">
        <v>84</v>
      </c>
      <c r="D248" t="s">
        <v>95</v>
      </c>
      <c r="E248" t="s">
        <v>53</v>
      </c>
      <c r="F248" t="s">
        <v>54</v>
      </c>
      <c r="G248">
        <v>5</v>
      </c>
      <c r="H248">
        <v>149</v>
      </c>
      <c r="I248">
        <v>0.1</v>
      </c>
      <c r="J248" t="s">
        <v>139</v>
      </c>
      <c r="K248" t="s">
        <v>40</v>
      </c>
      <c r="L248" t="s">
        <v>50</v>
      </c>
      <c r="M248" s="16">
        <f t="shared" si="3"/>
        <v>670.5</v>
      </c>
    </row>
    <row r="249" spans="1:16" x14ac:dyDescent="0.3">
      <c r="A249">
        <v>20246</v>
      </c>
      <c r="B249" s="15">
        <v>45607</v>
      </c>
      <c r="C249" t="s">
        <v>87</v>
      </c>
      <c r="D249" t="s">
        <v>52</v>
      </c>
      <c r="E249" t="s">
        <v>75</v>
      </c>
      <c r="F249" t="s">
        <v>99</v>
      </c>
      <c r="G249">
        <v>6</v>
      </c>
      <c r="H249">
        <v>12999</v>
      </c>
      <c r="I249">
        <v>0</v>
      </c>
      <c r="J249" t="s">
        <v>145</v>
      </c>
      <c r="K249" t="s">
        <v>57</v>
      </c>
      <c r="L249" t="s">
        <v>41</v>
      </c>
      <c r="M249" s="16">
        <f t="shared" si="3"/>
        <v>77994</v>
      </c>
    </row>
    <row r="250" spans="1:16" x14ac:dyDescent="0.3">
      <c r="A250">
        <v>20247</v>
      </c>
      <c r="B250" s="15">
        <v>45380</v>
      </c>
      <c r="C250" t="s">
        <v>94</v>
      </c>
      <c r="D250" t="s">
        <v>74</v>
      </c>
      <c r="E250" t="s">
        <v>55</v>
      </c>
      <c r="F250" t="s">
        <v>56</v>
      </c>
      <c r="G250">
        <v>6</v>
      </c>
      <c r="H250">
        <v>3999</v>
      </c>
      <c r="I250">
        <v>0</v>
      </c>
      <c r="J250" t="s">
        <v>144</v>
      </c>
      <c r="K250" t="s">
        <v>45</v>
      </c>
      <c r="L250" t="s">
        <v>46</v>
      </c>
      <c r="M250" s="16">
        <f t="shared" si="3"/>
        <v>23994</v>
      </c>
      <c r="O250" s="52" t="s">
        <v>213</v>
      </c>
      <c r="P250" t="s">
        <v>212</v>
      </c>
    </row>
    <row r="251" spans="1:16" x14ac:dyDescent="0.3">
      <c r="A251">
        <v>20248</v>
      </c>
      <c r="B251" s="15">
        <v>45519</v>
      </c>
      <c r="C251" t="s">
        <v>98</v>
      </c>
      <c r="D251" t="s">
        <v>74</v>
      </c>
      <c r="E251" t="s">
        <v>55</v>
      </c>
      <c r="F251" t="s">
        <v>79</v>
      </c>
      <c r="G251">
        <v>7</v>
      </c>
      <c r="H251">
        <v>599</v>
      </c>
      <c r="I251">
        <v>0</v>
      </c>
      <c r="J251" t="s">
        <v>139</v>
      </c>
      <c r="K251" t="s">
        <v>65</v>
      </c>
      <c r="L251" t="s">
        <v>50</v>
      </c>
      <c r="M251" s="16">
        <f t="shared" si="3"/>
        <v>4193</v>
      </c>
      <c r="O251" s="53" t="s">
        <v>72</v>
      </c>
      <c r="P251" s="16">
        <v>1158778.6499999999</v>
      </c>
    </row>
    <row r="252" spans="1:16" x14ac:dyDescent="0.3">
      <c r="A252">
        <v>20249</v>
      </c>
      <c r="B252" s="15">
        <v>45645</v>
      </c>
      <c r="C252" t="s">
        <v>97</v>
      </c>
      <c r="D252" t="s">
        <v>72</v>
      </c>
      <c r="E252" t="s">
        <v>75</v>
      </c>
      <c r="F252" t="s">
        <v>66</v>
      </c>
      <c r="G252">
        <v>7</v>
      </c>
      <c r="H252">
        <v>1499</v>
      </c>
      <c r="I252">
        <v>0.1</v>
      </c>
      <c r="J252" t="s">
        <v>139</v>
      </c>
      <c r="K252" t="s">
        <v>45</v>
      </c>
      <c r="L252" t="s">
        <v>41</v>
      </c>
      <c r="M252" s="16">
        <f t="shared" si="3"/>
        <v>9443.7000000000007</v>
      </c>
      <c r="O252" s="53" t="s">
        <v>59</v>
      </c>
      <c r="P252" s="16">
        <v>1229039.7500000002</v>
      </c>
    </row>
    <row r="253" spans="1:16" x14ac:dyDescent="0.3">
      <c r="A253">
        <v>20250</v>
      </c>
      <c r="B253" s="15">
        <v>45371</v>
      </c>
      <c r="C253" t="s">
        <v>62</v>
      </c>
      <c r="D253" t="s">
        <v>59</v>
      </c>
      <c r="E253" t="s">
        <v>55</v>
      </c>
      <c r="F253" t="s">
        <v>92</v>
      </c>
      <c r="G253">
        <v>3</v>
      </c>
      <c r="H253">
        <v>799</v>
      </c>
      <c r="I253">
        <v>0</v>
      </c>
      <c r="J253" t="s">
        <v>144</v>
      </c>
      <c r="K253" t="s">
        <v>40</v>
      </c>
      <c r="L253" t="s">
        <v>41</v>
      </c>
      <c r="M253" s="16">
        <f t="shared" si="3"/>
        <v>2397</v>
      </c>
      <c r="O253" s="53" t="s">
        <v>74</v>
      </c>
      <c r="P253" s="16">
        <v>759503.9</v>
      </c>
    </row>
    <row r="254" spans="1:16" x14ac:dyDescent="0.3">
      <c r="A254">
        <v>20251</v>
      </c>
      <c r="B254" s="15">
        <v>45544</v>
      </c>
      <c r="C254" t="s">
        <v>93</v>
      </c>
      <c r="D254" t="s">
        <v>95</v>
      </c>
      <c r="E254" t="s">
        <v>55</v>
      </c>
      <c r="F254" t="s">
        <v>56</v>
      </c>
      <c r="G254">
        <v>4</v>
      </c>
      <c r="H254">
        <v>3999</v>
      </c>
      <c r="I254">
        <v>0.15</v>
      </c>
      <c r="J254" t="s">
        <v>145</v>
      </c>
      <c r="K254" t="s">
        <v>40</v>
      </c>
      <c r="L254" t="s">
        <v>41</v>
      </c>
      <c r="M254" s="16">
        <f t="shared" si="3"/>
        <v>13596.6</v>
      </c>
      <c r="O254" s="53" t="s">
        <v>52</v>
      </c>
      <c r="P254" s="16">
        <v>1314250.3999999999</v>
      </c>
    </row>
    <row r="255" spans="1:16" x14ac:dyDescent="0.3">
      <c r="A255">
        <v>20252</v>
      </c>
      <c r="B255" s="15">
        <v>45469</v>
      </c>
      <c r="C255" t="s">
        <v>114</v>
      </c>
      <c r="D255" t="s">
        <v>52</v>
      </c>
      <c r="E255" t="s">
        <v>53</v>
      </c>
      <c r="F255" t="s">
        <v>102</v>
      </c>
      <c r="G255">
        <v>4</v>
      </c>
      <c r="H255">
        <v>899</v>
      </c>
      <c r="I255">
        <v>0</v>
      </c>
      <c r="J255" t="s">
        <v>143</v>
      </c>
      <c r="K255" t="s">
        <v>40</v>
      </c>
      <c r="L255" t="s">
        <v>50</v>
      </c>
      <c r="M255" s="16">
        <f t="shared" si="3"/>
        <v>3596</v>
      </c>
      <c r="O255" s="53" t="s">
        <v>95</v>
      </c>
      <c r="P255" s="16">
        <v>1194408.2999999998</v>
      </c>
    </row>
    <row r="256" spans="1:16" x14ac:dyDescent="0.3">
      <c r="A256">
        <v>20253</v>
      </c>
      <c r="B256" s="15">
        <v>45686</v>
      </c>
      <c r="C256" t="s">
        <v>115</v>
      </c>
      <c r="D256" t="s">
        <v>52</v>
      </c>
      <c r="E256" t="s">
        <v>55</v>
      </c>
      <c r="F256" t="s">
        <v>56</v>
      </c>
      <c r="G256">
        <v>8</v>
      </c>
      <c r="H256">
        <v>3999</v>
      </c>
      <c r="I256">
        <v>0.1</v>
      </c>
      <c r="J256" t="s">
        <v>144</v>
      </c>
      <c r="K256" t="s">
        <v>40</v>
      </c>
      <c r="L256" t="s">
        <v>46</v>
      </c>
      <c r="M256" s="16">
        <f t="shared" si="3"/>
        <v>28792.799999999999</v>
      </c>
      <c r="O256" s="53" t="s">
        <v>214</v>
      </c>
      <c r="P256" s="16">
        <v>5655981</v>
      </c>
    </row>
    <row r="257" spans="1:20" x14ac:dyDescent="0.3">
      <c r="A257">
        <v>20254</v>
      </c>
      <c r="B257" s="15">
        <v>45471</v>
      </c>
      <c r="C257" t="s">
        <v>110</v>
      </c>
      <c r="D257" t="s">
        <v>95</v>
      </c>
      <c r="E257" t="s">
        <v>75</v>
      </c>
      <c r="F257" t="s">
        <v>43</v>
      </c>
      <c r="G257">
        <v>4</v>
      </c>
      <c r="H257">
        <v>6499</v>
      </c>
      <c r="I257">
        <v>0.1</v>
      </c>
      <c r="J257" t="s">
        <v>145</v>
      </c>
      <c r="K257" t="s">
        <v>49</v>
      </c>
      <c r="L257" t="s">
        <v>46</v>
      </c>
      <c r="M257" s="16">
        <f t="shared" si="3"/>
        <v>23396.400000000001</v>
      </c>
    </row>
    <row r="258" spans="1:20" x14ac:dyDescent="0.3">
      <c r="A258">
        <v>20255</v>
      </c>
      <c r="B258" s="15">
        <v>45658</v>
      </c>
      <c r="C258" t="s">
        <v>36</v>
      </c>
      <c r="D258" t="s">
        <v>95</v>
      </c>
      <c r="E258" t="s">
        <v>75</v>
      </c>
      <c r="F258" t="s">
        <v>38</v>
      </c>
      <c r="G258">
        <v>7</v>
      </c>
      <c r="H258">
        <v>2999</v>
      </c>
      <c r="I258">
        <v>0.05</v>
      </c>
      <c r="J258" t="s">
        <v>145</v>
      </c>
      <c r="K258" t="s">
        <v>49</v>
      </c>
      <c r="L258" t="s">
        <v>50</v>
      </c>
      <c r="M258" s="16">
        <f t="shared" si="3"/>
        <v>19943.349999999999</v>
      </c>
    </row>
    <row r="259" spans="1:20" x14ac:dyDescent="0.3">
      <c r="A259">
        <v>20256</v>
      </c>
      <c r="B259" s="15">
        <v>45541</v>
      </c>
      <c r="C259" t="s">
        <v>80</v>
      </c>
      <c r="D259" t="s">
        <v>52</v>
      </c>
      <c r="E259" t="s">
        <v>53</v>
      </c>
      <c r="F259" t="s">
        <v>58</v>
      </c>
      <c r="G259">
        <v>8</v>
      </c>
      <c r="H259">
        <v>429</v>
      </c>
      <c r="I259">
        <v>0.15</v>
      </c>
      <c r="J259" t="s">
        <v>141</v>
      </c>
      <c r="K259" t="s">
        <v>57</v>
      </c>
      <c r="L259" t="s">
        <v>41</v>
      </c>
      <c r="M259" s="16">
        <f t="shared" si="3"/>
        <v>2917.2</v>
      </c>
    </row>
    <row r="260" spans="1:20" x14ac:dyDescent="0.3">
      <c r="A260">
        <v>20257</v>
      </c>
      <c r="B260" s="15">
        <v>45582</v>
      </c>
      <c r="C260" t="s">
        <v>81</v>
      </c>
      <c r="D260" t="s">
        <v>72</v>
      </c>
      <c r="E260" t="s">
        <v>69</v>
      </c>
      <c r="F260" t="s">
        <v>104</v>
      </c>
      <c r="G260">
        <v>1</v>
      </c>
      <c r="H260">
        <v>4999</v>
      </c>
      <c r="I260">
        <v>0.1</v>
      </c>
      <c r="J260" t="s">
        <v>144</v>
      </c>
      <c r="K260" t="s">
        <v>65</v>
      </c>
      <c r="L260" t="s">
        <v>46</v>
      </c>
      <c r="M260" s="16">
        <f t="shared" si="3"/>
        <v>4499.1000000000004</v>
      </c>
    </row>
    <row r="261" spans="1:20" x14ac:dyDescent="0.3">
      <c r="A261">
        <v>20258</v>
      </c>
      <c r="B261" s="15">
        <v>45342</v>
      </c>
      <c r="C261" t="s">
        <v>118</v>
      </c>
      <c r="D261" t="s">
        <v>52</v>
      </c>
      <c r="E261" t="s">
        <v>53</v>
      </c>
      <c r="F261" t="s">
        <v>101</v>
      </c>
      <c r="G261">
        <v>6</v>
      </c>
      <c r="H261">
        <v>99</v>
      </c>
      <c r="I261">
        <v>0.1</v>
      </c>
      <c r="J261" t="s">
        <v>141</v>
      </c>
      <c r="K261" t="s">
        <v>45</v>
      </c>
      <c r="L261" t="s">
        <v>50</v>
      </c>
      <c r="M261" s="16">
        <f t="shared" si="3"/>
        <v>534.6</v>
      </c>
    </row>
    <row r="262" spans="1:20" x14ac:dyDescent="0.3">
      <c r="A262">
        <v>20259</v>
      </c>
      <c r="B262" s="15">
        <v>45590</v>
      </c>
      <c r="C262" t="s">
        <v>81</v>
      </c>
      <c r="D262" t="s">
        <v>59</v>
      </c>
      <c r="E262" t="s">
        <v>69</v>
      </c>
      <c r="F262" t="s">
        <v>63</v>
      </c>
      <c r="G262">
        <v>3</v>
      </c>
      <c r="H262">
        <v>15999</v>
      </c>
      <c r="I262">
        <v>0.05</v>
      </c>
      <c r="J262" t="s">
        <v>143</v>
      </c>
      <c r="K262" t="s">
        <v>65</v>
      </c>
      <c r="L262" t="s">
        <v>41</v>
      </c>
      <c r="M262" s="16">
        <f t="shared" si="3"/>
        <v>45597.15</v>
      </c>
      <c r="O262" s="52" t="s">
        <v>212</v>
      </c>
      <c r="P262" s="52" t="s">
        <v>215</v>
      </c>
    </row>
    <row r="263" spans="1:20" x14ac:dyDescent="0.3">
      <c r="A263">
        <v>20260</v>
      </c>
      <c r="B263" s="15">
        <v>45475</v>
      </c>
      <c r="C263" t="s">
        <v>117</v>
      </c>
      <c r="D263" t="s">
        <v>52</v>
      </c>
      <c r="E263" t="s">
        <v>69</v>
      </c>
      <c r="F263" t="s">
        <v>85</v>
      </c>
      <c r="G263">
        <v>2</v>
      </c>
      <c r="H263">
        <v>24999</v>
      </c>
      <c r="I263">
        <v>0.05</v>
      </c>
      <c r="J263" t="s">
        <v>145</v>
      </c>
      <c r="K263" t="s">
        <v>65</v>
      </c>
      <c r="L263" t="s">
        <v>50</v>
      </c>
      <c r="M263" s="16">
        <f t="shared" si="3"/>
        <v>47498.1</v>
      </c>
      <c r="O263" s="52" t="s">
        <v>213</v>
      </c>
      <c r="P263" t="s">
        <v>72</v>
      </c>
      <c r="Q263" t="s">
        <v>59</v>
      </c>
      <c r="R263" t="s">
        <v>74</v>
      </c>
      <c r="S263" t="s">
        <v>52</v>
      </c>
      <c r="T263" t="s">
        <v>95</v>
      </c>
    </row>
    <row r="264" spans="1:20" x14ac:dyDescent="0.3">
      <c r="A264">
        <v>20261</v>
      </c>
      <c r="B264" s="15">
        <v>45426</v>
      </c>
      <c r="C264" t="s">
        <v>89</v>
      </c>
      <c r="D264" t="s">
        <v>74</v>
      </c>
      <c r="E264" t="s">
        <v>69</v>
      </c>
      <c r="F264" t="s">
        <v>85</v>
      </c>
      <c r="G264">
        <v>5</v>
      </c>
      <c r="H264">
        <v>24999</v>
      </c>
      <c r="I264">
        <v>0.05</v>
      </c>
      <c r="J264" t="s">
        <v>143</v>
      </c>
      <c r="K264" t="s">
        <v>49</v>
      </c>
      <c r="L264" t="s">
        <v>46</v>
      </c>
      <c r="M264" s="16">
        <f t="shared" si="3"/>
        <v>118745.25</v>
      </c>
      <c r="O264" s="53" t="s">
        <v>75</v>
      </c>
      <c r="P264" s="16">
        <v>352600.5</v>
      </c>
      <c r="Q264" s="16">
        <v>286184.3</v>
      </c>
      <c r="R264" s="16">
        <v>152333.15000000002</v>
      </c>
      <c r="S264" s="16">
        <v>306694.25</v>
      </c>
      <c r="T264" s="16">
        <v>391816.70000000007</v>
      </c>
    </row>
    <row r="265" spans="1:20" x14ac:dyDescent="0.3">
      <c r="O265" s="53" t="s">
        <v>69</v>
      </c>
      <c r="P265" s="16">
        <v>634419.70000000007</v>
      </c>
      <c r="Q265" s="16">
        <v>770728.90000000014</v>
      </c>
      <c r="R265" s="16">
        <v>467927.4</v>
      </c>
      <c r="S265" s="16">
        <v>830890.65</v>
      </c>
      <c r="T265" s="16">
        <v>635157</v>
      </c>
    </row>
    <row r="266" spans="1:20" x14ac:dyDescent="0.3">
      <c r="O266" s="53" t="s">
        <v>53</v>
      </c>
      <c r="P266" s="16">
        <v>5293.1500000000005</v>
      </c>
      <c r="Q266" s="16">
        <v>20598.2</v>
      </c>
      <c r="R266" s="16">
        <v>2268.7000000000003</v>
      </c>
      <c r="S266" s="16">
        <v>23803.95</v>
      </c>
      <c r="T266" s="16">
        <v>34951.199999999997</v>
      </c>
    </row>
    <row r="267" spans="1:20" x14ac:dyDescent="0.3">
      <c r="O267" s="53" t="s">
        <v>55</v>
      </c>
      <c r="P267" s="16">
        <v>166465.29999999999</v>
      </c>
      <c r="Q267" s="16">
        <v>151528.35</v>
      </c>
      <c r="R267" s="16">
        <v>136974.65000000002</v>
      </c>
      <c r="S267" s="16">
        <v>152861.54999999999</v>
      </c>
      <c r="T267" s="16">
        <v>132483.4</v>
      </c>
    </row>
    <row r="270" spans="1:20" x14ac:dyDescent="0.3">
      <c r="O270" s="52" t="s">
        <v>213</v>
      </c>
      <c r="P270" t="s">
        <v>212</v>
      </c>
    </row>
    <row r="271" spans="1:20" x14ac:dyDescent="0.3">
      <c r="O271" s="53" t="s">
        <v>183</v>
      </c>
      <c r="P271" s="16">
        <v>1362286.3000000005</v>
      </c>
    </row>
    <row r="272" spans="1:20" x14ac:dyDescent="0.3">
      <c r="O272" s="53" t="s">
        <v>184</v>
      </c>
      <c r="P272" s="16">
        <v>214446</v>
      </c>
    </row>
    <row r="273" spans="15:19" x14ac:dyDescent="0.3">
      <c r="O273" s="53" t="s">
        <v>185</v>
      </c>
      <c r="P273" s="16">
        <v>312145.7</v>
      </c>
    </row>
    <row r="274" spans="15:19" x14ac:dyDescent="0.3">
      <c r="O274" s="53" t="s">
        <v>186</v>
      </c>
      <c r="P274" s="16">
        <v>428664.05</v>
      </c>
    </row>
    <row r="275" spans="15:19" x14ac:dyDescent="0.3">
      <c r="O275" s="53" t="s">
        <v>187</v>
      </c>
      <c r="P275" s="16">
        <v>596989.55000000005</v>
      </c>
    </row>
    <row r="276" spans="15:19" x14ac:dyDescent="0.3">
      <c r="O276" s="53" t="s">
        <v>188</v>
      </c>
      <c r="P276" s="16">
        <v>514368.45000000007</v>
      </c>
    </row>
    <row r="277" spans="15:19" x14ac:dyDescent="0.3">
      <c r="O277" s="53" t="s">
        <v>189</v>
      </c>
      <c r="P277" s="16">
        <v>329007.94999999995</v>
      </c>
    </row>
    <row r="278" spans="15:19" x14ac:dyDescent="0.3">
      <c r="O278" s="53" t="s">
        <v>190</v>
      </c>
      <c r="P278" s="16">
        <v>370992.95</v>
      </c>
    </row>
    <row r="279" spans="15:19" x14ac:dyDescent="0.3">
      <c r="O279" s="53" t="s">
        <v>191</v>
      </c>
      <c r="P279" s="16">
        <v>313502.40000000002</v>
      </c>
    </row>
    <row r="280" spans="15:19" x14ac:dyDescent="0.3">
      <c r="O280" s="53" t="s">
        <v>192</v>
      </c>
      <c r="P280" s="16">
        <v>397174.20000000007</v>
      </c>
    </row>
    <row r="281" spans="15:19" x14ac:dyDescent="0.3">
      <c r="O281" s="53" t="s">
        <v>193</v>
      </c>
      <c r="P281" s="16">
        <v>618131.25</v>
      </c>
    </row>
    <row r="282" spans="15:19" x14ac:dyDescent="0.3">
      <c r="O282" s="53" t="s">
        <v>194</v>
      </c>
      <c r="P282" s="16">
        <v>198272.2</v>
      </c>
    </row>
    <row r="283" spans="15:19" x14ac:dyDescent="0.3">
      <c r="O283" s="53" t="s">
        <v>214</v>
      </c>
      <c r="P283" s="16">
        <v>5655981.0000000019</v>
      </c>
    </row>
    <row r="285" spans="15:19" x14ac:dyDescent="0.3">
      <c r="O285" s="52" t="s">
        <v>213</v>
      </c>
      <c r="P285" t="s">
        <v>212</v>
      </c>
      <c r="R285" s="52" t="s">
        <v>213</v>
      </c>
      <c r="S285" t="s">
        <v>212</v>
      </c>
    </row>
    <row r="286" spans="15:19" x14ac:dyDescent="0.3">
      <c r="O286" s="53" t="s">
        <v>114</v>
      </c>
      <c r="P286" s="16">
        <v>486510.15</v>
      </c>
      <c r="R286" s="53" t="s">
        <v>75</v>
      </c>
      <c r="S286" s="16">
        <v>1489628.9</v>
      </c>
    </row>
    <row r="287" spans="15:19" x14ac:dyDescent="0.3">
      <c r="O287" s="53" t="s">
        <v>110</v>
      </c>
      <c r="P287" s="16">
        <v>466239.10000000009</v>
      </c>
      <c r="R287" s="53" t="s">
        <v>69</v>
      </c>
      <c r="S287" s="16">
        <v>3339123.65</v>
      </c>
    </row>
    <row r="288" spans="15:19" x14ac:dyDescent="0.3">
      <c r="O288" s="53" t="s">
        <v>36</v>
      </c>
      <c r="P288" s="16">
        <v>375932.39999999997</v>
      </c>
      <c r="R288" s="53" t="s">
        <v>53</v>
      </c>
      <c r="S288" s="16">
        <v>86915.199999999968</v>
      </c>
    </row>
    <row r="289" spans="15:19" x14ac:dyDescent="0.3">
      <c r="O289" s="53" t="s">
        <v>89</v>
      </c>
      <c r="P289" s="16">
        <v>362595.85</v>
      </c>
      <c r="R289" s="53" t="s">
        <v>55</v>
      </c>
      <c r="S289" s="16">
        <v>740313.25</v>
      </c>
    </row>
    <row r="290" spans="15:19" x14ac:dyDescent="0.3">
      <c r="O290" s="53" t="s">
        <v>98</v>
      </c>
      <c r="P290" s="16">
        <v>355607.05</v>
      </c>
      <c r="R290" s="53" t="s">
        <v>214</v>
      </c>
      <c r="S290" s="16">
        <v>5655981</v>
      </c>
    </row>
    <row r="291" spans="15:19" x14ac:dyDescent="0.3">
      <c r="O291" s="53" t="s">
        <v>214</v>
      </c>
      <c r="P291" s="16">
        <v>2046884.5499999998</v>
      </c>
    </row>
    <row r="294" spans="15:19" x14ac:dyDescent="0.3">
      <c r="O294" s="52" t="s">
        <v>213</v>
      </c>
      <c r="P294" t="s">
        <v>216</v>
      </c>
      <c r="Q294" t="s">
        <v>217</v>
      </c>
    </row>
    <row r="295" spans="15:19" x14ac:dyDescent="0.3">
      <c r="O295" s="53" t="s">
        <v>139</v>
      </c>
      <c r="P295" s="16">
        <v>21923.319642857143</v>
      </c>
      <c r="Q295" s="49">
        <v>56</v>
      </c>
    </row>
    <row r="296" spans="15:19" x14ac:dyDescent="0.3">
      <c r="O296" s="53" t="s">
        <v>141</v>
      </c>
      <c r="P296" s="16">
        <v>16891.579347826086</v>
      </c>
      <c r="Q296" s="49">
        <v>46</v>
      </c>
    </row>
    <row r="297" spans="15:19" x14ac:dyDescent="0.3">
      <c r="O297" s="53" t="s">
        <v>143</v>
      </c>
      <c r="P297" s="16">
        <v>19267.22416666667</v>
      </c>
      <c r="Q297" s="49">
        <v>60</v>
      </c>
    </row>
    <row r="298" spans="15:19" x14ac:dyDescent="0.3">
      <c r="O298" s="53" t="s">
        <v>144</v>
      </c>
      <c r="P298" s="16">
        <v>30893.560204081637</v>
      </c>
      <c r="Q298" s="49">
        <v>49</v>
      </c>
    </row>
    <row r="299" spans="15:19" x14ac:dyDescent="0.3">
      <c r="O299" s="53" t="s">
        <v>145</v>
      </c>
      <c r="P299" s="16">
        <v>20029.480612244897</v>
      </c>
      <c r="Q299" s="49">
        <v>49</v>
      </c>
    </row>
    <row r="300" spans="15:19" x14ac:dyDescent="0.3">
      <c r="O300" s="53" t="s">
        <v>214</v>
      </c>
      <c r="P300" s="16">
        <v>21753.773076923073</v>
      </c>
      <c r="Q300" s="49">
        <v>260</v>
      </c>
    </row>
  </sheetData>
  <pageMargins left="0.75" right="0.75" top="1" bottom="1" header="0.511811023622047" footer="0.511811023622047"/>
  <pageSetup paperSize="9" orientation="portrait" horizontalDpi="300" verticalDpi="300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showGridLines="0" topLeftCell="A2" zoomScaleNormal="100" workbookViewId="0">
      <selection activeCell="G10" sqref="G10"/>
    </sheetView>
  </sheetViews>
  <sheetFormatPr defaultColWidth="8.6640625" defaultRowHeight="14.4" x14ac:dyDescent="0.3"/>
  <cols>
    <col min="1" max="1" width="10" customWidth="1"/>
    <col min="2" max="2" width="13" customWidth="1"/>
    <col min="3" max="3" width="3" customWidth="1"/>
    <col min="4" max="4" width="18" customWidth="1"/>
    <col min="5" max="5" width="13" customWidth="1"/>
    <col min="6" max="6" width="3" customWidth="1"/>
    <col min="7" max="7" width="12" customWidth="1"/>
    <col min="8" max="8" width="13" customWidth="1"/>
  </cols>
  <sheetData>
    <row r="1" spans="1:8" ht="21" x14ac:dyDescent="0.4">
      <c r="A1" s="13" t="s">
        <v>176</v>
      </c>
    </row>
    <row r="2" spans="1:8" x14ac:dyDescent="0.3">
      <c r="A2" s="11" t="s">
        <v>177</v>
      </c>
    </row>
    <row r="4" spans="1:8" ht="15.6" x14ac:dyDescent="0.3">
      <c r="A4" s="14" t="s">
        <v>178</v>
      </c>
      <c r="D4" s="14" t="s">
        <v>179</v>
      </c>
      <c r="G4" s="14" t="s">
        <v>180</v>
      </c>
    </row>
    <row r="5" spans="1:8" x14ac:dyDescent="0.3">
      <c r="A5" s="4" t="s">
        <v>181</v>
      </c>
      <c r="B5" s="4" t="s">
        <v>182</v>
      </c>
      <c r="D5" t="s">
        <v>148</v>
      </c>
      <c r="E5" s="18" t="s">
        <v>182</v>
      </c>
      <c r="G5" s="18" t="s">
        <v>27</v>
      </c>
      <c r="H5" s="18" t="s">
        <v>182</v>
      </c>
    </row>
    <row r="6" spans="1:8" x14ac:dyDescent="0.3">
      <c r="A6" t="s">
        <v>183</v>
      </c>
      <c r="B6">
        <v>629523</v>
      </c>
      <c r="D6" t="s">
        <v>75</v>
      </c>
      <c r="E6">
        <v>2897970</v>
      </c>
      <c r="G6" t="s">
        <v>74</v>
      </c>
      <c r="H6">
        <v>2031399</v>
      </c>
    </row>
    <row r="7" spans="1:8" x14ac:dyDescent="0.3">
      <c r="A7" t="s">
        <v>184</v>
      </c>
      <c r="B7">
        <v>516758</v>
      </c>
      <c r="D7" t="s">
        <v>53</v>
      </c>
      <c r="E7">
        <v>2565703</v>
      </c>
      <c r="G7" t="s">
        <v>52</v>
      </c>
      <c r="H7">
        <v>1017975</v>
      </c>
    </row>
    <row r="8" spans="1:8" x14ac:dyDescent="0.3">
      <c r="A8" t="s">
        <v>185</v>
      </c>
      <c r="B8">
        <v>767926</v>
      </c>
      <c r="D8" t="s">
        <v>69</v>
      </c>
      <c r="E8">
        <v>1531731</v>
      </c>
      <c r="G8" t="s">
        <v>59</v>
      </c>
      <c r="H8">
        <v>1797190</v>
      </c>
    </row>
    <row r="9" spans="1:8" x14ac:dyDescent="0.3">
      <c r="A9" t="s">
        <v>186</v>
      </c>
      <c r="B9">
        <v>877081</v>
      </c>
      <c r="D9" t="s">
        <v>55</v>
      </c>
      <c r="E9">
        <v>1872751</v>
      </c>
      <c r="G9" t="s">
        <v>95</v>
      </c>
      <c r="H9">
        <v>1517756</v>
      </c>
    </row>
    <row r="10" spans="1:8" x14ac:dyDescent="0.3">
      <c r="A10" t="s">
        <v>187</v>
      </c>
      <c r="B10">
        <v>448711</v>
      </c>
      <c r="G10" t="s">
        <v>72</v>
      </c>
      <c r="H10">
        <v>731765</v>
      </c>
    </row>
    <row r="11" spans="1:8" x14ac:dyDescent="0.3">
      <c r="A11" t="s">
        <v>188</v>
      </c>
      <c r="B11">
        <v>393807</v>
      </c>
    </row>
    <row r="12" spans="1:8" x14ac:dyDescent="0.3">
      <c r="A12" t="s">
        <v>189</v>
      </c>
      <c r="B12">
        <v>872025</v>
      </c>
    </row>
    <row r="13" spans="1:8" x14ac:dyDescent="0.3">
      <c r="A13" t="s">
        <v>190</v>
      </c>
      <c r="B13">
        <v>651952</v>
      </c>
    </row>
    <row r="14" spans="1:8" x14ac:dyDescent="0.3">
      <c r="A14" t="s">
        <v>191</v>
      </c>
      <c r="B14">
        <v>625713</v>
      </c>
    </row>
    <row r="15" spans="1:8" x14ac:dyDescent="0.3">
      <c r="A15" t="s">
        <v>192</v>
      </c>
      <c r="B15">
        <v>581058</v>
      </c>
    </row>
    <row r="16" spans="1:8" x14ac:dyDescent="0.3">
      <c r="A16" t="s">
        <v>193</v>
      </c>
      <c r="B16">
        <v>873107</v>
      </c>
    </row>
    <row r="17" spans="1:2" x14ac:dyDescent="0.3">
      <c r="A17" t="s">
        <v>194</v>
      </c>
      <c r="B17">
        <v>947252</v>
      </c>
    </row>
    <row r="38" spans="1:1" ht="15.6" x14ac:dyDescent="0.3">
      <c r="A38" s="14" t="s">
        <v>195</v>
      </c>
    </row>
    <row r="39" spans="1:1" ht="27.75" customHeight="1" x14ac:dyDescent="0.3">
      <c r="A39" s="17" t="s">
        <v>196</v>
      </c>
    </row>
    <row r="40" spans="1:1" ht="27.75" customHeight="1" x14ac:dyDescent="0.3">
      <c r="A40" s="17" t="s">
        <v>197</v>
      </c>
    </row>
    <row r="41" spans="1:1" ht="27.75" customHeight="1" x14ac:dyDescent="0.3">
      <c r="A41" s="17" t="s">
        <v>198</v>
      </c>
    </row>
    <row r="42" spans="1:1" ht="27.75" customHeight="1" x14ac:dyDescent="0.3">
      <c r="A42" s="17" t="s">
        <v>199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008E-E41A-4861-9527-3D7E689E453E}">
  <dimension ref="A1:T29"/>
  <sheetViews>
    <sheetView showGridLines="0" topLeftCell="B1" zoomScale="98" zoomScaleNormal="98" workbookViewId="0">
      <selection activeCell="U10" sqref="U10"/>
    </sheetView>
  </sheetViews>
  <sheetFormatPr defaultRowHeight="14.4" x14ac:dyDescent="0.3"/>
  <cols>
    <col min="17" max="17" width="12.77734375" customWidth="1"/>
    <col min="18" max="18" width="12.6640625" bestFit="1" customWidth="1"/>
  </cols>
  <sheetData>
    <row r="1" spans="1:20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7"/>
      <c r="T1" t="s">
        <v>219</v>
      </c>
    </row>
    <row r="2" spans="1:20" ht="40.799999999999997" x14ac:dyDescent="0.3">
      <c r="A2" s="54"/>
      <c r="B2" s="54"/>
      <c r="C2" s="54"/>
      <c r="D2" s="54"/>
      <c r="E2" s="55" t="s">
        <v>218</v>
      </c>
      <c r="F2" s="56"/>
      <c r="G2" s="56"/>
      <c r="H2" s="56"/>
      <c r="I2" s="56"/>
      <c r="J2" s="56"/>
      <c r="K2" s="56"/>
      <c r="L2" s="56"/>
      <c r="M2" s="56"/>
      <c r="N2" s="54"/>
      <c r="O2" s="54"/>
      <c r="P2" s="54"/>
      <c r="Q2" s="54"/>
      <c r="R2" s="54"/>
      <c r="S2" s="57"/>
      <c r="T2" t="s">
        <v>197</v>
      </c>
    </row>
    <row r="3" spans="1:20" x14ac:dyDescent="0.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7"/>
      <c r="T3" t="s">
        <v>198</v>
      </c>
    </row>
    <row r="4" spans="1:20" x14ac:dyDescent="0.3">
      <c r="Q4" s="58" t="s">
        <v>181</v>
      </c>
      <c r="R4" s="58" t="s">
        <v>182</v>
      </c>
      <c r="T4" t="s">
        <v>199</v>
      </c>
    </row>
    <row r="5" spans="1:20" x14ac:dyDescent="0.3">
      <c r="Q5" t="s">
        <v>183</v>
      </c>
      <c r="R5" s="61">
        <f>SUMIFS(PivotTable_Practice!$P$271:$P$282,PivotTable_Practice!$O$271:$O$282,"Jan")</f>
        <v>1362286.3000000005</v>
      </c>
    </row>
    <row r="6" spans="1:20" x14ac:dyDescent="0.3">
      <c r="Q6" t="s">
        <v>184</v>
      </c>
      <c r="R6" s="61">
        <f>SUMIFS(PivotTable_Practice!$P$271:$P$282,PivotTable_Practice!$O$271:$O$282,"Feb")</f>
        <v>214446</v>
      </c>
    </row>
    <row r="7" spans="1:20" x14ac:dyDescent="0.3">
      <c r="Q7" t="s">
        <v>185</v>
      </c>
      <c r="R7" s="61">
        <f>SUMIFS(PivotTable_Practice!$P$271:$P$282,PivotTable_Practice!$O$271:$O$282,"Mar")</f>
        <v>312145.7</v>
      </c>
    </row>
    <row r="8" spans="1:20" x14ac:dyDescent="0.3">
      <c r="Q8" t="s">
        <v>186</v>
      </c>
      <c r="R8" s="61">
        <f>SUMIFS(PivotTable_Practice!$P$271:$P$282,PivotTable_Practice!$O$271:$O$282,"Apr")</f>
        <v>428664.05</v>
      </c>
    </row>
    <row r="9" spans="1:20" x14ac:dyDescent="0.3">
      <c r="Q9" t="s">
        <v>187</v>
      </c>
      <c r="R9" s="61">
        <f>SUMIFS(PivotTable_Practice!$P$271:$P$282,PivotTable_Practice!$O$271:$O$282,"May")</f>
        <v>596989.55000000005</v>
      </c>
    </row>
    <row r="10" spans="1:20" x14ac:dyDescent="0.3">
      <c r="Q10" t="s">
        <v>188</v>
      </c>
      <c r="R10" s="61">
        <f>SUMIFS(PivotTable_Practice!$P$271:$P$282,PivotTable_Practice!$O$271:$O$282,"Jun")</f>
        <v>514368.45000000007</v>
      </c>
    </row>
    <row r="11" spans="1:20" x14ac:dyDescent="0.3">
      <c r="Q11" t="s">
        <v>189</v>
      </c>
      <c r="R11" s="61">
        <f>SUMIFS(PivotTable_Practice!$P$271:$P$282,PivotTable_Practice!$O$271:$O$282,"Jul")</f>
        <v>329007.94999999995</v>
      </c>
    </row>
    <row r="12" spans="1:20" x14ac:dyDescent="0.3">
      <c r="Q12" t="s">
        <v>190</v>
      </c>
      <c r="R12" s="61">
        <f>SUMIFS(PivotTable_Practice!$P$271:$P$282,PivotTable_Practice!$O$271:$O$282,"Aug")</f>
        <v>370992.95</v>
      </c>
    </row>
    <row r="13" spans="1:20" x14ac:dyDescent="0.3">
      <c r="Q13" t="s">
        <v>191</v>
      </c>
      <c r="R13" s="61">
        <f>SUMIFS(PivotTable_Practice!$P$271:$P$282,PivotTable_Practice!$O$271:$O$282,"Sep")</f>
        <v>313502.40000000002</v>
      </c>
    </row>
    <row r="14" spans="1:20" x14ac:dyDescent="0.3">
      <c r="Q14" t="s">
        <v>192</v>
      </c>
      <c r="R14" s="61">
        <f>SUMIFS(PivotTable_Practice!$P$271:$P$282,PivotTable_Practice!$O$271:$O$282,"Oct")</f>
        <v>397174.20000000007</v>
      </c>
    </row>
    <row r="15" spans="1:20" x14ac:dyDescent="0.3">
      <c r="Q15" t="s">
        <v>193</v>
      </c>
      <c r="R15" s="61">
        <f>SUMIFS(PivotTable_Practice!$P$271:$P$282,PivotTable_Practice!$O$271:$O$282,"Nov")</f>
        <v>618131.25</v>
      </c>
    </row>
    <row r="16" spans="1:20" x14ac:dyDescent="0.3">
      <c r="Q16" t="s">
        <v>194</v>
      </c>
      <c r="R16" s="61">
        <f>SUMIFS(PivotTable_Practice!$P$271:$P$282,PivotTable_Practice!$O$271:$O$282,"Dec")</f>
        <v>198272.2</v>
      </c>
    </row>
    <row r="18" spans="17:18" x14ac:dyDescent="0.3">
      <c r="Q18" s="60" t="s">
        <v>148</v>
      </c>
      <c r="R18" s="59" t="s">
        <v>182</v>
      </c>
    </row>
    <row r="19" spans="17:18" x14ac:dyDescent="0.3">
      <c r="Q19" t="s">
        <v>75</v>
      </c>
      <c r="R19">
        <f>SUMIFS(PivotTable_Practice!$S$286:$S$289,PivotTable_Practice!$R$286:$R$289,"Electronics")</f>
        <v>1489628.9</v>
      </c>
    </row>
    <row r="20" spans="17:18" x14ac:dyDescent="0.3">
      <c r="Q20" t="s">
        <v>53</v>
      </c>
      <c r="R20">
        <f>SUMIFS(PivotTable_Practice!$S$286:$S$289,PivotTable_Practice!$R$286:$R$289,"Office Supplies")</f>
        <v>86915.199999999968</v>
      </c>
    </row>
    <row r="21" spans="17:18" x14ac:dyDescent="0.3">
      <c r="Q21" t="s">
        <v>69</v>
      </c>
      <c r="R21">
        <f>SUMIFS(PivotTable_Practice!$S$286:$S$289,PivotTable_Practice!$R$286:$R$289,"Furniture")</f>
        <v>3339123.65</v>
      </c>
    </row>
    <row r="22" spans="17:18" x14ac:dyDescent="0.3">
      <c r="Q22" t="s">
        <v>55</v>
      </c>
      <c r="R22">
        <f>SUMIFS(PivotTable_Practice!$S$286:$S$289,PivotTable_Practice!$R$286:$R$289,"Software")</f>
        <v>740313.25</v>
      </c>
    </row>
    <row r="24" spans="17:18" x14ac:dyDescent="0.3">
      <c r="Q24" s="59" t="s">
        <v>27</v>
      </c>
      <c r="R24" s="59" t="s">
        <v>182</v>
      </c>
    </row>
    <row r="25" spans="17:18" x14ac:dyDescent="0.3">
      <c r="Q25" t="s">
        <v>74</v>
      </c>
      <c r="R25">
        <f>SUMIFS(PivotTable_Practice!$P$251:$P$255,PivotTable_Practice!$O$251:$O$255,"North")</f>
        <v>759503.9</v>
      </c>
    </row>
    <row r="26" spans="17:18" x14ac:dyDescent="0.3">
      <c r="Q26" t="s">
        <v>52</v>
      </c>
      <c r="R26">
        <f>SUMIFS(PivotTable_Practice!$P$251:$P$255,PivotTable_Practice!$O$251:$O$255,"South")</f>
        <v>1314250.3999999999</v>
      </c>
    </row>
    <row r="27" spans="17:18" x14ac:dyDescent="0.3">
      <c r="Q27" t="s">
        <v>59</v>
      </c>
      <c r="R27">
        <f>SUMIFS(PivotTable_Practice!$P$251:$P$255,PivotTable_Practice!$O$251:$O$255,"East")</f>
        <v>1229039.7500000002</v>
      </c>
    </row>
    <row r="28" spans="17:18" x14ac:dyDescent="0.3">
      <c r="Q28" t="s">
        <v>95</v>
      </c>
      <c r="R28">
        <f>SUMIFS(PivotTable_Practice!$P$251:$P$255,PivotTable_Practice!$O$251:$O$255,"West")</f>
        <v>1194408.2999999998</v>
      </c>
    </row>
    <row r="29" spans="17:18" x14ac:dyDescent="0.3">
      <c r="Q29" t="s">
        <v>72</v>
      </c>
      <c r="R29">
        <f>SUMIFS(PivotTable_Practice!$P$251:$P$255,PivotTable_Practice!$O$251:$O$255,"Central")</f>
        <v>1158778.6499999999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9E981A-E0FA-4894-9209-AC5FA519C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Table1</vt:lpstr>
      <vt:lpstr>Raw_Data</vt:lpstr>
      <vt:lpstr>Cleaning_Tasks</vt:lpstr>
      <vt:lpstr>Lookup_Tables</vt:lpstr>
      <vt:lpstr>Formulas_Practice</vt:lpstr>
      <vt:lpstr>Answer_Key</vt:lpstr>
      <vt:lpstr>PivotTable_Practice</vt:lpstr>
      <vt:lpstr>Dashboard_Practice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vidhi thakar</cp:lastModifiedBy>
  <cp:revision>1</cp:revision>
  <dcterms:created xsi:type="dcterms:W3CDTF">2026-07-09T07:16:06Z</dcterms:created>
  <dcterms:modified xsi:type="dcterms:W3CDTF">2026-07-10T10:07:30Z</dcterms:modified>
  <dc:language>en-US</dc:language>
</cp:coreProperties>
</file>